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30"/>
  <workbookPr codeName="ThisWorkbook" defaultThemeVersion="166925"/>
  <mc:AlternateContent xmlns:mc="http://schemas.openxmlformats.org/markup-compatibility/2006">
    <mc:Choice Requires="x15">
      <x15ac:absPath xmlns:x15ac="http://schemas.microsoft.com/office/spreadsheetml/2010/11/ac" url="https://ucdavis365-my.sharepoint.com/personal/ovkhan_ucdavis_edu/Documents/git_mac/IAC-Decarb-Tools-Dev/apps/fst/"/>
    </mc:Choice>
  </mc:AlternateContent>
  <xr:revisionPtr revIDLastSave="9" documentId="8_{D8538D9E-F686-C940-A648-17E4C3908DF9}" xr6:coauthVersionLast="47" xr6:coauthVersionMax="47" xr10:uidLastSave="{560FCE9A-8035-8448-987A-96490112C9BD}"/>
  <bookViews>
    <workbookView xWindow="0" yWindow="760" windowWidth="30240" windowHeight="17740" tabRatio="686" xr2:uid="{ECAE08BA-56FE-4434-8B68-666D0954C98F}"/>
  </bookViews>
  <sheets>
    <sheet name="Title" sheetId="12" r:id="rId1"/>
    <sheet name="Energy Inputs" sheetId="15" r:id="rId2"/>
    <sheet name="Energy Costs Inputs (Optional)" sheetId="20" r:id="rId3"/>
    <sheet name="Emission Inputs (Optional)" sheetId="10" r:id="rId4"/>
    <sheet name="Results" sheetId="19" r:id="rId5"/>
    <sheet name="Grid Emissions Database - AER" sheetId="9" state="hidden" r:id="rId6"/>
    <sheet name="NREL Mid-case w tax expiration" sheetId="14" state="hidden" r:id="rId7"/>
    <sheet name="Support" sheetId="13" state="hidden"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7" i="19" l="1" a="1"/>
  <c r="C7" i="19" s="1"/>
  <c r="Z23" i="19"/>
  <c r="Z24" i="19"/>
  <c r="Z25" i="19"/>
  <c r="Z37" i="19"/>
  <c r="Z38" i="19"/>
  <c r="Z39" i="19"/>
  <c r="Z51" i="19"/>
  <c r="Z52" i="19"/>
  <c r="Z53" i="19"/>
  <c r="Z65" i="19"/>
  <c r="Z66" i="19"/>
  <c r="Z67" i="19"/>
  <c r="Z79" i="19"/>
  <c r="Z80" i="19"/>
  <c r="Z81" i="19"/>
  <c r="Z93" i="19"/>
  <c r="Z94" i="19"/>
  <c r="Z95" i="19"/>
  <c r="Z107" i="19"/>
  <c r="Z108" i="19"/>
  <c r="Z109" i="19"/>
  <c r="Z121" i="19"/>
  <c r="Z122" i="19"/>
  <c r="Z123" i="19"/>
  <c r="Z135" i="19"/>
  <c r="Z136" i="19"/>
  <c r="Z137" i="19"/>
  <c r="Z149" i="19"/>
  <c r="Z150" i="19"/>
  <c r="Z151" i="19"/>
  <c r="Z163" i="19"/>
  <c r="Z164" i="19"/>
  <c r="Z165" i="19"/>
  <c r="Z177" i="19"/>
  <c r="Z178" i="19"/>
  <c r="Z179" i="19"/>
  <c r="X17" i="19"/>
  <c r="X18" i="19"/>
  <c r="X19" i="19"/>
  <c r="X20" i="19"/>
  <c r="X21" i="19"/>
  <c r="X22" i="19"/>
  <c r="X23" i="19"/>
  <c r="X24" i="19"/>
  <c r="X25" i="19"/>
  <c r="X26" i="19"/>
  <c r="X27" i="19"/>
  <c r="X28" i="19"/>
  <c r="X29" i="19"/>
  <c r="X30" i="19"/>
  <c r="X31" i="19"/>
  <c r="X32" i="19"/>
  <c r="X33" i="19"/>
  <c r="X34" i="19"/>
  <c r="X35" i="19"/>
  <c r="X36" i="19"/>
  <c r="X37" i="19"/>
  <c r="X38" i="19"/>
  <c r="X39" i="19"/>
  <c r="X40" i="19"/>
  <c r="X41" i="19"/>
  <c r="X42" i="19"/>
  <c r="X43" i="19"/>
  <c r="X44" i="19"/>
  <c r="X45" i="19"/>
  <c r="X46" i="19"/>
  <c r="X47" i="19"/>
  <c r="X48" i="19"/>
  <c r="X49" i="19"/>
  <c r="X50" i="19"/>
  <c r="X51" i="19"/>
  <c r="X52" i="19"/>
  <c r="X53" i="19"/>
  <c r="X54" i="19"/>
  <c r="X55" i="19"/>
  <c r="X56" i="19"/>
  <c r="X57" i="19"/>
  <c r="X58" i="19"/>
  <c r="X59" i="19"/>
  <c r="X60" i="19"/>
  <c r="X61" i="19"/>
  <c r="X62" i="19"/>
  <c r="X63" i="19"/>
  <c r="X64" i="19"/>
  <c r="X65" i="19"/>
  <c r="X66" i="19"/>
  <c r="X67" i="19"/>
  <c r="X68" i="19"/>
  <c r="X69" i="19"/>
  <c r="X70" i="19"/>
  <c r="X71" i="19"/>
  <c r="X72" i="19"/>
  <c r="X73" i="19"/>
  <c r="X74" i="19"/>
  <c r="X75" i="19"/>
  <c r="X76" i="19"/>
  <c r="X77" i="19"/>
  <c r="X78" i="19"/>
  <c r="X79" i="19"/>
  <c r="X80" i="19"/>
  <c r="X81" i="19"/>
  <c r="X82" i="19"/>
  <c r="X83" i="19"/>
  <c r="X84" i="19"/>
  <c r="X85" i="19"/>
  <c r="X86" i="19"/>
  <c r="X87" i="19"/>
  <c r="X88" i="19"/>
  <c r="X89" i="19"/>
  <c r="X90" i="19"/>
  <c r="X91" i="19"/>
  <c r="X92" i="19"/>
  <c r="X93" i="19"/>
  <c r="X94" i="19"/>
  <c r="X95" i="19"/>
  <c r="X96" i="19"/>
  <c r="X97" i="19"/>
  <c r="X98" i="19"/>
  <c r="X99" i="19"/>
  <c r="X100" i="19"/>
  <c r="X101" i="19"/>
  <c r="X102" i="19"/>
  <c r="X103" i="19"/>
  <c r="X104" i="19"/>
  <c r="X105" i="19"/>
  <c r="X106" i="19"/>
  <c r="X107" i="19"/>
  <c r="X108" i="19"/>
  <c r="X109" i="19"/>
  <c r="X110" i="19"/>
  <c r="X111" i="19"/>
  <c r="X112" i="19"/>
  <c r="X113" i="19"/>
  <c r="X114" i="19"/>
  <c r="X115" i="19"/>
  <c r="X116" i="19"/>
  <c r="X117" i="19"/>
  <c r="X118" i="19"/>
  <c r="X119" i="19"/>
  <c r="X120" i="19"/>
  <c r="X121" i="19"/>
  <c r="X122" i="19"/>
  <c r="X123" i="19"/>
  <c r="X124" i="19"/>
  <c r="X125" i="19"/>
  <c r="X126" i="19"/>
  <c r="X127" i="19"/>
  <c r="X128" i="19"/>
  <c r="X129" i="19"/>
  <c r="X130" i="19"/>
  <c r="X131" i="19"/>
  <c r="X132" i="19"/>
  <c r="X133" i="19"/>
  <c r="X134" i="19"/>
  <c r="X135" i="19"/>
  <c r="X136" i="19"/>
  <c r="X137" i="19"/>
  <c r="X138" i="19"/>
  <c r="X139" i="19"/>
  <c r="X140" i="19"/>
  <c r="X141" i="19"/>
  <c r="X142" i="19"/>
  <c r="X143" i="19"/>
  <c r="X144" i="19"/>
  <c r="X145" i="19"/>
  <c r="X146" i="19"/>
  <c r="X147" i="19"/>
  <c r="X148" i="19"/>
  <c r="X149" i="19"/>
  <c r="X150" i="19"/>
  <c r="X151" i="19"/>
  <c r="X152" i="19"/>
  <c r="X153" i="19"/>
  <c r="X154" i="19"/>
  <c r="X155" i="19"/>
  <c r="X156" i="19"/>
  <c r="X157" i="19"/>
  <c r="X158" i="19"/>
  <c r="X159" i="19"/>
  <c r="X160" i="19"/>
  <c r="X161" i="19"/>
  <c r="X162" i="19"/>
  <c r="X163" i="19"/>
  <c r="X164" i="19"/>
  <c r="X165" i="19"/>
  <c r="X166" i="19"/>
  <c r="X167" i="19"/>
  <c r="X168" i="19"/>
  <c r="X169" i="19"/>
  <c r="X170" i="19"/>
  <c r="X171" i="19"/>
  <c r="X172" i="19"/>
  <c r="X173" i="19"/>
  <c r="X174" i="19"/>
  <c r="X175" i="19"/>
  <c r="X176" i="19"/>
  <c r="X177" i="19"/>
  <c r="X178" i="19"/>
  <c r="X179" i="19"/>
  <c r="X180" i="19"/>
  <c r="X181" i="19"/>
  <c r="X182" i="19"/>
  <c r="X183" i="19"/>
  <c r="X184" i="19"/>
  <c r="X185" i="19"/>
  <c r="X186" i="19"/>
  <c r="X187" i="19"/>
  <c r="X188" i="19"/>
  <c r="X189" i="19"/>
  <c r="W33" i="19"/>
  <c r="W159" i="19"/>
  <c r="Y159" i="19" s="1"/>
  <c r="Z159" i="19" s="1"/>
  <c r="T56" i="19"/>
  <c r="T84" i="19"/>
  <c r="T131" i="19"/>
  <c r="T132" i="19"/>
  <c r="I17" i="19"/>
  <c r="W17" i="19" s="1"/>
  <c r="Y17" i="19" s="1"/>
  <c r="Z17" i="19" s="1"/>
  <c r="I18" i="19"/>
  <c r="W18" i="19" s="1"/>
  <c r="Y18" i="19" s="1"/>
  <c r="Z18" i="19" s="1"/>
  <c r="I19" i="19"/>
  <c r="W19" i="19" s="1"/>
  <c r="I20" i="19"/>
  <c r="W20" i="19" s="1"/>
  <c r="Y20" i="19" s="1"/>
  <c r="Z20" i="19" s="1"/>
  <c r="I21" i="19"/>
  <c r="T21" i="19" s="1"/>
  <c r="I22" i="19"/>
  <c r="W22" i="19" s="1"/>
  <c r="I23" i="19"/>
  <c r="W23" i="19" s="1"/>
  <c r="Y23" i="19" s="1"/>
  <c r="I24" i="19"/>
  <c r="W24" i="19" s="1"/>
  <c r="Y24" i="19" s="1"/>
  <c r="I25" i="19"/>
  <c r="W25" i="19" s="1"/>
  <c r="Y25" i="19" s="1"/>
  <c r="I26" i="19"/>
  <c r="T26" i="19" s="1"/>
  <c r="I27" i="19"/>
  <c r="W27" i="19" s="1"/>
  <c r="I28" i="19"/>
  <c r="W28" i="19" s="1"/>
  <c r="Y28" i="19" s="1"/>
  <c r="Z28" i="19" s="1"/>
  <c r="I29" i="19"/>
  <c r="W29" i="19" s="1"/>
  <c r="Y29" i="19" s="1"/>
  <c r="Z29" i="19" s="1"/>
  <c r="I30" i="19"/>
  <c r="T30" i="19" s="1"/>
  <c r="I31" i="19"/>
  <c r="T31" i="19" s="1"/>
  <c r="I32" i="19"/>
  <c r="T32" i="19" s="1"/>
  <c r="I33" i="19"/>
  <c r="T33" i="19" s="1"/>
  <c r="I34" i="19"/>
  <c r="W34" i="19" s="1"/>
  <c r="Y34" i="19" s="1"/>
  <c r="Z34" i="19" s="1"/>
  <c r="I35" i="19"/>
  <c r="T35" i="19" s="1"/>
  <c r="I36" i="19"/>
  <c r="W36" i="19" s="1"/>
  <c r="I37" i="19"/>
  <c r="W37" i="19" s="1"/>
  <c r="Y37" i="19" s="1"/>
  <c r="I38" i="19"/>
  <c r="W38" i="19" s="1"/>
  <c r="Y38" i="19" s="1"/>
  <c r="I39" i="19"/>
  <c r="W39" i="19" s="1"/>
  <c r="Y39" i="19" s="1"/>
  <c r="I40" i="19"/>
  <c r="T40" i="19" s="1"/>
  <c r="I41" i="19"/>
  <c r="W41" i="19" s="1"/>
  <c r="I42" i="19"/>
  <c r="W42" i="19" s="1"/>
  <c r="Y42" i="19" s="1"/>
  <c r="Z42" i="19" s="1"/>
  <c r="I43" i="19"/>
  <c r="W43" i="19" s="1"/>
  <c r="Y43" i="19" s="1"/>
  <c r="Z43" i="19" s="1"/>
  <c r="I44" i="19"/>
  <c r="T44" i="19" s="1"/>
  <c r="I45" i="19"/>
  <c r="T45" i="19" s="1"/>
  <c r="I46" i="19"/>
  <c r="W46" i="19" s="1"/>
  <c r="Y46" i="19" s="1"/>
  <c r="Z46" i="19" s="1"/>
  <c r="I47" i="19"/>
  <c r="W47" i="19" s="1"/>
  <c r="I48" i="19"/>
  <c r="W48" i="19" s="1"/>
  <c r="Y48" i="19" s="1"/>
  <c r="Z48" i="19" s="1"/>
  <c r="I49" i="19"/>
  <c r="T49" i="19" s="1"/>
  <c r="I50" i="19"/>
  <c r="W50" i="19" s="1"/>
  <c r="I51" i="19"/>
  <c r="W51" i="19" s="1"/>
  <c r="Y51" i="19" s="1"/>
  <c r="I52" i="19"/>
  <c r="W52" i="19" s="1"/>
  <c r="Y52" i="19" s="1"/>
  <c r="I53" i="19"/>
  <c r="W53" i="19" s="1"/>
  <c r="Y53" i="19" s="1"/>
  <c r="I54" i="19"/>
  <c r="T54" i="19" s="1"/>
  <c r="I55" i="19"/>
  <c r="W55" i="19" s="1"/>
  <c r="I56" i="19"/>
  <c r="W56" i="19" s="1"/>
  <c r="Y56" i="19" s="1"/>
  <c r="Z56" i="19" s="1"/>
  <c r="I57" i="19"/>
  <c r="W57" i="19" s="1"/>
  <c r="Y57" i="19" s="1"/>
  <c r="Z57" i="19" s="1"/>
  <c r="I58" i="19"/>
  <c r="T58" i="19" s="1"/>
  <c r="I59" i="19"/>
  <c r="T59" i="19" s="1"/>
  <c r="I60" i="19"/>
  <c r="T60" i="19" s="1"/>
  <c r="I61" i="19"/>
  <c r="T61" i="19" s="1"/>
  <c r="I62" i="19"/>
  <c r="T62" i="19" s="1"/>
  <c r="I63" i="19"/>
  <c r="T63" i="19" s="1"/>
  <c r="I64" i="19"/>
  <c r="W64" i="19" s="1"/>
  <c r="I65" i="19"/>
  <c r="W65" i="19" s="1"/>
  <c r="Y65" i="19" s="1"/>
  <c r="I66" i="19"/>
  <c r="W66" i="19" s="1"/>
  <c r="Y66" i="19" s="1"/>
  <c r="I67" i="19"/>
  <c r="W67" i="19" s="1"/>
  <c r="Y67" i="19" s="1"/>
  <c r="I68" i="19"/>
  <c r="T68" i="19" s="1"/>
  <c r="I69" i="19"/>
  <c r="W69" i="19" s="1"/>
  <c r="I70" i="19"/>
  <c r="W70" i="19" s="1"/>
  <c r="Y70" i="19" s="1"/>
  <c r="Z70" i="19" s="1"/>
  <c r="I71" i="19"/>
  <c r="W71" i="19" s="1"/>
  <c r="Y71" i="19" s="1"/>
  <c r="Z71" i="19" s="1"/>
  <c r="I72" i="19"/>
  <c r="T72" i="19" s="1"/>
  <c r="I73" i="19"/>
  <c r="W73" i="19" s="1"/>
  <c r="Y73" i="19" s="1"/>
  <c r="Z73" i="19" s="1"/>
  <c r="I74" i="19"/>
  <c r="W74" i="19" s="1"/>
  <c r="Y74" i="19" s="1"/>
  <c r="Z74" i="19" s="1"/>
  <c r="I75" i="19"/>
  <c r="T75" i="19" s="1"/>
  <c r="I76" i="19"/>
  <c r="W76" i="19" s="1"/>
  <c r="Y76" i="19" s="1"/>
  <c r="Z76" i="19" s="1"/>
  <c r="I77" i="19"/>
  <c r="T77" i="19" s="1"/>
  <c r="I78" i="19"/>
  <c r="W78" i="19" s="1"/>
  <c r="I79" i="19"/>
  <c r="W79" i="19" s="1"/>
  <c r="Y79" i="19" s="1"/>
  <c r="I80" i="19"/>
  <c r="W80" i="19" s="1"/>
  <c r="Y80" i="19" s="1"/>
  <c r="I81" i="19"/>
  <c r="W81" i="19" s="1"/>
  <c r="Y81" i="19" s="1"/>
  <c r="I82" i="19"/>
  <c r="T82" i="19" s="1"/>
  <c r="I83" i="19"/>
  <c r="W83" i="19" s="1"/>
  <c r="I84" i="19"/>
  <c r="W84" i="19" s="1"/>
  <c r="Y84" i="19" s="1"/>
  <c r="Z84" i="19" s="1"/>
  <c r="I85" i="19"/>
  <c r="W85" i="19" s="1"/>
  <c r="Y85" i="19" s="1"/>
  <c r="Z85" i="19" s="1"/>
  <c r="I86" i="19"/>
  <c r="W86" i="19" s="1"/>
  <c r="Y86" i="19" s="1"/>
  <c r="Z86" i="19" s="1"/>
  <c r="I87" i="19"/>
  <c r="W87" i="19" s="1"/>
  <c r="Y87" i="19" s="1"/>
  <c r="Z87" i="19" s="1"/>
  <c r="I88" i="19"/>
  <c r="T88" i="19" s="1"/>
  <c r="I89" i="19"/>
  <c r="T89" i="19" s="1"/>
  <c r="I90" i="19"/>
  <c r="T90" i="19" s="1"/>
  <c r="I91" i="19"/>
  <c r="T91" i="19" s="1"/>
  <c r="I92" i="19"/>
  <c r="W92" i="19" s="1"/>
  <c r="I93" i="19"/>
  <c r="W93" i="19" s="1"/>
  <c r="Y93" i="19" s="1"/>
  <c r="I94" i="19"/>
  <c r="W94" i="19" s="1"/>
  <c r="Y94" i="19" s="1"/>
  <c r="I95" i="19"/>
  <c r="W95" i="19" s="1"/>
  <c r="Y95" i="19" s="1"/>
  <c r="I96" i="19"/>
  <c r="T96" i="19" s="1"/>
  <c r="I97" i="19"/>
  <c r="W97" i="19" s="1"/>
  <c r="I98" i="19"/>
  <c r="W98" i="19" s="1"/>
  <c r="Y98" i="19" s="1"/>
  <c r="Z98" i="19" s="1"/>
  <c r="I99" i="19"/>
  <c r="T99" i="19" s="1"/>
  <c r="I100" i="19"/>
  <c r="T100" i="19" s="1"/>
  <c r="I101" i="19"/>
  <c r="T101" i="19" s="1"/>
  <c r="I102" i="19"/>
  <c r="T102" i="19" s="1"/>
  <c r="I103" i="19"/>
  <c r="W103" i="19" s="1"/>
  <c r="Y103" i="19" s="1"/>
  <c r="Z103" i="19" s="1"/>
  <c r="I104" i="19"/>
  <c r="T104" i="19" s="1"/>
  <c r="I105" i="19"/>
  <c r="T105" i="19" s="1"/>
  <c r="I106" i="19"/>
  <c r="W106" i="19" s="1"/>
  <c r="I107" i="19"/>
  <c r="W107" i="19" s="1"/>
  <c r="Y107" i="19" s="1"/>
  <c r="I108" i="19"/>
  <c r="W108" i="19" s="1"/>
  <c r="Y108" i="19" s="1"/>
  <c r="I109" i="19"/>
  <c r="W109" i="19" s="1"/>
  <c r="Y109" i="19" s="1"/>
  <c r="I110" i="19"/>
  <c r="T110" i="19" s="1"/>
  <c r="I111" i="19"/>
  <c r="W111" i="19" s="1"/>
  <c r="I112" i="19"/>
  <c r="W112" i="19" s="1"/>
  <c r="Y112" i="19" s="1"/>
  <c r="Z112" i="19" s="1"/>
  <c r="I113" i="19"/>
  <c r="W113" i="19" s="1"/>
  <c r="Y113" i="19" s="1"/>
  <c r="Z113" i="19" s="1"/>
  <c r="I114" i="19"/>
  <c r="W114" i="19" s="1"/>
  <c r="Y114" i="19" s="1"/>
  <c r="Z114" i="19" s="1"/>
  <c r="I115" i="19"/>
  <c r="W115" i="19" s="1"/>
  <c r="Y115" i="19" s="1"/>
  <c r="Z115" i="19" s="1"/>
  <c r="I116" i="19"/>
  <c r="W116" i="19" s="1"/>
  <c r="Y116" i="19" s="1"/>
  <c r="Z116" i="19" s="1"/>
  <c r="I117" i="19"/>
  <c r="W117" i="19" s="1"/>
  <c r="I118" i="19"/>
  <c r="T118" i="19" s="1"/>
  <c r="I119" i="19"/>
  <c r="T119" i="19" s="1"/>
  <c r="I120" i="19"/>
  <c r="W120" i="19" s="1"/>
  <c r="I121" i="19"/>
  <c r="W121" i="19" s="1"/>
  <c r="Y121" i="19" s="1"/>
  <c r="I122" i="19"/>
  <c r="W122" i="19" s="1"/>
  <c r="Y122" i="19" s="1"/>
  <c r="I123" i="19"/>
  <c r="W123" i="19" s="1"/>
  <c r="Y123" i="19" s="1"/>
  <c r="I124" i="19"/>
  <c r="T124" i="19" s="1"/>
  <c r="I125" i="19"/>
  <c r="W125" i="19" s="1"/>
  <c r="I126" i="19"/>
  <c r="W126" i="19" s="1"/>
  <c r="Y126" i="19" s="1"/>
  <c r="Z126" i="19" s="1"/>
  <c r="I127" i="19"/>
  <c r="T127" i="19" s="1"/>
  <c r="I128" i="19"/>
  <c r="T128" i="19" s="1"/>
  <c r="I129" i="19"/>
  <c r="T129" i="19" s="1"/>
  <c r="I130" i="19"/>
  <c r="T130" i="19" s="1"/>
  <c r="I131" i="19"/>
  <c r="W131" i="19" s="1"/>
  <c r="I132" i="19"/>
  <c r="W132" i="19" s="1"/>
  <c r="Y132" i="19" s="1"/>
  <c r="Z132" i="19" s="1"/>
  <c r="I133" i="19"/>
  <c r="T133" i="19" s="1"/>
  <c r="I134" i="19"/>
  <c r="W134" i="19" s="1"/>
  <c r="I135" i="19"/>
  <c r="W135" i="19" s="1"/>
  <c r="Y135" i="19" s="1"/>
  <c r="I136" i="19"/>
  <c r="W136" i="19" s="1"/>
  <c r="Y136" i="19" s="1"/>
  <c r="I137" i="19"/>
  <c r="W137" i="19" s="1"/>
  <c r="Y137" i="19" s="1"/>
  <c r="I138" i="19"/>
  <c r="T138" i="19" s="1"/>
  <c r="I139" i="19"/>
  <c r="W139" i="19" s="1"/>
  <c r="I140" i="19"/>
  <c r="W140" i="19" s="1"/>
  <c r="Y140" i="19" s="1"/>
  <c r="Z140" i="19" s="1"/>
  <c r="I141" i="19"/>
  <c r="W141" i="19" s="1"/>
  <c r="Y141" i="19" s="1"/>
  <c r="Z141" i="19" s="1"/>
  <c r="I142" i="19"/>
  <c r="T142" i="19" s="1"/>
  <c r="I143" i="19"/>
  <c r="T143" i="19" s="1"/>
  <c r="I144" i="19"/>
  <c r="W144" i="19" s="1"/>
  <c r="Y144" i="19" s="1"/>
  <c r="Z144" i="19" s="1"/>
  <c r="I145" i="19"/>
  <c r="W145" i="19" s="1"/>
  <c r="I146" i="19"/>
  <c r="W146" i="19" s="1"/>
  <c r="Y146" i="19" s="1"/>
  <c r="Z146" i="19" s="1"/>
  <c r="I147" i="19"/>
  <c r="T147" i="19" s="1"/>
  <c r="I148" i="19"/>
  <c r="W148" i="19" s="1"/>
  <c r="I149" i="19"/>
  <c r="W149" i="19" s="1"/>
  <c r="Y149" i="19" s="1"/>
  <c r="I150" i="19"/>
  <c r="W150" i="19" s="1"/>
  <c r="Y150" i="19" s="1"/>
  <c r="I151" i="19"/>
  <c r="W151" i="19" s="1"/>
  <c r="Y151" i="19" s="1"/>
  <c r="I152" i="19"/>
  <c r="T152" i="19" s="1"/>
  <c r="I153" i="19"/>
  <c r="W153" i="19" s="1"/>
  <c r="I154" i="19"/>
  <c r="W154" i="19" s="1"/>
  <c r="Y154" i="19" s="1"/>
  <c r="Z154" i="19" s="1"/>
  <c r="I155" i="19"/>
  <c r="T155" i="19" s="1"/>
  <c r="I156" i="19"/>
  <c r="T156" i="19" s="1"/>
  <c r="I157" i="19"/>
  <c r="T157" i="19" s="1"/>
  <c r="I158" i="19"/>
  <c r="T158" i="19" s="1"/>
  <c r="I159" i="19"/>
  <c r="T159" i="19" s="1"/>
  <c r="I160" i="19"/>
  <c r="W160" i="19" s="1"/>
  <c r="Y160" i="19" s="1"/>
  <c r="Z160" i="19" s="1"/>
  <c r="I161" i="19"/>
  <c r="T161" i="19" s="1"/>
  <c r="I162" i="19"/>
  <c r="W162" i="19" s="1"/>
  <c r="I163" i="19"/>
  <c r="W163" i="19" s="1"/>
  <c r="Y163" i="19" s="1"/>
  <c r="I164" i="19"/>
  <c r="W164" i="19" s="1"/>
  <c r="Y164" i="19" s="1"/>
  <c r="I165" i="19"/>
  <c r="W165" i="19" s="1"/>
  <c r="Y165" i="19" s="1"/>
  <c r="I166" i="19"/>
  <c r="T166" i="19" s="1"/>
  <c r="I167" i="19"/>
  <c r="W167" i="19" s="1"/>
  <c r="I168" i="19"/>
  <c r="W168" i="19" s="1"/>
  <c r="Y168" i="19" s="1"/>
  <c r="Z168" i="19" s="1"/>
  <c r="I169" i="19"/>
  <c r="W169" i="19" s="1"/>
  <c r="Y169" i="19" s="1"/>
  <c r="Z169" i="19" s="1"/>
  <c r="I170" i="19"/>
  <c r="T170" i="19" s="1"/>
  <c r="I171" i="19"/>
  <c r="W171" i="19" s="1"/>
  <c r="Y171" i="19" s="1"/>
  <c r="Z171" i="19" s="1"/>
  <c r="I172" i="19"/>
  <c r="T172" i="19" s="1"/>
  <c r="I173" i="19"/>
  <c r="W173" i="19" s="1"/>
  <c r="Y173" i="19" s="1"/>
  <c r="Z173" i="19" s="1"/>
  <c r="I174" i="19"/>
  <c r="W174" i="19" s="1"/>
  <c r="Y174" i="19" s="1"/>
  <c r="Z174" i="19" s="1"/>
  <c r="I175" i="19"/>
  <c r="T175" i="19" s="1"/>
  <c r="I176" i="19"/>
  <c r="W176" i="19" s="1"/>
  <c r="I177" i="19"/>
  <c r="W177" i="19" s="1"/>
  <c r="Y177" i="19" s="1"/>
  <c r="I178" i="19"/>
  <c r="W178" i="19" s="1"/>
  <c r="Y178" i="19" s="1"/>
  <c r="I179" i="19"/>
  <c r="W179" i="19" s="1"/>
  <c r="Y179" i="19" s="1"/>
  <c r="I180" i="19"/>
  <c r="T180" i="19" s="1"/>
  <c r="I181" i="19"/>
  <c r="W181" i="19" s="1"/>
  <c r="I182" i="19"/>
  <c r="W182" i="19" s="1"/>
  <c r="Y182" i="19" s="1"/>
  <c r="Z182" i="19" s="1"/>
  <c r="I183" i="19"/>
  <c r="T183" i="19" s="1"/>
  <c r="I184" i="19"/>
  <c r="W184" i="19" s="1"/>
  <c r="Y184" i="19" s="1"/>
  <c r="Z184" i="19" s="1"/>
  <c r="I185" i="19"/>
  <c r="W185" i="19" s="1"/>
  <c r="Y185" i="19" s="1"/>
  <c r="Z185" i="19" s="1"/>
  <c r="I186" i="19"/>
  <c r="T186" i="19" s="1"/>
  <c r="I187" i="19"/>
  <c r="T187" i="19" s="1"/>
  <c r="I188" i="19"/>
  <c r="T188" i="19" s="1"/>
  <c r="I189" i="19"/>
  <c r="T189" i="19" s="1"/>
  <c r="O17" i="19"/>
  <c r="O18" i="19"/>
  <c r="O19" i="19"/>
  <c r="O20" i="19"/>
  <c r="O21" i="19"/>
  <c r="O22" i="19"/>
  <c r="O23" i="19"/>
  <c r="O24" i="19"/>
  <c r="O25" i="19"/>
  <c r="O26" i="19"/>
  <c r="O27" i="19"/>
  <c r="P27" i="19" s="1"/>
  <c r="O28" i="19"/>
  <c r="P28" i="19" s="1"/>
  <c r="O29" i="19"/>
  <c r="P29" i="19" s="1"/>
  <c r="O30" i="19"/>
  <c r="P30" i="19" s="1"/>
  <c r="O31" i="19"/>
  <c r="P31" i="19" s="1"/>
  <c r="O32" i="19"/>
  <c r="P32" i="19" s="1"/>
  <c r="O33" i="19"/>
  <c r="P33" i="19" s="1"/>
  <c r="O34" i="19"/>
  <c r="P34" i="19" s="1"/>
  <c r="O35" i="19"/>
  <c r="P35" i="19" s="1"/>
  <c r="O36" i="19"/>
  <c r="P36" i="19" s="1"/>
  <c r="O37" i="19"/>
  <c r="P37" i="19" s="1"/>
  <c r="O38" i="19"/>
  <c r="P38" i="19" s="1"/>
  <c r="O39" i="19"/>
  <c r="P39" i="19" s="1"/>
  <c r="O40" i="19"/>
  <c r="P40" i="19" s="1"/>
  <c r="O41" i="19"/>
  <c r="P41" i="19" s="1"/>
  <c r="O42" i="19"/>
  <c r="P42" i="19" s="1"/>
  <c r="O43" i="19"/>
  <c r="P43" i="19" s="1"/>
  <c r="O44" i="19"/>
  <c r="P44" i="19" s="1"/>
  <c r="O45" i="19"/>
  <c r="P45" i="19" s="1"/>
  <c r="O46" i="19"/>
  <c r="P46" i="19" s="1"/>
  <c r="O47" i="19"/>
  <c r="P47" i="19" s="1"/>
  <c r="O48" i="19"/>
  <c r="P48" i="19" s="1"/>
  <c r="O49" i="19"/>
  <c r="P49" i="19" s="1"/>
  <c r="O50" i="19"/>
  <c r="P50" i="19" s="1"/>
  <c r="O51" i="19"/>
  <c r="P51" i="19" s="1"/>
  <c r="O52" i="19"/>
  <c r="P52" i="19" s="1"/>
  <c r="O53" i="19"/>
  <c r="P53" i="19" s="1"/>
  <c r="O54" i="19"/>
  <c r="P54" i="19" s="1"/>
  <c r="O55" i="19"/>
  <c r="P55" i="19" s="1"/>
  <c r="O56" i="19"/>
  <c r="P56" i="19" s="1"/>
  <c r="O57" i="19"/>
  <c r="P57" i="19" s="1"/>
  <c r="O58" i="19"/>
  <c r="P58" i="19" s="1"/>
  <c r="O59" i="19"/>
  <c r="P59" i="19" s="1"/>
  <c r="O60" i="19"/>
  <c r="P60" i="19" s="1"/>
  <c r="O61" i="19"/>
  <c r="P61" i="19" s="1"/>
  <c r="O62" i="19"/>
  <c r="P62" i="19" s="1"/>
  <c r="O63" i="19"/>
  <c r="P63" i="19" s="1"/>
  <c r="O64" i="19"/>
  <c r="P64" i="19" s="1"/>
  <c r="O65" i="19"/>
  <c r="P65" i="19" s="1"/>
  <c r="O66" i="19"/>
  <c r="P66" i="19" s="1"/>
  <c r="O67" i="19"/>
  <c r="P67" i="19" s="1"/>
  <c r="O68" i="19"/>
  <c r="P68" i="19" s="1"/>
  <c r="O69" i="19"/>
  <c r="P69" i="19" s="1"/>
  <c r="O70" i="19"/>
  <c r="P70" i="19" s="1"/>
  <c r="O71" i="19"/>
  <c r="P71" i="19" s="1"/>
  <c r="O72" i="19"/>
  <c r="P72" i="19" s="1"/>
  <c r="O73" i="19"/>
  <c r="P73" i="19" s="1"/>
  <c r="O74" i="19"/>
  <c r="P74" i="19" s="1"/>
  <c r="O75" i="19"/>
  <c r="P75" i="19" s="1"/>
  <c r="O76" i="19"/>
  <c r="P76" i="19" s="1"/>
  <c r="O77" i="19"/>
  <c r="P77" i="19" s="1"/>
  <c r="O78" i="19"/>
  <c r="P78" i="19" s="1"/>
  <c r="O79" i="19"/>
  <c r="P79" i="19" s="1"/>
  <c r="O80" i="19"/>
  <c r="P80" i="19" s="1"/>
  <c r="O81" i="19"/>
  <c r="P81" i="19" s="1"/>
  <c r="O82" i="19"/>
  <c r="P82" i="19" s="1"/>
  <c r="O83" i="19"/>
  <c r="P83" i="19" s="1"/>
  <c r="O84" i="19"/>
  <c r="P84" i="19" s="1"/>
  <c r="O85" i="19"/>
  <c r="P85" i="19" s="1"/>
  <c r="O86" i="19"/>
  <c r="P86" i="19" s="1"/>
  <c r="O87" i="19"/>
  <c r="P87" i="19" s="1"/>
  <c r="O88" i="19"/>
  <c r="P88" i="19" s="1"/>
  <c r="O89" i="19"/>
  <c r="P89" i="19" s="1"/>
  <c r="O90" i="19"/>
  <c r="P90" i="19" s="1"/>
  <c r="O91" i="19"/>
  <c r="P91" i="19" s="1"/>
  <c r="O92" i="19"/>
  <c r="P92" i="19" s="1"/>
  <c r="O93" i="19"/>
  <c r="P93" i="19" s="1"/>
  <c r="O94" i="19"/>
  <c r="P94" i="19" s="1"/>
  <c r="O95" i="19"/>
  <c r="P95" i="19" s="1"/>
  <c r="O96" i="19"/>
  <c r="P96" i="19" s="1"/>
  <c r="O97" i="19"/>
  <c r="P97" i="19" s="1"/>
  <c r="O98" i="19"/>
  <c r="P98" i="19" s="1"/>
  <c r="O99" i="19"/>
  <c r="P99" i="19" s="1"/>
  <c r="O100" i="19"/>
  <c r="P100" i="19" s="1"/>
  <c r="O101" i="19"/>
  <c r="P101" i="19" s="1"/>
  <c r="O102" i="19"/>
  <c r="P102" i="19" s="1"/>
  <c r="O103" i="19"/>
  <c r="P103" i="19" s="1"/>
  <c r="O104" i="19"/>
  <c r="P104" i="19" s="1"/>
  <c r="O105" i="19"/>
  <c r="P105" i="19" s="1"/>
  <c r="O106" i="19"/>
  <c r="P106" i="19" s="1"/>
  <c r="O107" i="19"/>
  <c r="P107" i="19" s="1"/>
  <c r="O108" i="19"/>
  <c r="P108" i="19" s="1"/>
  <c r="O109" i="19"/>
  <c r="P109" i="19" s="1"/>
  <c r="O110" i="19"/>
  <c r="P110" i="19" s="1"/>
  <c r="O111" i="19"/>
  <c r="P111" i="19" s="1"/>
  <c r="O112" i="19"/>
  <c r="P112" i="19" s="1"/>
  <c r="O113" i="19"/>
  <c r="P113" i="19" s="1"/>
  <c r="O114" i="19"/>
  <c r="P114" i="19" s="1"/>
  <c r="O115" i="19"/>
  <c r="P115" i="19" s="1"/>
  <c r="O116" i="19"/>
  <c r="P116" i="19" s="1"/>
  <c r="O117" i="19"/>
  <c r="P117" i="19" s="1"/>
  <c r="O118" i="19"/>
  <c r="P118" i="19" s="1"/>
  <c r="O119" i="19"/>
  <c r="P119" i="19" s="1"/>
  <c r="O120" i="19"/>
  <c r="P120" i="19" s="1"/>
  <c r="O121" i="19"/>
  <c r="P121" i="19" s="1"/>
  <c r="O122" i="19"/>
  <c r="P122" i="19" s="1"/>
  <c r="O123" i="19"/>
  <c r="P123" i="19" s="1"/>
  <c r="O124" i="19"/>
  <c r="P124" i="19" s="1"/>
  <c r="O125" i="19"/>
  <c r="P125" i="19" s="1"/>
  <c r="O126" i="19"/>
  <c r="P126" i="19" s="1"/>
  <c r="O127" i="19"/>
  <c r="P127" i="19" s="1"/>
  <c r="O128" i="19"/>
  <c r="P128" i="19" s="1"/>
  <c r="O129" i="19"/>
  <c r="P129" i="19" s="1"/>
  <c r="O130" i="19"/>
  <c r="P130" i="19" s="1"/>
  <c r="O131" i="19"/>
  <c r="P131" i="19" s="1"/>
  <c r="O132" i="19"/>
  <c r="P132" i="19" s="1"/>
  <c r="O133" i="19"/>
  <c r="P133" i="19" s="1"/>
  <c r="O134" i="19"/>
  <c r="P134" i="19" s="1"/>
  <c r="O135" i="19"/>
  <c r="P135" i="19" s="1"/>
  <c r="O136" i="19"/>
  <c r="P136" i="19" s="1"/>
  <c r="O137" i="19"/>
  <c r="P137" i="19" s="1"/>
  <c r="O138" i="19"/>
  <c r="P138" i="19" s="1"/>
  <c r="O139" i="19"/>
  <c r="P139" i="19" s="1"/>
  <c r="O140" i="19"/>
  <c r="P140" i="19" s="1"/>
  <c r="O141" i="19"/>
  <c r="P141" i="19" s="1"/>
  <c r="O142" i="19"/>
  <c r="P142" i="19" s="1"/>
  <c r="O143" i="19"/>
  <c r="P143" i="19" s="1"/>
  <c r="O144" i="19"/>
  <c r="P144" i="19" s="1"/>
  <c r="O145" i="19"/>
  <c r="P145" i="19" s="1"/>
  <c r="O146" i="19"/>
  <c r="P146" i="19" s="1"/>
  <c r="O147" i="19"/>
  <c r="P147" i="19" s="1"/>
  <c r="O148" i="19"/>
  <c r="P148" i="19" s="1"/>
  <c r="O149" i="19"/>
  <c r="P149" i="19" s="1"/>
  <c r="O150" i="19"/>
  <c r="P150" i="19" s="1"/>
  <c r="O151" i="19"/>
  <c r="P151" i="19" s="1"/>
  <c r="O152" i="19"/>
  <c r="P152" i="19" s="1"/>
  <c r="O153" i="19"/>
  <c r="P153" i="19" s="1"/>
  <c r="O154" i="19"/>
  <c r="P154" i="19" s="1"/>
  <c r="O155" i="19"/>
  <c r="P155" i="19" s="1"/>
  <c r="O156" i="19"/>
  <c r="P156" i="19" s="1"/>
  <c r="O157" i="19"/>
  <c r="P157" i="19" s="1"/>
  <c r="O158" i="19"/>
  <c r="P158" i="19" s="1"/>
  <c r="O159" i="19"/>
  <c r="P159" i="19" s="1"/>
  <c r="O160" i="19"/>
  <c r="P160" i="19" s="1"/>
  <c r="O161" i="19"/>
  <c r="P161" i="19" s="1"/>
  <c r="O162" i="19"/>
  <c r="P162" i="19" s="1"/>
  <c r="O163" i="19"/>
  <c r="P163" i="19" s="1"/>
  <c r="O164" i="19"/>
  <c r="P164" i="19" s="1"/>
  <c r="O165" i="19"/>
  <c r="P165" i="19" s="1"/>
  <c r="O166" i="19"/>
  <c r="P166" i="19" s="1"/>
  <c r="O167" i="19"/>
  <c r="P167" i="19" s="1"/>
  <c r="O168" i="19"/>
  <c r="P168" i="19" s="1"/>
  <c r="O169" i="19"/>
  <c r="P169" i="19" s="1"/>
  <c r="O170" i="19"/>
  <c r="P170" i="19" s="1"/>
  <c r="O171" i="19"/>
  <c r="P171" i="19" s="1"/>
  <c r="O172" i="19"/>
  <c r="P172" i="19" s="1"/>
  <c r="O173" i="19"/>
  <c r="P173" i="19" s="1"/>
  <c r="O174" i="19"/>
  <c r="P174" i="19" s="1"/>
  <c r="O175" i="19"/>
  <c r="P175" i="19" s="1"/>
  <c r="O176" i="19"/>
  <c r="P176" i="19" s="1"/>
  <c r="O177" i="19"/>
  <c r="P177" i="19" s="1"/>
  <c r="O178" i="19"/>
  <c r="P178" i="19" s="1"/>
  <c r="O179" i="19"/>
  <c r="P179" i="19" s="1"/>
  <c r="O180" i="19"/>
  <c r="P180" i="19" s="1"/>
  <c r="O181" i="19"/>
  <c r="P181" i="19" s="1"/>
  <c r="O182" i="19"/>
  <c r="P182" i="19" s="1"/>
  <c r="O183" i="19"/>
  <c r="P183" i="19" s="1"/>
  <c r="O184" i="19"/>
  <c r="P184" i="19" s="1"/>
  <c r="O185" i="19"/>
  <c r="P185" i="19" s="1"/>
  <c r="O186" i="19"/>
  <c r="P186" i="19" s="1"/>
  <c r="O187" i="19"/>
  <c r="P187" i="19" s="1"/>
  <c r="O188" i="19"/>
  <c r="P188" i="19" s="1"/>
  <c r="O189" i="19"/>
  <c r="P189" i="19" s="1"/>
  <c r="Q17" i="19"/>
  <c r="R17" i="19" s="1"/>
  <c r="Q18" i="19"/>
  <c r="R18" i="19" s="1"/>
  <c r="Q19" i="19"/>
  <c r="R19" i="19" s="1"/>
  <c r="Q20" i="19"/>
  <c r="R20" i="19" s="1"/>
  <c r="Q21" i="19"/>
  <c r="R21" i="19" s="1"/>
  <c r="Q22" i="19"/>
  <c r="R22" i="19" s="1"/>
  <c r="Q23" i="19"/>
  <c r="R23" i="19" s="1"/>
  <c r="Q24" i="19"/>
  <c r="R24" i="19" s="1"/>
  <c r="Q25" i="19"/>
  <c r="R25" i="19" s="1"/>
  <c r="Q26" i="19"/>
  <c r="R26" i="19" s="1"/>
  <c r="Q27" i="19"/>
  <c r="R27" i="19" s="1"/>
  <c r="Q28" i="19"/>
  <c r="R28" i="19" s="1"/>
  <c r="Q29" i="19"/>
  <c r="R29" i="19" s="1"/>
  <c r="Q30" i="19"/>
  <c r="R30" i="19" s="1"/>
  <c r="Q31" i="19"/>
  <c r="R31" i="19" s="1"/>
  <c r="Q32" i="19"/>
  <c r="R32" i="19" s="1"/>
  <c r="Q33" i="19"/>
  <c r="R33" i="19" s="1"/>
  <c r="Q34" i="19"/>
  <c r="R34" i="19" s="1"/>
  <c r="Q35" i="19"/>
  <c r="R35" i="19" s="1"/>
  <c r="Q36" i="19"/>
  <c r="R36" i="19" s="1"/>
  <c r="Q37" i="19"/>
  <c r="R37" i="19" s="1"/>
  <c r="Q38" i="19"/>
  <c r="R38" i="19" s="1"/>
  <c r="Q39" i="19"/>
  <c r="R39" i="19" s="1"/>
  <c r="Q40" i="19"/>
  <c r="R40" i="19" s="1"/>
  <c r="Q41" i="19"/>
  <c r="R41" i="19" s="1"/>
  <c r="Q42" i="19"/>
  <c r="R42" i="19" s="1"/>
  <c r="Q43" i="19"/>
  <c r="R43" i="19" s="1"/>
  <c r="Q44" i="19"/>
  <c r="R44" i="19" s="1"/>
  <c r="Q45" i="19"/>
  <c r="R45" i="19" s="1"/>
  <c r="Q46" i="19"/>
  <c r="R46" i="19" s="1"/>
  <c r="Q47" i="19"/>
  <c r="R47" i="19" s="1"/>
  <c r="Q48" i="19"/>
  <c r="R48" i="19" s="1"/>
  <c r="Q49" i="19"/>
  <c r="R49" i="19" s="1"/>
  <c r="Q50" i="19"/>
  <c r="R50" i="19" s="1"/>
  <c r="Q51" i="19"/>
  <c r="R51" i="19" s="1"/>
  <c r="Q52" i="19"/>
  <c r="R52" i="19" s="1"/>
  <c r="Q53" i="19"/>
  <c r="R53" i="19" s="1"/>
  <c r="Q54" i="19"/>
  <c r="R54" i="19" s="1"/>
  <c r="Q55" i="19"/>
  <c r="R55" i="19" s="1"/>
  <c r="Q56" i="19"/>
  <c r="R56" i="19" s="1"/>
  <c r="Q57" i="19"/>
  <c r="R57" i="19" s="1"/>
  <c r="Q58" i="19"/>
  <c r="R58" i="19" s="1"/>
  <c r="Q59" i="19"/>
  <c r="R59" i="19" s="1"/>
  <c r="Q60" i="19"/>
  <c r="R60" i="19" s="1"/>
  <c r="Q61" i="19"/>
  <c r="R61" i="19" s="1"/>
  <c r="Q62" i="19"/>
  <c r="R62" i="19" s="1"/>
  <c r="Q63" i="19"/>
  <c r="R63" i="19" s="1"/>
  <c r="Q64" i="19"/>
  <c r="R64" i="19" s="1"/>
  <c r="Q65" i="19"/>
  <c r="R65" i="19" s="1"/>
  <c r="Q66" i="19"/>
  <c r="R66" i="19" s="1"/>
  <c r="Q67" i="19"/>
  <c r="R67" i="19" s="1"/>
  <c r="Q68" i="19"/>
  <c r="R68" i="19" s="1"/>
  <c r="Q69" i="19"/>
  <c r="R69" i="19" s="1"/>
  <c r="Q70" i="19"/>
  <c r="R70" i="19" s="1"/>
  <c r="Q71" i="19"/>
  <c r="R71" i="19" s="1"/>
  <c r="Q72" i="19"/>
  <c r="R72" i="19" s="1"/>
  <c r="Q73" i="19"/>
  <c r="R73" i="19" s="1"/>
  <c r="Q74" i="19"/>
  <c r="R74" i="19" s="1"/>
  <c r="Q75" i="19"/>
  <c r="R75" i="19" s="1"/>
  <c r="Q76" i="19"/>
  <c r="R76" i="19" s="1"/>
  <c r="Q77" i="19"/>
  <c r="R77" i="19" s="1"/>
  <c r="Q78" i="19"/>
  <c r="R78" i="19" s="1"/>
  <c r="Q79" i="19"/>
  <c r="R79" i="19" s="1"/>
  <c r="Q80" i="19"/>
  <c r="R80" i="19" s="1"/>
  <c r="Q81" i="19"/>
  <c r="R81" i="19" s="1"/>
  <c r="Q82" i="19"/>
  <c r="R82" i="19" s="1"/>
  <c r="Q83" i="19"/>
  <c r="R83" i="19" s="1"/>
  <c r="Q84" i="19"/>
  <c r="R84" i="19" s="1"/>
  <c r="Q85" i="19"/>
  <c r="R85" i="19" s="1"/>
  <c r="Q86" i="19"/>
  <c r="R86" i="19" s="1"/>
  <c r="Q87" i="19"/>
  <c r="R87" i="19" s="1"/>
  <c r="Q88" i="19"/>
  <c r="R88" i="19" s="1"/>
  <c r="Q89" i="19"/>
  <c r="R89" i="19" s="1"/>
  <c r="Q90" i="19"/>
  <c r="R90" i="19" s="1"/>
  <c r="Q91" i="19"/>
  <c r="R91" i="19" s="1"/>
  <c r="Q92" i="19"/>
  <c r="R92" i="19" s="1"/>
  <c r="Q93" i="19"/>
  <c r="R93" i="19" s="1"/>
  <c r="Q94" i="19"/>
  <c r="R94" i="19" s="1"/>
  <c r="Q95" i="19"/>
  <c r="R95" i="19" s="1"/>
  <c r="Q96" i="19"/>
  <c r="R96" i="19" s="1"/>
  <c r="Q97" i="19"/>
  <c r="R97" i="19" s="1"/>
  <c r="Q98" i="19"/>
  <c r="R98" i="19" s="1"/>
  <c r="Q99" i="19"/>
  <c r="R99" i="19" s="1"/>
  <c r="Q100" i="19"/>
  <c r="R100" i="19" s="1"/>
  <c r="Q101" i="19"/>
  <c r="R101" i="19" s="1"/>
  <c r="Q102" i="19"/>
  <c r="R102" i="19" s="1"/>
  <c r="Q103" i="19"/>
  <c r="R103" i="19" s="1"/>
  <c r="Q104" i="19"/>
  <c r="R104" i="19" s="1"/>
  <c r="Q105" i="19"/>
  <c r="R105" i="19" s="1"/>
  <c r="Q106" i="19"/>
  <c r="R106" i="19" s="1"/>
  <c r="Q107" i="19"/>
  <c r="R107" i="19" s="1"/>
  <c r="Q108" i="19"/>
  <c r="R108" i="19" s="1"/>
  <c r="Q109" i="19"/>
  <c r="R109" i="19" s="1"/>
  <c r="Q110" i="19"/>
  <c r="R110" i="19" s="1"/>
  <c r="Q111" i="19"/>
  <c r="R111" i="19" s="1"/>
  <c r="Q112" i="19"/>
  <c r="R112" i="19" s="1"/>
  <c r="Q113" i="19"/>
  <c r="R113" i="19" s="1"/>
  <c r="Q114" i="19"/>
  <c r="R114" i="19" s="1"/>
  <c r="Q115" i="19"/>
  <c r="R115" i="19" s="1"/>
  <c r="Q116" i="19"/>
  <c r="R116" i="19" s="1"/>
  <c r="Q117" i="19"/>
  <c r="R117" i="19" s="1"/>
  <c r="Q118" i="19"/>
  <c r="R118" i="19" s="1"/>
  <c r="Q119" i="19"/>
  <c r="R119" i="19" s="1"/>
  <c r="Q120" i="19"/>
  <c r="R120" i="19" s="1"/>
  <c r="Q121" i="19"/>
  <c r="R121" i="19" s="1"/>
  <c r="Q122" i="19"/>
  <c r="R122" i="19" s="1"/>
  <c r="Q123" i="19"/>
  <c r="R123" i="19" s="1"/>
  <c r="Q124" i="19"/>
  <c r="R124" i="19" s="1"/>
  <c r="Q125" i="19"/>
  <c r="R125" i="19" s="1"/>
  <c r="Q126" i="19"/>
  <c r="R126" i="19" s="1"/>
  <c r="Q127" i="19"/>
  <c r="R127" i="19" s="1"/>
  <c r="Q128" i="19"/>
  <c r="R128" i="19" s="1"/>
  <c r="Q129" i="19"/>
  <c r="R129" i="19" s="1"/>
  <c r="Q130" i="19"/>
  <c r="R130" i="19" s="1"/>
  <c r="Q131" i="19"/>
  <c r="R131" i="19" s="1"/>
  <c r="Q132" i="19"/>
  <c r="R132" i="19" s="1"/>
  <c r="Q133" i="19"/>
  <c r="R133" i="19" s="1"/>
  <c r="Q134" i="19"/>
  <c r="R134" i="19" s="1"/>
  <c r="Q135" i="19"/>
  <c r="R135" i="19" s="1"/>
  <c r="Q136" i="19"/>
  <c r="R136" i="19" s="1"/>
  <c r="Q137" i="19"/>
  <c r="R137" i="19" s="1"/>
  <c r="Q138" i="19"/>
  <c r="R138" i="19" s="1"/>
  <c r="Q139" i="19"/>
  <c r="R139" i="19" s="1"/>
  <c r="Q140" i="19"/>
  <c r="R140" i="19" s="1"/>
  <c r="Q141" i="19"/>
  <c r="R141" i="19" s="1"/>
  <c r="Q142" i="19"/>
  <c r="R142" i="19" s="1"/>
  <c r="Q143" i="19"/>
  <c r="R143" i="19" s="1"/>
  <c r="Q144" i="19"/>
  <c r="R144" i="19" s="1"/>
  <c r="Q145" i="19"/>
  <c r="R145" i="19" s="1"/>
  <c r="Q146" i="19"/>
  <c r="R146" i="19" s="1"/>
  <c r="Q147" i="19"/>
  <c r="R147" i="19" s="1"/>
  <c r="Q148" i="19"/>
  <c r="R148" i="19" s="1"/>
  <c r="Q149" i="19"/>
  <c r="R149" i="19" s="1"/>
  <c r="Q150" i="19"/>
  <c r="R150" i="19" s="1"/>
  <c r="Q151" i="19"/>
  <c r="R151" i="19" s="1"/>
  <c r="Q152" i="19"/>
  <c r="R152" i="19" s="1"/>
  <c r="Q153" i="19"/>
  <c r="R153" i="19" s="1"/>
  <c r="Q154" i="19"/>
  <c r="R154" i="19" s="1"/>
  <c r="Q155" i="19"/>
  <c r="R155" i="19" s="1"/>
  <c r="Q156" i="19"/>
  <c r="R156" i="19" s="1"/>
  <c r="Q157" i="19"/>
  <c r="R157" i="19" s="1"/>
  <c r="Q158" i="19"/>
  <c r="R158" i="19" s="1"/>
  <c r="Q159" i="19"/>
  <c r="R159" i="19" s="1"/>
  <c r="Q160" i="19"/>
  <c r="R160" i="19" s="1"/>
  <c r="Q161" i="19"/>
  <c r="R161" i="19" s="1"/>
  <c r="Q162" i="19"/>
  <c r="R162" i="19" s="1"/>
  <c r="Q163" i="19"/>
  <c r="R163" i="19" s="1"/>
  <c r="Q164" i="19"/>
  <c r="R164" i="19" s="1"/>
  <c r="Q165" i="19"/>
  <c r="R165" i="19" s="1"/>
  <c r="Q166" i="19"/>
  <c r="R166" i="19" s="1"/>
  <c r="Q167" i="19"/>
  <c r="R167" i="19" s="1"/>
  <c r="Q168" i="19"/>
  <c r="R168" i="19" s="1"/>
  <c r="Q169" i="19"/>
  <c r="R169" i="19" s="1"/>
  <c r="Q170" i="19"/>
  <c r="R170" i="19" s="1"/>
  <c r="Q171" i="19"/>
  <c r="R171" i="19" s="1"/>
  <c r="Q172" i="19"/>
  <c r="R172" i="19" s="1"/>
  <c r="Q173" i="19"/>
  <c r="R173" i="19" s="1"/>
  <c r="Q174" i="19"/>
  <c r="R174" i="19" s="1"/>
  <c r="Q175" i="19"/>
  <c r="R175" i="19" s="1"/>
  <c r="Q176" i="19"/>
  <c r="R176" i="19" s="1"/>
  <c r="Q177" i="19"/>
  <c r="R177" i="19" s="1"/>
  <c r="Q178" i="19"/>
  <c r="R178" i="19" s="1"/>
  <c r="Q179" i="19"/>
  <c r="R179" i="19" s="1"/>
  <c r="Q180" i="19"/>
  <c r="R180" i="19" s="1"/>
  <c r="Q181" i="19"/>
  <c r="R181" i="19" s="1"/>
  <c r="Q182" i="19"/>
  <c r="R182" i="19" s="1"/>
  <c r="Q183" i="19"/>
  <c r="R183" i="19" s="1"/>
  <c r="Q184" i="19"/>
  <c r="R184" i="19" s="1"/>
  <c r="Q185" i="19"/>
  <c r="R185" i="19" s="1"/>
  <c r="Q186" i="19"/>
  <c r="R186" i="19" s="1"/>
  <c r="Q187" i="19"/>
  <c r="R187" i="19" s="1"/>
  <c r="Q188" i="19"/>
  <c r="R188" i="19" s="1"/>
  <c r="Q189" i="19"/>
  <c r="R189" i="19" s="1"/>
  <c r="G6" i="19"/>
  <c r="G8" i="20"/>
  <c r="G9" i="20"/>
  <c r="G10" i="20"/>
  <c r="G11" i="20"/>
  <c r="G12" i="20"/>
  <c r="G13" i="20"/>
  <c r="G14" i="20"/>
  <c r="G15" i="20"/>
  <c r="AT12" i="20" s="1"/>
  <c r="G16" i="20"/>
  <c r="AT13" i="20" s="1"/>
  <c r="G17" i="20"/>
  <c r="G18" i="20"/>
  <c r="G19" i="20"/>
  <c r="G20" i="20"/>
  <c r="G21" i="20"/>
  <c r="AT18" i="20" s="1"/>
  <c r="G22" i="20"/>
  <c r="G23" i="20"/>
  <c r="B7" i="20"/>
  <c r="F8" i="19"/>
  <c r="F9" i="19"/>
  <c r="F10" i="19"/>
  <c r="F11" i="19"/>
  <c r="F12" i="19"/>
  <c r="F13" i="19"/>
  <c r="F14" i="19"/>
  <c r="F15" i="19"/>
  <c r="L15" i="19" s="1"/>
  <c r="M15" i="19" s="1"/>
  <c r="F16" i="19"/>
  <c r="L16" i="19" s="1"/>
  <c r="M16" i="19" s="1"/>
  <c r="F17" i="19"/>
  <c r="L17" i="19" s="1"/>
  <c r="M17" i="19" s="1"/>
  <c r="F18" i="19"/>
  <c r="L18" i="19" s="1"/>
  <c r="M18" i="19" s="1"/>
  <c r="F19" i="19"/>
  <c r="L19" i="19" s="1"/>
  <c r="M19" i="19" s="1"/>
  <c r="F20" i="19"/>
  <c r="L20" i="19" s="1"/>
  <c r="M20" i="19" s="1"/>
  <c r="F21" i="19"/>
  <c r="L21" i="19" s="1"/>
  <c r="M21" i="19" s="1"/>
  <c r="F22" i="19"/>
  <c r="L22" i="19" s="1"/>
  <c r="M22" i="19" s="1"/>
  <c r="F23" i="19"/>
  <c r="L23" i="19" s="1"/>
  <c r="M23" i="19" s="1"/>
  <c r="F24" i="19"/>
  <c r="L24" i="19" s="1"/>
  <c r="M24" i="19" s="1"/>
  <c r="F25" i="19"/>
  <c r="L25" i="19" s="1"/>
  <c r="M25" i="19" s="1"/>
  <c r="F26" i="19"/>
  <c r="L26" i="19" s="1"/>
  <c r="M26" i="19" s="1"/>
  <c r="F27" i="19"/>
  <c r="L27" i="19" s="1"/>
  <c r="M27" i="19" s="1"/>
  <c r="F28" i="19"/>
  <c r="L28" i="19" s="1"/>
  <c r="M28" i="19" s="1"/>
  <c r="F29" i="19"/>
  <c r="L29" i="19" s="1"/>
  <c r="M29" i="19" s="1"/>
  <c r="F30" i="19"/>
  <c r="L30" i="19" s="1"/>
  <c r="M30" i="19" s="1"/>
  <c r="F31" i="19"/>
  <c r="L31" i="19" s="1"/>
  <c r="M31" i="19" s="1"/>
  <c r="F32" i="19"/>
  <c r="L32" i="19" s="1"/>
  <c r="M32" i="19" s="1"/>
  <c r="F33" i="19"/>
  <c r="L33" i="19" s="1"/>
  <c r="M33" i="19" s="1"/>
  <c r="F34" i="19"/>
  <c r="L34" i="19" s="1"/>
  <c r="M34" i="19" s="1"/>
  <c r="F35" i="19"/>
  <c r="L35" i="19" s="1"/>
  <c r="M35" i="19" s="1"/>
  <c r="F36" i="19"/>
  <c r="L36" i="19" s="1"/>
  <c r="M36" i="19" s="1"/>
  <c r="F37" i="19"/>
  <c r="L37" i="19" s="1"/>
  <c r="M37" i="19" s="1"/>
  <c r="F38" i="19"/>
  <c r="L38" i="19" s="1"/>
  <c r="M38" i="19" s="1"/>
  <c r="F39" i="19"/>
  <c r="L39" i="19" s="1"/>
  <c r="M39" i="19" s="1"/>
  <c r="F40" i="19"/>
  <c r="L40" i="19" s="1"/>
  <c r="M40" i="19" s="1"/>
  <c r="F41" i="19"/>
  <c r="L41" i="19" s="1"/>
  <c r="M41" i="19" s="1"/>
  <c r="F42" i="19"/>
  <c r="L42" i="19" s="1"/>
  <c r="M42" i="19" s="1"/>
  <c r="F43" i="19"/>
  <c r="L43" i="19" s="1"/>
  <c r="M43" i="19" s="1"/>
  <c r="F44" i="19"/>
  <c r="L44" i="19" s="1"/>
  <c r="M44" i="19" s="1"/>
  <c r="F45" i="19"/>
  <c r="L45" i="19" s="1"/>
  <c r="M45" i="19" s="1"/>
  <c r="F46" i="19"/>
  <c r="L46" i="19" s="1"/>
  <c r="M46" i="19" s="1"/>
  <c r="F47" i="19"/>
  <c r="L47" i="19" s="1"/>
  <c r="M47" i="19" s="1"/>
  <c r="F48" i="19"/>
  <c r="L48" i="19" s="1"/>
  <c r="M48" i="19" s="1"/>
  <c r="F49" i="19"/>
  <c r="L49" i="19" s="1"/>
  <c r="M49" i="19" s="1"/>
  <c r="F50" i="19"/>
  <c r="L50" i="19" s="1"/>
  <c r="M50" i="19" s="1"/>
  <c r="F51" i="19"/>
  <c r="L51" i="19" s="1"/>
  <c r="M51" i="19" s="1"/>
  <c r="F52" i="19"/>
  <c r="L52" i="19" s="1"/>
  <c r="M52" i="19" s="1"/>
  <c r="F53" i="19"/>
  <c r="L53" i="19" s="1"/>
  <c r="M53" i="19" s="1"/>
  <c r="F54" i="19"/>
  <c r="L54" i="19" s="1"/>
  <c r="M54" i="19" s="1"/>
  <c r="F55" i="19"/>
  <c r="L55" i="19" s="1"/>
  <c r="M55" i="19" s="1"/>
  <c r="F56" i="19"/>
  <c r="L56" i="19" s="1"/>
  <c r="M56" i="19" s="1"/>
  <c r="F57" i="19"/>
  <c r="L57" i="19" s="1"/>
  <c r="M57" i="19" s="1"/>
  <c r="F58" i="19"/>
  <c r="L58" i="19" s="1"/>
  <c r="M58" i="19" s="1"/>
  <c r="F59" i="19"/>
  <c r="L59" i="19" s="1"/>
  <c r="M59" i="19" s="1"/>
  <c r="F60" i="19"/>
  <c r="L60" i="19" s="1"/>
  <c r="M60" i="19" s="1"/>
  <c r="F61" i="19"/>
  <c r="L61" i="19" s="1"/>
  <c r="M61" i="19" s="1"/>
  <c r="F62" i="19"/>
  <c r="L62" i="19" s="1"/>
  <c r="M62" i="19" s="1"/>
  <c r="F63" i="19"/>
  <c r="L63" i="19" s="1"/>
  <c r="M63" i="19" s="1"/>
  <c r="F64" i="19"/>
  <c r="L64" i="19" s="1"/>
  <c r="M64" i="19" s="1"/>
  <c r="F65" i="19"/>
  <c r="L65" i="19" s="1"/>
  <c r="M65" i="19" s="1"/>
  <c r="F66" i="19"/>
  <c r="L66" i="19" s="1"/>
  <c r="M66" i="19" s="1"/>
  <c r="F67" i="19"/>
  <c r="L67" i="19" s="1"/>
  <c r="M67" i="19" s="1"/>
  <c r="F68" i="19"/>
  <c r="L68" i="19" s="1"/>
  <c r="M68" i="19" s="1"/>
  <c r="F69" i="19"/>
  <c r="L69" i="19" s="1"/>
  <c r="M69" i="19" s="1"/>
  <c r="F70" i="19"/>
  <c r="L70" i="19" s="1"/>
  <c r="M70" i="19" s="1"/>
  <c r="F71" i="19"/>
  <c r="L71" i="19" s="1"/>
  <c r="M71" i="19" s="1"/>
  <c r="F72" i="19"/>
  <c r="L72" i="19" s="1"/>
  <c r="M72" i="19" s="1"/>
  <c r="F73" i="19"/>
  <c r="L73" i="19" s="1"/>
  <c r="M73" i="19" s="1"/>
  <c r="F74" i="19"/>
  <c r="L74" i="19" s="1"/>
  <c r="M74" i="19" s="1"/>
  <c r="F75" i="19"/>
  <c r="L75" i="19" s="1"/>
  <c r="M75" i="19" s="1"/>
  <c r="F76" i="19"/>
  <c r="L76" i="19" s="1"/>
  <c r="M76" i="19" s="1"/>
  <c r="F77" i="19"/>
  <c r="L77" i="19" s="1"/>
  <c r="M77" i="19" s="1"/>
  <c r="F78" i="19"/>
  <c r="L78" i="19" s="1"/>
  <c r="M78" i="19" s="1"/>
  <c r="F79" i="19"/>
  <c r="L79" i="19" s="1"/>
  <c r="M79" i="19" s="1"/>
  <c r="F80" i="19"/>
  <c r="L80" i="19" s="1"/>
  <c r="M80" i="19" s="1"/>
  <c r="F81" i="19"/>
  <c r="L81" i="19" s="1"/>
  <c r="M81" i="19" s="1"/>
  <c r="F82" i="19"/>
  <c r="L82" i="19" s="1"/>
  <c r="M82" i="19" s="1"/>
  <c r="F83" i="19"/>
  <c r="L83" i="19" s="1"/>
  <c r="M83" i="19" s="1"/>
  <c r="F84" i="19"/>
  <c r="L84" i="19" s="1"/>
  <c r="M84" i="19" s="1"/>
  <c r="F85" i="19"/>
  <c r="L85" i="19" s="1"/>
  <c r="M85" i="19" s="1"/>
  <c r="F86" i="19"/>
  <c r="L86" i="19" s="1"/>
  <c r="M86" i="19" s="1"/>
  <c r="F87" i="19"/>
  <c r="L87" i="19" s="1"/>
  <c r="M87" i="19" s="1"/>
  <c r="F88" i="19"/>
  <c r="L88" i="19" s="1"/>
  <c r="M88" i="19" s="1"/>
  <c r="F89" i="19"/>
  <c r="L89" i="19" s="1"/>
  <c r="M89" i="19" s="1"/>
  <c r="F90" i="19"/>
  <c r="L90" i="19" s="1"/>
  <c r="M90" i="19" s="1"/>
  <c r="F91" i="19"/>
  <c r="L91" i="19" s="1"/>
  <c r="M91" i="19" s="1"/>
  <c r="F92" i="19"/>
  <c r="L92" i="19" s="1"/>
  <c r="M92" i="19" s="1"/>
  <c r="F93" i="19"/>
  <c r="L93" i="19" s="1"/>
  <c r="M93" i="19" s="1"/>
  <c r="F94" i="19"/>
  <c r="L94" i="19" s="1"/>
  <c r="M94" i="19" s="1"/>
  <c r="F95" i="19"/>
  <c r="L95" i="19" s="1"/>
  <c r="M95" i="19" s="1"/>
  <c r="F96" i="19"/>
  <c r="L96" i="19" s="1"/>
  <c r="M96" i="19" s="1"/>
  <c r="F97" i="19"/>
  <c r="L97" i="19" s="1"/>
  <c r="M97" i="19" s="1"/>
  <c r="F98" i="19"/>
  <c r="L98" i="19" s="1"/>
  <c r="M98" i="19" s="1"/>
  <c r="F99" i="19"/>
  <c r="L99" i="19" s="1"/>
  <c r="M99" i="19" s="1"/>
  <c r="F100" i="19"/>
  <c r="L100" i="19" s="1"/>
  <c r="M100" i="19" s="1"/>
  <c r="F101" i="19"/>
  <c r="L101" i="19" s="1"/>
  <c r="M101" i="19" s="1"/>
  <c r="F102" i="19"/>
  <c r="L102" i="19" s="1"/>
  <c r="M102" i="19" s="1"/>
  <c r="F103" i="19"/>
  <c r="L103" i="19" s="1"/>
  <c r="M103" i="19" s="1"/>
  <c r="F104" i="19"/>
  <c r="L104" i="19" s="1"/>
  <c r="M104" i="19" s="1"/>
  <c r="F105" i="19"/>
  <c r="L105" i="19" s="1"/>
  <c r="M105" i="19" s="1"/>
  <c r="F106" i="19"/>
  <c r="L106" i="19" s="1"/>
  <c r="M106" i="19" s="1"/>
  <c r="F107" i="19"/>
  <c r="L107" i="19" s="1"/>
  <c r="M107" i="19" s="1"/>
  <c r="F108" i="19"/>
  <c r="L108" i="19" s="1"/>
  <c r="M108" i="19" s="1"/>
  <c r="F109" i="19"/>
  <c r="L109" i="19" s="1"/>
  <c r="M109" i="19" s="1"/>
  <c r="F110" i="19"/>
  <c r="L110" i="19" s="1"/>
  <c r="M110" i="19" s="1"/>
  <c r="F111" i="19"/>
  <c r="L111" i="19" s="1"/>
  <c r="M111" i="19" s="1"/>
  <c r="F112" i="19"/>
  <c r="L112" i="19" s="1"/>
  <c r="M112" i="19" s="1"/>
  <c r="F113" i="19"/>
  <c r="L113" i="19" s="1"/>
  <c r="M113" i="19" s="1"/>
  <c r="F114" i="19"/>
  <c r="L114" i="19" s="1"/>
  <c r="M114" i="19" s="1"/>
  <c r="F115" i="19"/>
  <c r="L115" i="19" s="1"/>
  <c r="M115" i="19" s="1"/>
  <c r="F116" i="19"/>
  <c r="L116" i="19" s="1"/>
  <c r="M116" i="19" s="1"/>
  <c r="F117" i="19"/>
  <c r="L117" i="19" s="1"/>
  <c r="M117" i="19" s="1"/>
  <c r="F118" i="19"/>
  <c r="L118" i="19" s="1"/>
  <c r="M118" i="19" s="1"/>
  <c r="F119" i="19"/>
  <c r="L119" i="19" s="1"/>
  <c r="M119" i="19" s="1"/>
  <c r="F120" i="19"/>
  <c r="L120" i="19" s="1"/>
  <c r="M120" i="19" s="1"/>
  <c r="F121" i="19"/>
  <c r="L121" i="19" s="1"/>
  <c r="M121" i="19" s="1"/>
  <c r="F122" i="19"/>
  <c r="L122" i="19" s="1"/>
  <c r="M122" i="19" s="1"/>
  <c r="F123" i="19"/>
  <c r="L123" i="19" s="1"/>
  <c r="M123" i="19" s="1"/>
  <c r="F124" i="19"/>
  <c r="L124" i="19" s="1"/>
  <c r="M124" i="19" s="1"/>
  <c r="F125" i="19"/>
  <c r="L125" i="19" s="1"/>
  <c r="M125" i="19" s="1"/>
  <c r="F126" i="19"/>
  <c r="L126" i="19" s="1"/>
  <c r="M126" i="19" s="1"/>
  <c r="F127" i="19"/>
  <c r="L127" i="19" s="1"/>
  <c r="M127" i="19" s="1"/>
  <c r="F128" i="19"/>
  <c r="L128" i="19" s="1"/>
  <c r="M128" i="19" s="1"/>
  <c r="F129" i="19"/>
  <c r="L129" i="19" s="1"/>
  <c r="M129" i="19" s="1"/>
  <c r="F130" i="19"/>
  <c r="L130" i="19" s="1"/>
  <c r="M130" i="19" s="1"/>
  <c r="F131" i="19"/>
  <c r="L131" i="19" s="1"/>
  <c r="M131" i="19" s="1"/>
  <c r="F132" i="19"/>
  <c r="L132" i="19" s="1"/>
  <c r="M132" i="19" s="1"/>
  <c r="F133" i="19"/>
  <c r="L133" i="19" s="1"/>
  <c r="M133" i="19" s="1"/>
  <c r="F134" i="19"/>
  <c r="L134" i="19" s="1"/>
  <c r="M134" i="19" s="1"/>
  <c r="F135" i="19"/>
  <c r="L135" i="19" s="1"/>
  <c r="M135" i="19" s="1"/>
  <c r="F136" i="19"/>
  <c r="L136" i="19" s="1"/>
  <c r="M136" i="19" s="1"/>
  <c r="F137" i="19"/>
  <c r="L137" i="19" s="1"/>
  <c r="M137" i="19" s="1"/>
  <c r="F138" i="19"/>
  <c r="L138" i="19" s="1"/>
  <c r="M138" i="19" s="1"/>
  <c r="F139" i="19"/>
  <c r="L139" i="19" s="1"/>
  <c r="M139" i="19" s="1"/>
  <c r="F140" i="19"/>
  <c r="L140" i="19" s="1"/>
  <c r="M140" i="19" s="1"/>
  <c r="F141" i="19"/>
  <c r="L141" i="19" s="1"/>
  <c r="M141" i="19" s="1"/>
  <c r="F142" i="19"/>
  <c r="L142" i="19" s="1"/>
  <c r="M142" i="19" s="1"/>
  <c r="F143" i="19"/>
  <c r="L143" i="19" s="1"/>
  <c r="M143" i="19" s="1"/>
  <c r="F144" i="19"/>
  <c r="L144" i="19" s="1"/>
  <c r="M144" i="19" s="1"/>
  <c r="F145" i="19"/>
  <c r="L145" i="19" s="1"/>
  <c r="M145" i="19" s="1"/>
  <c r="F146" i="19"/>
  <c r="L146" i="19" s="1"/>
  <c r="M146" i="19" s="1"/>
  <c r="F147" i="19"/>
  <c r="L147" i="19" s="1"/>
  <c r="M147" i="19" s="1"/>
  <c r="F148" i="19"/>
  <c r="L148" i="19" s="1"/>
  <c r="M148" i="19" s="1"/>
  <c r="F149" i="19"/>
  <c r="L149" i="19" s="1"/>
  <c r="M149" i="19" s="1"/>
  <c r="F150" i="19"/>
  <c r="L150" i="19" s="1"/>
  <c r="M150" i="19" s="1"/>
  <c r="F151" i="19"/>
  <c r="L151" i="19" s="1"/>
  <c r="M151" i="19" s="1"/>
  <c r="F152" i="19"/>
  <c r="L152" i="19" s="1"/>
  <c r="M152" i="19" s="1"/>
  <c r="F153" i="19"/>
  <c r="L153" i="19" s="1"/>
  <c r="M153" i="19" s="1"/>
  <c r="F154" i="19"/>
  <c r="L154" i="19" s="1"/>
  <c r="M154" i="19" s="1"/>
  <c r="F155" i="19"/>
  <c r="L155" i="19" s="1"/>
  <c r="M155" i="19" s="1"/>
  <c r="F156" i="19"/>
  <c r="L156" i="19" s="1"/>
  <c r="M156" i="19" s="1"/>
  <c r="F157" i="19"/>
  <c r="L157" i="19" s="1"/>
  <c r="M157" i="19" s="1"/>
  <c r="F158" i="19"/>
  <c r="L158" i="19" s="1"/>
  <c r="M158" i="19" s="1"/>
  <c r="F159" i="19"/>
  <c r="L159" i="19" s="1"/>
  <c r="M159" i="19" s="1"/>
  <c r="F160" i="19"/>
  <c r="L160" i="19" s="1"/>
  <c r="M160" i="19" s="1"/>
  <c r="F161" i="19"/>
  <c r="L161" i="19" s="1"/>
  <c r="M161" i="19" s="1"/>
  <c r="F162" i="19"/>
  <c r="L162" i="19" s="1"/>
  <c r="M162" i="19" s="1"/>
  <c r="F163" i="19"/>
  <c r="L163" i="19" s="1"/>
  <c r="M163" i="19" s="1"/>
  <c r="F164" i="19"/>
  <c r="L164" i="19" s="1"/>
  <c r="M164" i="19" s="1"/>
  <c r="F165" i="19"/>
  <c r="L165" i="19" s="1"/>
  <c r="M165" i="19" s="1"/>
  <c r="F166" i="19"/>
  <c r="L166" i="19" s="1"/>
  <c r="M166" i="19" s="1"/>
  <c r="F167" i="19"/>
  <c r="L167" i="19" s="1"/>
  <c r="M167" i="19" s="1"/>
  <c r="F168" i="19"/>
  <c r="L168" i="19" s="1"/>
  <c r="M168" i="19" s="1"/>
  <c r="F169" i="19"/>
  <c r="L169" i="19" s="1"/>
  <c r="M169" i="19" s="1"/>
  <c r="F170" i="19"/>
  <c r="L170" i="19" s="1"/>
  <c r="M170" i="19" s="1"/>
  <c r="F171" i="19"/>
  <c r="L171" i="19" s="1"/>
  <c r="M171" i="19" s="1"/>
  <c r="F172" i="19"/>
  <c r="L172" i="19" s="1"/>
  <c r="M172" i="19" s="1"/>
  <c r="F173" i="19"/>
  <c r="L173" i="19" s="1"/>
  <c r="M173" i="19" s="1"/>
  <c r="F174" i="19"/>
  <c r="L174" i="19" s="1"/>
  <c r="M174" i="19" s="1"/>
  <c r="F175" i="19"/>
  <c r="L175" i="19" s="1"/>
  <c r="M175" i="19" s="1"/>
  <c r="F176" i="19"/>
  <c r="L176" i="19" s="1"/>
  <c r="M176" i="19" s="1"/>
  <c r="F177" i="19"/>
  <c r="L177" i="19" s="1"/>
  <c r="M177" i="19" s="1"/>
  <c r="F178" i="19"/>
  <c r="L178" i="19" s="1"/>
  <c r="M178" i="19" s="1"/>
  <c r="F179" i="19"/>
  <c r="L179" i="19" s="1"/>
  <c r="M179" i="19" s="1"/>
  <c r="F180" i="19"/>
  <c r="L180" i="19" s="1"/>
  <c r="M180" i="19" s="1"/>
  <c r="F181" i="19"/>
  <c r="L181" i="19" s="1"/>
  <c r="M181" i="19" s="1"/>
  <c r="F182" i="19"/>
  <c r="L182" i="19" s="1"/>
  <c r="M182" i="19" s="1"/>
  <c r="F183" i="19"/>
  <c r="L183" i="19" s="1"/>
  <c r="M183" i="19" s="1"/>
  <c r="F184" i="19"/>
  <c r="L184" i="19" s="1"/>
  <c r="M184" i="19" s="1"/>
  <c r="F185" i="19"/>
  <c r="L185" i="19" s="1"/>
  <c r="M185" i="19" s="1"/>
  <c r="F186" i="19"/>
  <c r="L186" i="19" s="1"/>
  <c r="M186" i="19" s="1"/>
  <c r="F187" i="19"/>
  <c r="L187" i="19" s="1"/>
  <c r="M187" i="19" s="1"/>
  <c r="F188" i="19"/>
  <c r="L188" i="19" s="1"/>
  <c r="M188" i="19" s="1"/>
  <c r="F189" i="19"/>
  <c r="L189" i="19" s="1"/>
  <c r="M189" i="19" s="1"/>
  <c r="F7" i="19"/>
  <c r="G7" i="20"/>
  <c r="AT7" i="20"/>
  <c r="AT8" i="20"/>
  <c r="AT9" i="20"/>
  <c r="AT10" i="20"/>
  <c r="AT11" i="20"/>
  <c r="AT14" i="20"/>
  <c r="AT15" i="20"/>
  <c r="AT16" i="20"/>
  <c r="AT17" i="20"/>
  <c r="AT19" i="20"/>
  <c r="AT20" i="20"/>
  <c r="A7" i="20" a="1"/>
  <c r="A7" i="20" s="1"/>
  <c r="AS4" i="20" s="1"/>
  <c r="B7" i="19" a="1"/>
  <c r="B7" i="19" s="1"/>
  <c r="X7" i="19" s="1"/>
  <c r="E16" i="19"/>
  <c r="E17" i="19"/>
  <c r="E18" i="19"/>
  <c r="E19" i="19"/>
  <c r="E20" i="19"/>
  <c r="E21" i="19"/>
  <c r="E22" i="19"/>
  <c r="E23" i="19"/>
  <c r="E24" i="19"/>
  <c r="E25" i="19"/>
  <c r="E26" i="19"/>
  <c r="E27" i="19"/>
  <c r="E28" i="19"/>
  <c r="E29" i="19"/>
  <c r="E30" i="19"/>
  <c r="E31" i="19"/>
  <c r="E32" i="19"/>
  <c r="E33" i="19"/>
  <c r="E34" i="19"/>
  <c r="E35" i="19"/>
  <c r="E36" i="19"/>
  <c r="E37" i="19"/>
  <c r="E38" i="19"/>
  <c r="E39" i="19"/>
  <c r="E40" i="19"/>
  <c r="E41" i="19"/>
  <c r="E42" i="19"/>
  <c r="E43" i="19"/>
  <c r="E44" i="19"/>
  <c r="E45" i="19"/>
  <c r="E46" i="19"/>
  <c r="E47" i="19"/>
  <c r="E48" i="19"/>
  <c r="E49" i="19"/>
  <c r="E50" i="19"/>
  <c r="E51" i="19"/>
  <c r="E52" i="19"/>
  <c r="E53" i="19"/>
  <c r="E54" i="19"/>
  <c r="E55" i="19"/>
  <c r="E56" i="19"/>
  <c r="E57" i="19"/>
  <c r="E58" i="19"/>
  <c r="E59" i="19"/>
  <c r="E60" i="19"/>
  <c r="E61" i="19"/>
  <c r="E62" i="19"/>
  <c r="E63" i="19"/>
  <c r="E64" i="19"/>
  <c r="E65" i="19"/>
  <c r="E66" i="19"/>
  <c r="E67" i="19"/>
  <c r="E68" i="19"/>
  <c r="E69" i="19"/>
  <c r="E70" i="19"/>
  <c r="E71" i="19"/>
  <c r="E72" i="19"/>
  <c r="E73" i="19"/>
  <c r="E74" i="19"/>
  <c r="E75" i="19"/>
  <c r="E76" i="19"/>
  <c r="E77" i="19"/>
  <c r="E78" i="19"/>
  <c r="E79" i="19"/>
  <c r="E80" i="19"/>
  <c r="E81" i="19"/>
  <c r="E82" i="19"/>
  <c r="E83" i="19"/>
  <c r="E84" i="19"/>
  <c r="E85" i="19"/>
  <c r="E86" i="19"/>
  <c r="E87" i="19"/>
  <c r="E88" i="19"/>
  <c r="E89" i="19"/>
  <c r="E90" i="19"/>
  <c r="E91" i="19"/>
  <c r="E92" i="19"/>
  <c r="E93" i="19"/>
  <c r="E94" i="19"/>
  <c r="E95" i="19"/>
  <c r="E96" i="19"/>
  <c r="E97" i="19"/>
  <c r="E98" i="19"/>
  <c r="E99" i="19"/>
  <c r="E100" i="19"/>
  <c r="E101" i="19"/>
  <c r="E102" i="19"/>
  <c r="E103" i="19"/>
  <c r="E104" i="19"/>
  <c r="E105" i="19"/>
  <c r="E106" i="19"/>
  <c r="E107" i="19"/>
  <c r="E108" i="19"/>
  <c r="E109" i="19"/>
  <c r="E110" i="19"/>
  <c r="E111" i="19"/>
  <c r="E112" i="19"/>
  <c r="E113" i="19"/>
  <c r="E114" i="19"/>
  <c r="E115" i="19"/>
  <c r="E116" i="19"/>
  <c r="E117" i="19"/>
  <c r="E118" i="19"/>
  <c r="E119" i="19"/>
  <c r="E120" i="19"/>
  <c r="E121" i="19"/>
  <c r="E122" i="19"/>
  <c r="E123" i="19"/>
  <c r="E124" i="19"/>
  <c r="E125" i="19"/>
  <c r="E126" i="19"/>
  <c r="E127" i="19"/>
  <c r="E128" i="19"/>
  <c r="E129" i="19"/>
  <c r="E130" i="19"/>
  <c r="E131" i="19"/>
  <c r="E132" i="19"/>
  <c r="E133" i="19"/>
  <c r="E134" i="19"/>
  <c r="E135" i="19"/>
  <c r="E136" i="19"/>
  <c r="E137" i="19"/>
  <c r="E138" i="19"/>
  <c r="E139" i="19"/>
  <c r="E140" i="19"/>
  <c r="E141" i="19"/>
  <c r="E142" i="19"/>
  <c r="E143" i="19"/>
  <c r="E144" i="19"/>
  <c r="E145" i="19"/>
  <c r="E146" i="19"/>
  <c r="E147" i="19"/>
  <c r="E148" i="19"/>
  <c r="E149" i="19"/>
  <c r="E150" i="19"/>
  <c r="E151" i="19"/>
  <c r="E152" i="19"/>
  <c r="E153" i="19"/>
  <c r="E154" i="19"/>
  <c r="E155" i="19"/>
  <c r="E156" i="19"/>
  <c r="E157" i="19"/>
  <c r="E158" i="19"/>
  <c r="E159" i="19"/>
  <c r="E160" i="19"/>
  <c r="E161" i="19"/>
  <c r="E162" i="19"/>
  <c r="E163" i="19"/>
  <c r="E164" i="19"/>
  <c r="E165" i="19"/>
  <c r="E166" i="19"/>
  <c r="E167" i="19"/>
  <c r="E168" i="19"/>
  <c r="E169" i="19"/>
  <c r="E170" i="19"/>
  <c r="E171" i="19"/>
  <c r="E172" i="19"/>
  <c r="E173" i="19"/>
  <c r="E174" i="19"/>
  <c r="E175" i="19"/>
  <c r="E176" i="19"/>
  <c r="E177" i="19"/>
  <c r="E178" i="19"/>
  <c r="E179" i="19"/>
  <c r="E180" i="19"/>
  <c r="E181" i="19"/>
  <c r="E182" i="19"/>
  <c r="E183" i="19"/>
  <c r="E184" i="19"/>
  <c r="E185" i="19"/>
  <c r="E186" i="19"/>
  <c r="E187" i="19"/>
  <c r="E188" i="19"/>
  <c r="E189" i="19"/>
  <c r="S188" i="19" l="1"/>
  <c r="S187" i="19"/>
  <c r="S161" i="19"/>
  <c r="S158" i="19"/>
  <c r="S131" i="19"/>
  <c r="S119" i="19"/>
  <c r="S90" i="19"/>
  <c r="S89" i="19"/>
  <c r="S63" i="19"/>
  <c r="S60" i="19"/>
  <c r="S45" i="19"/>
  <c r="S33" i="19"/>
  <c r="S21" i="19"/>
  <c r="S101" i="19"/>
  <c r="S174" i="19"/>
  <c r="S144" i="19"/>
  <c r="S114" i="19"/>
  <c r="S76" i="19"/>
  <c r="S46" i="19"/>
  <c r="S173" i="19"/>
  <c r="S143" i="19"/>
  <c r="S105" i="19"/>
  <c r="S75" i="19"/>
  <c r="S172" i="19"/>
  <c r="S142" i="19"/>
  <c r="S104" i="19"/>
  <c r="S74" i="19"/>
  <c r="S44" i="19"/>
  <c r="S171" i="19"/>
  <c r="S133" i="19"/>
  <c r="S103" i="19"/>
  <c r="S73" i="19"/>
  <c r="S35" i="19"/>
  <c r="S170" i="19"/>
  <c r="S132" i="19"/>
  <c r="S102" i="19"/>
  <c r="S72" i="19"/>
  <c r="S34" i="19"/>
  <c r="S160" i="19"/>
  <c r="S130" i="19"/>
  <c r="S100" i="19"/>
  <c r="S62" i="19"/>
  <c r="S32" i="19"/>
  <c r="S189" i="19"/>
  <c r="S159" i="19"/>
  <c r="S129" i="19"/>
  <c r="S91" i="19"/>
  <c r="S61" i="19"/>
  <c r="S31" i="19"/>
  <c r="S128" i="19"/>
  <c r="S30" i="19"/>
  <c r="S186" i="19"/>
  <c r="S156" i="19"/>
  <c r="S118" i="19"/>
  <c r="S88" i="19"/>
  <c r="S58" i="19"/>
  <c r="S20" i="19"/>
  <c r="S157" i="19"/>
  <c r="S59" i="19"/>
  <c r="S185" i="19"/>
  <c r="S147" i="19"/>
  <c r="S117" i="19"/>
  <c r="S87" i="19"/>
  <c r="S49" i="19"/>
  <c r="S19" i="19"/>
  <c r="S184" i="19"/>
  <c r="S146" i="19"/>
  <c r="S116" i="19"/>
  <c r="S86" i="19"/>
  <c r="S48" i="19"/>
  <c r="S18" i="19"/>
  <c r="S175" i="19"/>
  <c r="S145" i="19"/>
  <c r="S115" i="19"/>
  <c r="S77" i="19"/>
  <c r="S47" i="19"/>
  <c r="S17" i="19"/>
  <c r="S183" i="19"/>
  <c r="S169" i="19"/>
  <c r="S155" i="19"/>
  <c r="S141" i="19"/>
  <c r="S127" i="19"/>
  <c r="S113" i="19"/>
  <c r="S99" i="19"/>
  <c r="S85" i="19"/>
  <c r="S71" i="19"/>
  <c r="S57" i="19"/>
  <c r="S43" i="19"/>
  <c r="S29" i="19"/>
  <c r="S168" i="19"/>
  <c r="S154" i="19"/>
  <c r="S140" i="19"/>
  <c r="S98" i="19"/>
  <c r="S84" i="19"/>
  <c r="S70" i="19"/>
  <c r="S56" i="19"/>
  <c r="S42" i="19"/>
  <c r="S28" i="19"/>
  <c r="S153" i="19"/>
  <c r="S111" i="19"/>
  <c r="S83" i="19"/>
  <c r="S69" i="19"/>
  <c r="S55" i="19"/>
  <c r="S41" i="19"/>
  <c r="S27" i="19"/>
  <c r="S26" i="19"/>
  <c r="S182" i="19"/>
  <c r="S112" i="19"/>
  <c r="S167" i="19"/>
  <c r="S125" i="19"/>
  <c r="S54" i="19"/>
  <c r="S179" i="19"/>
  <c r="S165" i="19"/>
  <c r="S151" i="19"/>
  <c r="S137" i="19"/>
  <c r="S123" i="19"/>
  <c r="S109" i="19"/>
  <c r="S95" i="19"/>
  <c r="S81" i="19"/>
  <c r="S67" i="19"/>
  <c r="S53" i="19"/>
  <c r="S39" i="19"/>
  <c r="S25" i="19"/>
  <c r="S139" i="19"/>
  <c r="S180" i="19"/>
  <c r="S166" i="19"/>
  <c r="S152" i="19"/>
  <c r="S138" i="19"/>
  <c r="S124" i="19"/>
  <c r="S110" i="19"/>
  <c r="S96" i="19"/>
  <c r="S82" i="19"/>
  <c r="S68" i="19"/>
  <c r="S178" i="19"/>
  <c r="S164" i="19"/>
  <c r="S150" i="19"/>
  <c r="S136" i="19"/>
  <c r="S122" i="19"/>
  <c r="S108" i="19"/>
  <c r="S94" i="19"/>
  <c r="S80" i="19"/>
  <c r="S66" i="19"/>
  <c r="S52" i="19"/>
  <c r="S38" i="19"/>
  <c r="S24" i="19"/>
  <c r="S126" i="19"/>
  <c r="S181" i="19"/>
  <c r="S97" i="19"/>
  <c r="S40" i="19"/>
  <c r="S177" i="19"/>
  <c r="S163" i="19"/>
  <c r="S149" i="19"/>
  <c r="S135" i="19"/>
  <c r="S121" i="19"/>
  <c r="S107" i="19"/>
  <c r="S93" i="19"/>
  <c r="S79" i="19"/>
  <c r="S65" i="19"/>
  <c r="S51" i="19"/>
  <c r="S37" i="19"/>
  <c r="S23" i="19"/>
  <c r="S176" i="19"/>
  <c r="S162" i="19"/>
  <c r="S148" i="19"/>
  <c r="S134" i="19"/>
  <c r="S120" i="19"/>
  <c r="S106" i="19"/>
  <c r="S92" i="19"/>
  <c r="S78" i="19"/>
  <c r="S64" i="19"/>
  <c r="S50" i="19"/>
  <c r="S36" i="19"/>
  <c r="S22" i="19"/>
  <c r="G130" i="19"/>
  <c r="T48" i="19"/>
  <c r="W104" i="19"/>
  <c r="Y104" i="19" s="1"/>
  <c r="Z104" i="19" s="1"/>
  <c r="Y181" i="19"/>
  <c r="Z181" i="19" s="1"/>
  <c r="Y167" i="19"/>
  <c r="Z167" i="19" s="1"/>
  <c r="Y153" i="19"/>
  <c r="Z153" i="19" s="1"/>
  <c r="Y139" i="19"/>
  <c r="Z139" i="19" s="1"/>
  <c r="Y125" i="19"/>
  <c r="Z125" i="19" s="1"/>
  <c r="Y111" i="19"/>
  <c r="Z111" i="19" s="1"/>
  <c r="Y97" i="19"/>
  <c r="Z97" i="19" s="1"/>
  <c r="Y83" i="19"/>
  <c r="Z83" i="19" s="1"/>
  <c r="Y69" i="19"/>
  <c r="Z69" i="19" s="1"/>
  <c r="Y55" i="19"/>
  <c r="Z55" i="19" s="1"/>
  <c r="Y41" i="19"/>
  <c r="Z41" i="19" s="1"/>
  <c r="Y27" i="19"/>
  <c r="Z27" i="19" s="1"/>
  <c r="G75" i="19"/>
  <c r="T47" i="19"/>
  <c r="W75" i="19"/>
  <c r="Y75" i="19" s="1"/>
  <c r="Z75" i="19" s="1"/>
  <c r="Y19" i="19"/>
  <c r="Z19" i="19" s="1"/>
  <c r="G74" i="19"/>
  <c r="W63" i="19"/>
  <c r="Y63" i="19" s="1"/>
  <c r="Z63" i="19" s="1"/>
  <c r="Y117" i="19"/>
  <c r="Z117" i="19" s="1"/>
  <c r="Y47" i="19"/>
  <c r="Z47" i="19" s="1"/>
  <c r="T34" i="19"/>
  <c r="G61" i="19"/>
  <c r="T20" i="19"/>
  <c r="W62" i="19"/>
  <c r="Y62" i="19" s="1"/>
  <c r="Z62" i="19" s="1"/>
  <c r="T117" i="19"/>
  <c r="Y145" i="19"/>
  <c r="Z145" i="19" s="1"/>
  <c r="T103" i="19"/>
  <c r="W119" i="19"/>
  <c r="Y119" i="19" s="1"/>
  <c r="Z119" i="19" s="1"/>
  <c r="G187" i="19"/>
  <c r="G186" i="19"/>
  <c r="W105" i="19"/>
  <c r="Y105" i="19" s="1"/>
  <c r="Z105" i="19" s="1"/>
  <c r="T182" i="19"/>
  <c r="T19" i="19"/>
  <c r="W61" i="19"/>
  <c r="Y61" i="19" s="1"/>
  <c r="Z61" i="19" s="1"/>
  <c r="W133" i="19"/>
  <c r="Y133" i="19" s="1"/>
  <c r="Z133" i="19" s="1"/>
  <c r="Y33" i="19"/>
  <c r="Z33" i="19" s="1"/>
  <c r="W118" i="19"/>
  <c r="Y118" i="19" s="1"/>
  <c r="Z118" i="19" s="1"/>
  <c r="T146" i="19"/>
  <c r="W189" i="19"/>
  <c r="Y189" i="19" s="1"/>
  <c r="Z189" i="19" s="1"/>
  <c r="W35" i="19"/>
  <c r="Y35" i="19" s="1"/>
  <c r="Z35" i="19" s="1"/>
  <c r="Y131" i="19"/>
  <c r="Z131" i="19" s="1"/>
  <c r="Y176" i="19"/>
  <c r="Z176" i="19" s="1"/>
  <c r="Y162" i="19"/>
  <c r="Z162" i="19" s="1"/>
  <c r="Y148" i="19"/>
  <c r="Z148" i="19" s="1"/>
  <c r="Y134" i="19"/>
  <c r="Z134" i="19" s="1"/>
  <c r="Y120" i="19"/>
  <c r="Z120" i="19" s="1"/>
  <c r="Y106" i="19"/>
  <c r="Z106" i="19" s="1"/>
  <c r="Y92" i="19"/>
  <c r="Z92" i="19" s="1"/>
  <c r="Y78" i="19"/>
  <c r="Z78" i="19" s="1"/>
  <c r="Y64" i="19"/>
  <c r="Z64" i="19" s="1"/>
  <c r="Y50" i="19"/>
  <c r="Z50" i="19" s="1"/>
  <c r="Y36" i="19"/>
  <c r="Z36" i="19" s="1"/>
  <c r="Y22" i="19"/>
  <c r="Z22" i="19" s="1"/>
  <c r="T145" i="19"/>
  <c r="W188" i="19"/>
  <c r="Y188" i="19" s="1"/>
  <c r="Z188" i="19" s="1"/>
  <c r="W142" i="19"/>
  <c r="Y142" i="19" s="1"/>
  <c r="Z142" i="19" s="1"/>
  <c r="G43" i="19"/>
  <c r="G173" i="19"/>
  <c r="G33" i="19"/>
  <c r="T29" i="19"/>
  <c r="W45" i="19"/>
  <c r="Y45" i="19" s="1"/>
  <c r="Z45" i="19" s="1"/>
  <c r="X16" i="19"/>
  <c r="G172" i="19"/>
  <c r="G32" i="19"/>
  <c r="T28" i="19"/>
  <c r="W44" i="19"/>
  <c r="Y44" i="19" s="1"/>
  <c r="Z44" i="19" s="1"/>
  <c r="X15" i="19"/>
  <c r="W143" i="19"/>
  <c r="Y143" i="19" s="1"/>
  <c r="Z143" i="19" s="1"/>
  <c r="G145" i="19"/>
  <c r="G18" i="19"/>
  <c r="X14" i="19"/>
  <c r="G144" i="19"/>
  <c r="T185" i="19"/>
  <c r="T87" i="19"/>
  <c r="X13" i="19"/>
  <c r="G131" i="19"/>
  <c r="T184" i="19"/>
  <c r="T86" i="19"/>
  <c r="X12" i="19"/>
  <c r="G116" i="19"/>
  <c r="T174" i="19"/>
  <c r="T76" i="19"/>
  <c r="W187" i="19"/>
  <c r="Y187" i="19" s="1"/>
  <c r="Z187" i="19" s="1"/>
  <c r="W21" i="19"/>
  <c r="Y21" i="19" s="1"/>
  <c r="Z21" i="19" s="1"/>
  <c r="X10" i="19"/>
  <c r="X11" i="19"/>
  <c r="G103" i="19"/>
  <c r="T173" i="19"/>
  <c r="W91" i="19"/>
  <c r="Y91" i="19" s="1"/>
  <c r="Z91" i="19" s="1"/>
  <c r="X9" i="19"/>
  <c r="G102" i="19"/>
  <c r="T160" i="19"/>
  <c r="W161" i="19"/>
  <c r="Y161" i="19" s="1"/>
  <c r="Z161" i="19" s="1"/>
  <c r="W90" i="19"/>
  <c r="Y90" i="19" s="1"/>
  <c r="Z90" i="19" s="1"/>
  <c r="X8" i="19"/>
  <c r="W30" i="19"/>
  <c r="Y30" i="19" s="1"/>
  <c r="Z30" i="19" s="1"/>
  <c r="G89" i="19"/>
  <c r="T154" i="19"/>
  <c r="T57" i="19"/>
  <c r="W89" i="19"/>
  <c r="Y89" i="19" s="1"/>
  <c r="Z89" i="19" s="1"/>
  <c r="G72" i="19"/>
  <c r="W172" i="19"/>
  <c r="Y172" i="19" s="1"/>
  <c r="Z172" i="19" s="1"/>
  <c r="G114" i="19"/>
  <c r="G73" i="19"/>
  <c r="T115" i="19"/>
  <c r="G31" i="19"/>
  <c r="T144" i="19"/>
  <c r="W102" i="19"/>
  <c r="Y102" i="19" s="1"/>
  <c r="Z102" i="19" s="1"/>
  <c r="G185" i="19"/>
  <c r="G71" i="19"/>
  <c r="G30" i="19"/>
  <c r="T112" i="19"/>
  <c r="T46" i="19"/>
  <c r="T18" i="19"/>
  <c r="W101" i="19"/>
  <c r="Y101" i="19" s="1"/>
  <c r="Z101" i="19" s="1"/>
  <c r="G184" i="19"/>
  <c r="G143" i="19"/>
  <c r="G29" i="19"/>
  <c r="T74" i="19"/>
  <c r="T17" i="19"/>
  <c r="W130" i="19"/>
  <c r="Y130" i="19" s="1"/>
  <c r="Z130" i="19" s="1"/>
  <c r="W100" i="19"/>
  <c r="Y100" i="19" s="1"/>
  <c r="Z100" i="19" s="1"/>
  <c r="W32" i="19"/>
  <c r="Y32" i="19" s="1"/>
  <c r="Z32" i="19" s="1"/>
  <c r="G183" i="19"/>
  <c r="G142" i="19"/>
  <c r="G101" i="19"/>
  <c r="G60" i="19"/>
  <c r="G19" i="19"/>
  <c r="T171" i="19"/>
  <c r="T140" i="19"/>
  <c r="T73" i="19"/>
  <c r="W129" i="19"/>
  <c r="Y129" i="19" s="1"/>
  <c r="Z129" i="19" s="1"/>
  <c r="W31" i="19"/>
  <c r="Y31" i="19" s="1"/>
  <c r="Z31" i="19" s="1"/>
  <c r="G156" i="19"/>
  <c r="T116" i="19"/>
  <c r="G113" i="19"/>
  <c r="G100" i="19"/>
  <c r="W158" i="19"/>
  <c r="Y158" i="19" s="1"/>
  <c r="Z158" i="19" s="1"/>
  <c r="W128" i="19"/>
  <c r="Y128" i="19" s="1"/>
  <c r="Z128" i="19" s="1"/>
  <c r="W60" i="19"/>
  <c r="Y60" i="19" s="1"/>
  <c r="Z60" i="19" s="1"/>
  <c r="W59" i="19"/>
  <c r="Y59" i="19" s="1"/>
  <c r="Z59" i="19" s="1"/>
  <c r="G57" i="19"/>
  <c r="G16" i="19"/>
  <c r="W186" i="19"/>
  <c r="Y186" i="19" s="1"/>
  <c r="Z186" i="19" s="1"/>
  <c r="W156" i="19"/>
  <c r="Y156" i="19" s="1"/>
  <c r="Z156" i="19" s="1"/>
  <c r="G170" i="19"/>
  <c r="G129" i="19"/>
  <c r="G88" i="19"/>
  <c r="G47" i="19"/>
  <c r="G15" i="19"/>
  <c r="T98" i="19"/>
  <c r="W147" i="19"/>
  <c r="Y147" i="19" s="1"/>
  <c r="Z147" i="19" s="1"/>
  <c r="W49" i="19"/>
  <c r="Y49" i="19" s="1"/>
  <c r="Z49" i="19" s="1"/>
  <c r="G157" i="19"/>
  <c r="G155" i="19"/>
  <c r="G99" i="19"/>
  <c r="G58" i="19"/>
  <c r="T168" i="19"/>
  <c r="T70" i="19"/>
  <c r="T42" i="19"/>
  <c r="W157" i="19"/>
  <c r="Y157" i="19" s="1"/>
  <c r="Z157" i="19" s="1"/>
  <c r="W88" i="19"/>
  <c r="Y88" i="19" s="1"/>
  <c r="Z88" i="19" s="1"/>
  <c r="G169" i="19"/>
  <c r="G128" i="19"/>
  <c r="G87" i="19"/>
  <c r="G46" i="19"/>
  <c r="W170" i="19"/>
  <c r="Y170" i="19" s="1"/>
  <c r="Z170" i="19" s="1"/>
  <c r="G159" i="19"/>
  <c r="G127" i="19"/>
  <c r="G86" i="19"/>
  <c r="G45" i="19"/>
  <c r="T126" i="19"/>
  <c r="W175" i="19"/>
  <c r="Y175" i="19" s="1"/>
  <c r="Z175" i="19" s="1"/>
  <c r="W77" i="19"/>
  <c r="Y77" i="19" s="1"/>
  <c r="Z77" i="19" s="1"/>
  <c r="G115" i="19"/>
  <c r="T114" i="19"/>
  <c r="W72" i="19"/>
  <c r="Y72" i="19" s="1"/>
  <c r="Z72" i="19" s="1"/>
  <c r="G141" i="19"/>
  <c r="G59" i="19"/>
  <c r="T43" i="19"/>
  <c r="G17" i="19"/>
  <c r="G171" i="19"/>
  <c r="W58" i="19"/>
  <c r="Y58" i="19" s="1"/>
  <c r="Z58" i="19" s="1"/>
  <c r="G158" i="19"/>
  <c r="G117" i="19"/>
  <c r="G85" i="19"/>
  <c r="G44" i="19"/>
  <c r="G182" i="19"/>
  <c r="G154" i="19"/>
  <c r="G126" i="19"/>
  <c r="G98" i="19"/>
  <c r="G70" i="19"/>
  <c r="G42" i="19"/>
  <c r="T169" i="19"/>
  <c r="T141" i="19"/>
  <c r="T113" i="19"/>
  <c r="T85" i="19"/>
  <c r="T71" i="19"/>
  <c r="G181" i="19"/>
  <c r="G167" i="19"/>
  <c r="G153" i="19"/>
  <c r="G139" i="19"/>
  <c r="G125" i="19"/>
  <c r="G111" i="19"/>
  <c r="G97" i="19"/>
  <c r="G83" i="19"/>
  <c r="G69" i="19"/>
  <c r="G55" i="19"/>
  <c r="G41" i="19"/>
  <c r="G27" i="19"/>
  <c r="W183" i="19"/>
  <c r="Y183" i="19" s="1"/>
  <c r="Z183" i="19" s="1"/>
  <c r="W155" i="19"/>
  <c r="Y155" i="19" s="1"/>
  <c r="Z155" i="19" s="1"/>
  <c r="W127" i="19"/>
  <c r="Y127" i="19" s="1"/>
  <c r="Z127" i="19" s="1"/>
  <c r="W99" i="19"/>
  <c r="Y99" i="19" s="1"/>
  <c r="Z99" i="19" s="1"/>
  <c r="G168" i="19"/>
  <c r="G140" i="19"/>
  <c r="G112" i="19"/>
  <c r="G84" i="19"/>
  <c r="G56" i="19"/>
  <c r="G28" i="19"/>
  <c r="G180" i="19"/>
  <c r="G166" i="19"/>
  <c r="G152" i="19"/>
  <c r="G138" i="19"/>
  <c r="G124" i="19"/>
  <c r="G110" i="19"/>
  <c r="G96" i="19"/>
  <c r="G82" i="19"/>
  <c r="G68" i="19"/>
  <c r="G54" i="19"/>
  <c r="G40" i="19"/>
  <c r="G26" i="19"/>
  <c r="T181" i="19"/>
  <c r="T167" i="19"/>
  <c r="T153" i="19"/>
  <c r="T139" i="19"/>
  <c r="T125" i="19"/>
  <c r="T111" i="19"/>
  <c r="T97" i="19"/>
  <c r="T83" i="19"/>
  <c r="T69" i="19"/>
  <c r="T55" i="19"/>
  <c r="T41" i="19"/>
  <c r="T27" i="19"/>
  <c r="G178" i="19"/>
  <c r="G164" i="19"/>
  <c r="G150" i="19"/>
  <c r="G136" i="19"/>
  <c r="G122" i="19"/>
  <c r="G108" i="19"/>
  <c r="G94" i="19"/>
  <c r="G80" i="19"/>
  <c r="G66" i="19"/>
  <c r="G52" i="19"/>
  <c r="G38" i="19"/>
  <c r="G24" i="19"/>
  <c r="T179" i="19"/>
  <c r="T165" i="19"/>
  <c r="T151" i="19"/>
  <c r="T137" i="19"/>
  <c r="T123" i="19"/>
  <c r="T109" i="19"/>
  <c r="T95" i="19"/>
  <c r="T81" i="19"/>
  <c r="T67" i="19"/>
  <c r="T53" i="19"/>
  <c r="T39" i="19"/>
  <c r="T25" i="19"/>
  <c r="W180" i="19"/>
  <c r="Y180" i="19" s="1"/>
  <c r="Z180" i="19" s="1"/>
  <c r="W166" i="19"/>
  <c r="Y166" i="19" s="1"/>
  <c r="Z166" i="19" s="1"/>
  <c r="W152" i="19"/>
  <c r="Y152" i="19" s="1"/>
  <c r="Z152" i="19" s="1"/>
  <c r="W138" i="19"/>
  <c r="Y138" i="19" s="1"/>
  <c r="Z138" i="19" s="1"/>
  <c r="W124" i="19"/>
  <c r="Y124" i="19" s="1"/>
  <c r="Z124" i="19" s="1"/>
  <c r="W110" i="19"/>
  <c r="Y110" i="19" s="1"/>
  <c r="Z110" i="19" s="1"/>
  <c r="W96" i="19"/>
  <c r="Y96" i="19" s="1"/>
  <c r="Z96" i="19" s="1"/>
  <c r="W82" i="19"/>
  <c r="Y82" i="19" s="1"/>
  <c r="Z82" i="19" s="1"/>
  <c r="W68" i="19"/>
  <c r="Y68" i="19" s="1"/>
  <c r="Z68" i="19" s="1"/>
  <c r="W54" i="19"/>
  <c r="Y54" i="19" s="1"/>
  <c r="Z54" i="19" s="1"/>
  <c r="W40" i="19"/>
  <c r="Y40" i="19" s="1"/>
  <c r="Z40" i="19" s="1"/>
  <c r="W26" i="19"/>
  <c r="Y26" i="19" s="1"/>
  <c r="Z26" i="19" s="1"/>
  <c r="G179" i="19"/>
  <c r="G137" i="19"/>
  <c r="G109" i="19"/>
  <c r="G95" i="19"/>
  <c r="G67" i="19"/>
  <c r="G53" i="19"/>
  <c r="G25" i="19"/>
  <c r="G177" i="19"/>
  <c r="G163" i="19"/>
  <c r="G149" i="19"/>
  <c r="G135" i="19"/>
  <c r="G121" i="19"/>
  <c r="G107" i="19"/>
  <c r="G93" i="19"/>
  <c r="G79" i="19"/>
  <c r="G65" i="19"/>
  <c r="G51" i="19"/>
  <c r="G37" i="19"/>
  <c r="G23" i="19"/>
  <c r="T178" i="19"/>
  <c r="T164" i="19"/>
  <c r="T150" i="19"/>
  <c r="T136" i="19"/>
  <c r="T122" i="19"/>
  <c r="T108" i="19"/>
  <c r="T94" i="19"/>
  <c r="T80" i="19"/>
  <c r="T66" i="19"/>
  <c r="T52" i="19"/>
  <c r="T38" i="19"/>
  <c r="T24" i="19"/>
  <c r="G165" i="19"/>
  <c r="G151" i="19"/>
  <c r="G123" i="19"/>
  <c r="G81" i="19"/>
  <c r="G39" i="19"/>
  <c r="G176" i="19"/>
  <c r="G162" i="19"/>
  <c r="G148" i="19"/>
  <c r="G134" i="19"/>
  <c r="G120" i="19"/>
  <c r="G106" i="19"/>
  <c r="G92" i="19"/>
  <c r="G78" i="19"/>
  <c r="G64" i="19"/>
  <c r="G50" i="19"/>
  <c r="G36" i="19"/>
  <c r="G22" i="19"/>
  <c r="T177" i="19"/>
  <c r="T163" i="19"/>
  <c r="T149" i="19"/>
  <c r="T135" i="19"/>
  <c r="T121" i="19"/>
  <c r="T107" i="19"/>
  <c r="T93" i="19"/>
  <c r="T79" i="19"/>
  <c r="T65" i="19"/>
  <c r="T51" i="19"/>
  <c r="T37" i="19"/>
  <c r="T23" i="19"/>
  <c r="G189" i="19"/>
  <c r="G175" i="19"/>
  <c r="G161" i="19"/>
  <c r="G147" i="19"/>
  <c r="G133" i="19"/>
  <c r="G119" i="19"/>
  <c r="G105" i="19"/>
  <c r="G91" i="19"/>
  <c r="G77" i="19"/>
  <c r="G63" i="19"/>
  <c r="G49" i="19"/>
  <c r="G35" i="19"/>
  <c r="G21" i="19"/>
  <c r="T176" i="19"/>
  <c r="T162" i="19"/>
  <c r="T148" i="19"/>
  <c r="T134" i="19"/>
  <c r="T120" i="19"/>
  <c r="T106" i="19"/>
  <c r="T92" i="19"/>
  <c r="T78" i="19"/>
  <c r="T64" i="19"/>
  <c r="T50" i="19"/>
  <c r="T36" i="19"/>
  <c r="T22" i="19"/>
  <c r="G188" i="19"/>
  <c r="G174" i="19"/>
  <c r="G160" i="19"/>
  <c r="G146" i="19"/>
  <c r="G132" i="19"/>
  <c r="G118" i="19"/>
  <c r="G104" i="19"/>
  <c r="G90" i="19"/>
  <c r="G76" i="19"/>
  <c r="G62" i="19"/>
  <c r="G48" i="19"/>
  <c r="G34" i="19"/>
  <c r="G20" i="19"/>
  <c r="I16" i="19"/>
  <c r="I15" i="19"/>
  <c r="O16" i="19"/>
  <c r="O15" i="19"/>
  <c r="Q16" i="19"/>
  <c r="Q15" i="19"/>
  <c r="N150" i="19"/>
  <c r="N100" i="19"/>
  <c r="N170" i="19"/>
  <c r="N97" i="19"/>
  <c r="N84" i="19"/>
  <c r="N70" i="19"/>
  <c r="N56" i="19"/>
  <c r="N42" i="19"/>
  <c r="N28" i="19"/>
  <c r="N30" i="19"/>
  <c r="N108" i="19"/>
  <c r="N181" i="19"/>
  <c r="N114" i="19"/>
  <c r="N43" i="19"/>
  <c r="N120" i="19"/>
  <c r="N44" i="19"/>
  <c r="N83" i="19"/>
  <c r="N134" i="19"/>
  <c r="N37" i="19"/>
  <c r="N141" i="19"/>
  <c r="N142" i="19"/>
  <c r="N57" i="19"/>
  <c r="N155" i="19"/>
  <c r="N93" i="19"/>
  <c r="N94" i="19"/>
  <c r="N22" i="19"/>
  <c r="N121" i="19"/>
  <c r="N41" i="19"/>
  <c r="N66" i="19"/>
  <c r="N92" i="19"/>
  <c r="N113" i="19"/>
  <c r="N139" i="19"/>
  <c r="N164" i="19"/>
  <c r="N67" i="19"/>
  <c r="N165" i="19"/>
  <c r="N69" i="19"/>
  <c r="N167" i="19"/>
  <c r="N95" i="19"/>
  <c r="N79" i="19"/>
  <c r="N53" i="19"/>
  <c r="N72" i="19"/>
  <c r="N71" i="19"/>
  <c r="N52" i="19"/>
  <c r="N81" i="19"/>
  <c r="N168" i="19"/>
  <c r="N98" i="19"/>
  <c r="N111" i="19"/>
  <c r="N27" i="19"/>
  <c r="N25" i="19"/>
  <c r="N55" i="19"/>
  <c r="N169" i="19"/>
  <c r="N154" i="19"/>
  <c r="N112" i="19"/>
  <c r="N127" i="19"/>
  <c r="N125" i="19"/>
  <c r="N156" i="19"/>
  <c r="N123" i="19"/>
  <c r="N58" i="19"/>
  <c r="N24" i="19"/>
  <c r="N153" i="19"/>
  <c r="N151" i="19"/>
  <c r="N99" i="19"/>
  <c r="N182" i="19"/>
  <c r="N140" i="19"/>
  <c r="N126" i="19"/>
  <c r="N109" i="19"/>
  <c r="N23" i="19"/>
  <c r="N122" i="19"/>
  <c r="N184" i="19"/>
  <c r="N163" i="19"/>
  <c r="N137" i="19"/>
  <c r="N86" i="19"/>
  <c r="N65" i="19"/>
  <c r="N39" i="19"/>
  <c r="N183" i="19"/>
  <c r="N162" i="19"/>
  <c r="N136" i="19"/>
  <c r="N85" i="19"/>
  <c r="N64" i="19"/>
  <c r="N38" i="19"/>
  <c r="N135" i="19"/>
  <c r="N36" i="19"/>
  <c r="N128" i="19"/>
  <c r="N178" i="19"/>
  <c r="N106" i="19"/>
  <c r="N176" i="19"/>
  <c r="N78" i="19"/>
  <c r="N179" i="19"/>
  <c r="N107" i="19"/>
  <c r="N29" i="19"/>
  <c r="N80" i="19"/>
  <c r="N177" i="19"/>
  <c r="N149" i="19"/>
  <c r="N51" i="19"/>
  <c r="N148" i="19"/>
  <c r="N50" i="19"/>
  <c r="N180" i="19"/>
  <c r="N166" i="19"/>
  <c r="N152" i="19"/>
  <c r="N138" i="19"/>
  <c r="N124" i="19"/>
  <c r="N110" i="19"/>
  <c r="N96" i="19"/>
  <c r="N82" i="19"/>
  <c r="N68" i="19"/>
  <c r="N54" i="19"/>
  <c r="N40" i="19"/>
  <c r="N26" i="19"/>
  <c r="N147" i="19"/>
  <c r="N77" i="19"/>
  <c r="N188" i="19"/>
  <c r="N174" i="19"/>
  <c r="N160" i="19"/>
  <c r="N146" i="19"/>
  <c r="N132" i="19"/>
  <c r="N118" i="19"/>
  <c r="N104" i="19"/>
  <c r="N90" i="19"/>
  <c r="N76" i="19"/>
  <c r="N62" i="19"/>
  <c r="N48" i="19"/>
  <c r="N34" i="19"/>
  <c r="N20" i="19"/>
  <c r="N175" i="19"/>
  <c r="N133" i="19"/>
  <c r="N91" i="19"/>
  <c r="N35" i="19"/>
  <c r="N187" i="19"/>
  <c r="N173" i="19"/>
  <c r="N159" i="19"/>
  <c r="N145" i="19"/>
  <c r="N131" i="19"/>
  <c r="N117" i="19"/>
  <c r="N103" i="19"/>
  <c r="N89" i="19"/>
  <c r="N75" i="19"/>
  <c r="N61" i="19"/>
  <c r="N47" i="19"/>
  <c r="N33" i="19"/>
  <c r="N19" i="19"/>
  <c r="N189" i="19"/>
  <c r="N119" i="19"/>
  <c r="N63" i="19"/>
  <c r="N21" i="19"/>
  <c r="N186" i="19"/>
  <c r="N172" i="19"/>
  <c r="N158" i="19"/>
  <c r="N144" i="19"/>
  <c r="N130" i="19"/>
  <c r="N116" i="19"/>
  <c r="N102" i="19"/>
  <c r="N88" i="19"/>
  <c r="N74" i="19"/>
  <c r="N60" i="19"/>
  <c r="N46" i="19"/>
  <c r="N32" i="19"/>
  <c r="N18" i="19"/>
  <c r="N161" i="19"/>
  <c r="N105" i="19"/>
  <c r="N49" i="19"/>
  <c r="N185" i="19"/>
  <c r="N171" i="19"/>
  <c r="N157" i="19"/>
  <c r="N143" i="19"/>
  <c r="N129" i="19"/>
  <c r="N115" i="19"/>
  <c r="N101" i="19"/>
  <c r="N87" i="19"/>
  <c r="N73" i="19"/>
  <c r="N59" i="19"/>
  <c r="N45" i="19"/>
  <c r="N31" i="19"/>
  <c r="N17" i="19"/>
  <c r="N16" i="19"/>
  <c r="N15" i="19"/>
  <c r="P26" i="19"/>
  <c r="P25" i="19"/>
  <c r="A8" i="20" a="1"/>
  <c r="A8" i="20" s="1"/>
  <c r="AS5" i="20" s="1"/>
  <c r="H7" i="20"/>
  <c r="C7" i="20"/>
  <c r="D8" i="19"/>
  <c r="D9" i="19"/>
  <c r="D10" i="19"/>
  <c r="D11" i="19"/>
  <c r="D12" i="19"/>
  <c r="D13" i="19"/>
  <c r="D14" i="19"/>
  <c r="D15" i="19"/>
  <c r="D16" i="19"/>
  <c r="D17" i="19"/>
  <c r="D18" i="19"/>
  <c r="D19" i="19"/>
  <c r="D20" i="19"/>
  <c r="D21" i="19"/>
  <c r="D22" i="19"/>
  <c r="D23" i="19"/>
  <c r="D24" i="19"/>
  <c r="D25" i="19"/>
  <c r="D26" i="19"/>
  <c r="D27" i="19"/>
  <c r="D28" i="19"/>
  <c r="D29" i="19"/>
  <c r="D30" i="19"/>
  <c r="D31" i="19"/>
  <c r="D32" i="19"/>
  <c r="D33" i="19"/>
  <c r="D34" i="19"/>
  <c r="D35" i="19"/>
  <c r="D36" i="19"/>
  <c r="D37" i="19"/>
  <c r="D38" i="19"/>
  <c r="D39" i="19"/>
  <c r="D40" i="19"/>
  <c r="D41" i="19"/>
  <c r="D42" i="19"/>
  <c r="D43" i="19"/>
  <c r="D44" i="19"/>
  <c r="D45" i="19"/>
  <c r="D46" i="19"/>
  <c r="D47" i="19"/>
  <c r="D48" i="19"/>
  <c r="D49" i="19"/>
  <c r="D50" i="19"/>
  <c r="D51" i="19"/>
  <c r="D52" i="19"/>
  <c r="D53" i="19"/>
  <c r="D54" i="19"/>
  <c r="D55" i="19"/>
  <c r="D56" i="19"/>
  <c r="D57" i="19"/>
  <c r="D58" i="19"/>
  <c r="D59" i="19"/>
  <c r="D60" i="19"/>
  <c r="D61" i="19"/>
  <c r="D62" i="19"/>
  <c r="D63" i="19"/>
  <c r="D64" i="19"/>
  <c r="D65" i="19"/>
  <c r="D66" i="19"/>
  <c r="D67" i="19"/>
  <c r="D68" i="19"/>
  <c r="D69" i="19"/>
  <c r="D70" i="19"/>
  <c r="D71" i="19"/>
  <c r="D72" i="19"/>
  <c r="D73" i="19"/>
  <c r="D74" i="19"/>
  <c r="D75" i="19"/>
  <c r="D76" i="19"/>
  <c r="D77" i="19"/>
  <c r="D78" i="19"/>
  <c r="D79" i="19"/>
  <c r="D80" i="19"/>
  <c r="D81" i="19"/>
  <c r="D82" i="19"/>
  <c r="D83" i="19"/>
  <c r="D84" i="19"/>
  <c r="D85" i="19"/>
  <c r="D86" i="19"/>
  <c r="D87" i="19"/>
  <c r="D88" i="19"/>
  <c r="D89" i="19"/>
  <c r="D90" i="19"/>
  <c r="D91" i="19"/>
  <c r="D92" i="19"/>
  <c r="D93" i="19"/>
  <c r="D94" i="19"/>
  <c r="D95" i="19"/>
  <c r="D96" i="19"/>
  <c r="D97" i="19"/>
  <c r="D98" i="19"/>
  <c r="D99" i="19"/>
  <c r="D100" i="19"/>
  <c r="D101" i="19"/>
  <c r="D102" i="19"/>
  <c r="D103" i="19"/>
  <c r="D104" i="19"/>
  <c r="D105" i="19"/>
  <c r="D106" i="19"/>
  <c r="D107" i="19"/>
  <c r="D108" i="19"/>
  <c r="D109" i="19"/>
  <c r="D110" i="19"/>
  <c r="D111" i="19"/>
  <c r="D112" i="19"/>
  <c r="D113" i="19"/>
  <c r="D114" i="19"/>
  <c r="D115" i="19"/>
  <c r="D116" i="19"/>
  <c r="D117" i="19"/>
  <c r="D118" i="19"/>
  <c r="D119" i="19"/>
  <c r="D120" i="19"/>
  <c r="D121" i="19"/>
  <c r="D122" i="19"/>
  <c r="D123" i="19"/>
  <c r="D124" i="19"/>
  <c r="D125" i="19"/>
  <c r="D126" i="19"/>
  <c r="D127" i="19"/>
  <c r="D128" i="19"/>
  <c r="D129" i="19"/>
  <c r="D130" i="19"/>
  <c r="D131" i="19"/>
  <c r="D132" i="19"/>
  <c r="D133" i="19"/>
  <c r="D134" i="19"/>
  <c r="D135" i="19"/>
  <c r="D136" i="19"/>
  <c r="D137" i="19"/>
  <c r="D138" i="19"/>
  <c r="D139" i="19"/>
  <c r="D140" i="19"/>
  <c r="D141" i="19"/>
  <c r="D142" i="19"/>
  <c r="D143" i="19"/>
  <c r="D144" i="19"/>
  <c r="D145" i="19"/>
  <c r="D146" i="19"/>
  <c r="D147" i="19"/>
  <c r="D148" i="19"/>
  <c r="D149" i="19"/>
  <c r="D150" i="19"/>
  <c r="D151" i="19"/>
  <c r="D152" i="19"/>
  <c r="D153" i="19"/>
  <c r="D154" i="19"/>
  <c r="D155" i="19"/>
  <c r="D156" i="19"/>
  <c r="D157" i="19"/>
  <c r="D158" i="19"/>
  <c r="D159" i="19"/>
  <c r="D160" i="19"/>
  <c r="D161" i="19"/>
  <c r="D162" i="19"/>
  <c r="D163" i="19"/>
  <c r="D164" i="19"/>
  <c r="D165" i="19"/>
  <c r="D166" i="19"/>
  <c r="D167" i="19"/>
  <c r="D168" i="19"/>
  <c r="D169" i="19"/>
  <c r="D170" i="19"/>
  <c r="D171" i="19"/>
  <c r="D172" i="19"/>
  <c r="D173" i="19"/>
  <c r="D174" i="19"/>
  <c r="D175" i="19"/>
  <c r="D176" i="19"/>
  <c r="D177" i="19"/>
  <c r="D178" i="19"/>
  <c r="D179" i="19"/>
  <c r="D180" i="19"/>
  <c r="D181" i="19"/>
  <c r="D182" i="19"/>
  <c r="D183" i="19"/>
  <c r="D184" i="19"/>
  <c r="D185" i="19"/>
  <c r="D186" i="19"/>
  <c r="D187" i="19"/>
  <c r="D188" i="19"/>
  <c r="D189" i="19"/>
  <c r="D7" i="19"/>
  <c r="E8" i="19"/>
  <c r="I8" i="19" s="1"/>
  <c r="E9" i="19"/>
  <c r="I9" i="19" s="1"/>
  <c r="E10" i="19"/>
  <c r="I10" i="19" s="1"/>
  <c r="E11" i="19"/>
  <c r="I11" i="19" s="1"/>
  <c r="E12" i="19"/>
  <c r="I12" i="19" s="1"/>
  <c r="E13" i="19"/>
  <c r="I13" i="19" s="1"/>
  <c r="E14" i="19"/>
  <c r="I14" i="19" s="1"/>
  <c r="E15" i="19"/>
  <c r="E7" i="19"/>
  <c r="H19" i="19"/>
  <c r="H20" i="19"/>
  <c r="H21" i="19"/>
  <c r="H22" i="19"/>
  <c r="H23" i="19"/>
  <c r="H24" i="19"/>
  <c r="H25" i="19"/>
  <c r="H26" i="19"/>
  <c r="H27" i="19"/>
  <c r="H28" i="19"/>
  <c r="H29" i="19"/>
  <c r="H30" i="19"/>
  <c r="H31" i="19"/>
  <c r="H32" i="19"/>
  <c r="H33" i="19"/>
  <c r="H34" i="19"/>
  <c r="H35" i="19"/>
  <c r="H36" i="19"/>
  <c r="H37" i="19"/>
  <c r="H38" i="19"/>
  <c r="H39" i="19"/>
  <c r="H40" i="19"/>
  <c r="H41" i="19"/>
  <c r="H42" i="19"/>
  <c r="H43" i="19"/>
  <c r="H44" i="19"/>
  <c r="H45" i="19"/>
  <c r="H46" i="19"/>
  <c r="H47" i="19"/>
  <c r="H48" i="19"/>
  <c r="H49" i="19"/>
  <c r="H50" i="19"/>
  <c r="H51" i="19"/>
  <c r="H52" i="19"/>
  <c r="H53" i="19"/>
  <c r="H54" i="19"/>
  <c r="H55" i="19"/>
  <c r="H56" i="19"/>
  <c r="H57" i="19"/>
  <c r="H58" i="19"/>
  <c r="H59" i="19"/>
  <c r="H60" i="19"/>
  <c r="H61" i="19"/>
  <c r="H62" i="19"/>
  <c r="H63" i="19"/>
  <c r="H64" i="19"/>
  <c r="H65" i="19"/>
  <c r="H66" i="19"/>
  <c r="H67" i="19"/>
  <c r="H68" i="19"/>
  <c r="H69" i="19"/>
  <c r="H70" i="19"/>
  <c r="H71" i="19"/>
  <c r="H72" i="19"/>
  <c r="H73" i="19"/>
  <c r="H74" i="19"/>
  <c r="H75" i="19"/>
  <c r="H76" i="19"/>
  <c r="H77" i="19"/>
  <c r="H78" i="19"/>
  <c r="H79" i="19"/>
  <c r="H80" i="19"/>
  <c r="H81" i="19"/>
  <c r="H82" i="19"/>
  <c r="H83" i="19"/>
  <c r="H84" i="19"/>
  <c r="H85" i="19"/>
  <c r="H86" i="19"/>
  <c r="H87" i="19"/>
  <c r="H88" i="19"/>
  <c r="H89" i="19"/>
  <c r="H90" i="19"/>
  <c r="H91" i="19"/>
  <c r="H92" i="19"/>
  <c r="H93" i="19"/>
  <c r="H94" i="19"/>
  <c r="H95" i="19"/>
  <c r="H96" i="19"/>
  <c r="H97" i="19"/>
  <c r="H98" i="19"/>
  <c r="H99" i="19"/>
  <c r="H100" i="19"/>
  <c r="H101" i="19"/>
  <c r="H102" i="19"/>
  <c r="H103" i="19"/>
  <c r="H104" i="19"/>
  <c r="H105" i="19"/>
  <c r="H106" i="19"/>
  <c r="H107" i="19"/>
  <c r="H108" i="19"/>
  <c r="H109" i="19"/>
  <c r="H110" i="19"/>
  <c r="H111" i="19"/>
  <c r="H112" i="19"/>
  <c r="H113" i="19"/>
  <c r="H114" i="19"/>
  <c r="H115" i="19"/>
  <c r="H116" i="19"/>
  <c r="H117" i="19"/>
  <c r="H118" i="19"/>
  <c r="H119" i="19"/>
  <c r="H120" i="19"/>
  <c r="H121" i="19"/>
  <c r="H122" i="19"/>
  <c r="H123" i="19"/>
  <c r="H124" i="19"/>
  <c r="H125" i="19"/>
  <c r="H126" i="19"/>
  <c r="H127" i="19"/>
  <c r="H128" i="19"/>
  <c r="H129" i="19"/>
  <c r="H130" i="19"/>
  <c r="H131" i="19"/>
  <c r="H132" i="19"/>
  <c r="H133" i="19"/>
  <c r="H134" i="19"/>
  <c r="H135" i="19"/>
  <c r="H136" i="19"/>
  <c r="H137" i="19"/>
  <c r="H138" i="19"/>
  <c r="H139" i="19"/>
  <c r="H140" i="19"/>
  <c r="H141" i="19"/>
  <c r="H142" i="19"/>
  <c r="H143" i="19"/>
  <c r="H144" i="19"/>
  <c r="H145" i="19"/>
  <c r="H146" i="19"/>
  <c r="H147" i="19"/>
  <c r="H148" i="19"/>
  <c r="H149" i="19"/>
  <c r="H150" i="19"/>
  <c r="H151" i="19"/>
  <c r="H152" i="19"/>
  <c r="H153" i="19"/>
  <c r="H154" i="19"/>
  <c r="H155" i="19"/>
  <c r="H156" i="19"/>
  <c r="H157" i="19"/>
  <c r="H158" i="19"/>
  <c r="H159" i="19"/>
  <c r="H160" i="19"/>
  <c r="H161" i="19"/>
  <c r="H162" i="19"/>
  <c r="H163" i="19"/>
  <c r="H164" i="19"/>
  <c r="H165" i="19"/>
  <c r="H166" i="19"/>
  <c r="H167" i="19"/>
  <c r="H168" i="19"/>
  <c r="H169" i="19"/>
  <c r="H170" i="19"/>
  <c r="H171" i="19"/>
  <c r="H172" i="19"/>
  <c r="H173" i="19"/>
  <c r="H174" i="19"/>
  <c r="H175" i="19"/>
  <c r="H176" i="19"/>
  <c r="H177" i="19"/>
  <c r="H178" i="19"/>
  <c r="H179" i="19"/>
  <c r="H180" i="19"/>
  <c r="H181" i="19"/>
  <c r="H182" i="19"/>
  <c r="H183" i="19"/>
  <c r="H184" i="19"/>
  <c r="H185" i="19"/>
  <c r="H186" i="19"/>
  <c r="H187" i="19"/>
  <c r="H188" i="19"/>
  <c r="H189" i="19"/>
  <c r="H18" i="19"/>
  <c r="A189" i="19"/>
  <c r="A188" i="19"/>
  <c r="A187" i="19"/>
  <c r="A186" i="19"/>
  <c r="A185" i="19"/>
  <c r="A184" i="19"/>
  <c r="A183" i="19"/>
  <c r="A182" i="19"/>
  <c r="A181" i="19"/>
  <c r="A180" i="19"/>
  <c r="A179" i="19"/>
  <c r="A178" i="19"/>
  <c r="A177" i="19"/>
  <c r="A176" i="19"/>
  <c r="A175" i="19"/>
  <c r="A174" i="19"/>
  <c r="A173" i="19"/>
  <c r="A172" i="19"/>
  <c r="A171" i="19"/>
  <c r="A170" i="19"/>
  <c r="A169" i="19"/>
  <c r="A168" i="19"/>
  <c r="A167" i="19"/>
  <c r="A166" i="19"/>
  <c r="A165" i="19"/>
  <c r="A164" i="19"/>
  <c r="A163" i="19"/>
  <c r="A162" i="19"/>
  <c r="A161" i="19"/>
  <c r="A160" i="19"/>
  <c r="A159" i="19"/>
  <c r="A158" i="19"/>
  <c r="A157" i="19"/>
  <c r="A156" i="19"/>
  <c r="A155" i="19"/>
  <c r="A154" i="19"/>
  <c r="A153" i="19"/>
  <c r="A152" i="19"/>
  <c r="A151" i="19"/>
  <c r="A150" i="19"/>
  <c r="A149" i="19"/>
  <c r="A148" i="19"/>
  <c r="A147" i="19"/>
  <c r="A146" i="19"/>
  <c r="A145" i="19"/>
  <c r="A144" i="19"/>
  <c r="A143" i="19"/>
  <c r="A142" i="19"/>
  <c r="A141" i="19"/>
  <c r="A140" i="19"/>
  <c r="A139" i="19"/>
  <c r="A138" i="19"/>
  <c r="A137" i="19"/>
  <c r="A136" i="19"/>
  <c r="A135" i="19"/>
  <c r="A134" i="19"/>
  <c r="A133" i="19"/>
  <c r="A132" i="19"/>
  <c r="A131" i="19"/>
  <c r="A130" i="19"/>
  <c r="A129" i="19"/>
  <c r="A128" i="19"/>
  <c r="A127" i="19"/>
  <c r="A126" i="19"/>
  <c r="A125" i="19"/>
  <c r="A124" i="19"/>
  <c r="A123" i="19"/>
  <c r="A122" i="19"/>
  <c r="A121" i="19"/>
  <c r="A120" i="19"/>
  <c r="A119" i="19"/>
  <c r="A118" i="19"/>
  <c r="A117" i="19"/>
  <c r="A116" i="19"/>
  <c r="A115" i="19"/>
  <c r="A114" i="19"/>
  <c r="A113" i="19"/>
  <c r="A112" i="19"/>
  <c r="A111" i="19"/>
  <c r="A110" i="19"/>
  <c r="A109" i="19"/>
  <c r="A108" i="19"/>
  <c r="A107" i="19"/>
  <c r="A106" i="19"/>
  <c r="A105" i="19"/>
  <c r="A104" i="19"/>
  <c r="A103" i="19"/>
  <c r="A102" i="19"/>
  <c r="A101" i="19"/>
  <c r="A100" i="19"/>
  <c r="A99" i="19"/>
  <c r="A98" i="19"/>
  <c r="A97" i="19"/>
  <c r="A96" i="19"/>
  <c r="A95" i="19"/>
  <c r="A94" i="19"/>
  <c r="A93" i="19"/>
  <c r="A92" i="19"/>
  <c r="A91" i="19"/>
  <c r="A90" i="19"/>
  <c r="A89" i="19"/>
  <c r="A88" i="19"/>
  <c r="A87" i="19"/>
  <c r="A86" i="19"/>
  <c r="A85" i="19"/>
  <c r="A84" i="19"/>
  <c r="A83" i="19"/>
  <c r="A82" i="19"/>
  <c r="A81" i="19"/>
  <c r="A80" i="19"/>
  <c r="A79" i="19"/>
  <c r="A78" i="19"/>
  <c r="A77" i="19"/>
  <c r="A76" i="19"/>
  <c r="A75" i="19"/>
  <c r="A74" i="19"/>
  <c r="A73" i="19"/>
  <c r="A72" i="19"/>
  <c r="A71" i="19"/>
  <c r="A70" i="19"/>
  <c r="A69" i="19"/>
  <c r="A68" i="19"/>
  <c r="A67" i="19"/>
  <c r="A66" i="19"/>
  <c r="A65" i="19"/>
  <c r="A64" i="19"/>
  <c r="A63" i="19"/>
  <c r="A62" i="19"/>
  <c r="A61" i="19"/>
  <c r="A60" i="19"/>
  <c r="A59" i="19"/>
  <c r="A58" i="19"/>
  <c r="A57" i="19"/>
  <c r="A56" i="19"/>
  <c r="A55" i="19"/>
  <c r="A54" i="19"/>
  <c r="A53" i="19"/>
  <c r="A52" i="19"/>
  <c r="A51" i="19"/>
  <c r="A50" i="19"/>
  <c r="A49" i="19"/>
  <c r="A48" i="19"/>
  <c r="A47" i="19"/>
  <c r="A46" i="19"/>
  <c r="A45" i="19"/>
  <c r="A44" i="19"/>
  <c r="A43" i="19"/>
  <c r="A42" i="19"/>
  <c r="A41" i="19"/>
  <c r="A40" i="19"/>
  <c r="A39" i="19"/>
  <c r="A38" i="19"/>
  <c r="A37" i="19"/>
  <c r="A36" i="19"/>
  <c r="A35" i="19"/>
  <c r="A34" i="19"/>
  <c r="A33" i="19"/>
  <c r="A32" i="19"/>
  <c r="A31" i="19"/>
  <c r="A30" i="19"/>
  <c r="A29" i="19"/>
  <c r="A28" i="19"/>
  <c r="A27" i="19"/>
  <c r="A26" i="19"/>
  <c r="A25" i="19"/>
  <c r="A24" i="19"/>
  <c r="A23" i="19"/>
  <c r="A22" i="19"/>
  <c r="A21" i="19"/>
  <c r="A20" i="19"/>
  <c r="A19" i="19"/>
  <c r="R15" i="19" l="1"/>
  <c r="S15" i="19"/>
  <c r="R16" i="19"/>
  <c r="S16" i="19"/>
  <c r="G7" i="19"/>
  <c r="G9" i="19"/>
  <c r="W15" i="19"/>
  <c r="T15" i="19"/>
  <c r="G14" i="19"/>
  <c r="W11" i="19"/>
  <c r="Y11" i="19" s="1"/>
  <c r="T11" i="19"/>
  <c r="W8" i="19"/>
  <c r="Y8" i="19" s="1"/>
  <c r="T8" i="19"/>
  <c r="T16" i="19"/>
  <c r="W16" i="19"/>
  <c r="G10" i="19"/>
  <c r="W9" i="19"/>
  <c r="Y9" i="19" s="1"/>
  <c r="T9" i="19"/>
  <c r="G8" i="19"/>
  <c r="G12" i="19"/>
  <c r="T12" i="19"/>
  <c r="W12" i="19"/>
  <c r="Y12" i="19" s="1"/>
  <c r="W14" i="19"/>
  <c r="Y14" i="19" s="1"/>
  <c r="T14" i="19"/>
  <c r="G11" i="19"/>
  <c r="W10" i="19"/>
  <c r="Y10" i="19" s="1"/>
  <c r="T10" i="19"/>
  <c r="W13" i="19"/>
  <c r="Y13" i="19" s="1"/>
  <c r="T13" i="19"/>
  <c r="G13" i="19"/>
  <c r="I7" i="19"/>
  <c r="AU4" i="20"/>
  <c r="C8" i="20"/>
  <c r="A9" i="20" a="1"/>
  <c r="A9" i="20" s="1"/>
  <c r="AS6" i="20" s="1"/>
  <c r="A8" i="19"/>
  <c r="H8" i="19"/>
  <c r="H9" i="19"/>
  <c r="H17" i="19"/>
  <c r="H10" i="19"/>
  <c r="H11" i="19"/>
  <c r="H12" i="19"/>
  <c r="H15" i="19"/>
  <c r="H14" i="19"/>
  <c r="H16" i="19"/>
  <c r="H13" i="19"/>
  <c r="Y16" i="19" l="1"/>
  <c r="Y15" i="19"/>
  <c r="W7" i="19"/>
  <c r="Y7" i="19" s="1"/>
  <c r="T7" i="19"/>
  <c r="K115" i="19"/>
  <c r="K104" i="19"/>
  <c r="K169" i="19"/>
  <c r="K43" i="19"/>
  <c r="K157" i="19"/>
  <c r="K99" i="19"/>
  <c r="J160" i="19"/>
  <c r="K98" i="19"/>
  <c r="P18" i="19"/>
  <c r="K130" i="19"/>
  <c r="K63" i="19"/>
  <c r="K103" i="19"/>
  <c r="K118" i="19"/>
  <c r="K171" i="19"/>
  <c r="K69" i="19"/>
  <c r="K110" i="19"/>
  <c r="K44" i="19"/>
  <c r="J133" i="19"/>
  <c r="K36" i="19"/>
  <c r="K87" i="19"/>
  <c r="K57" i="19"/>
  <c r="K50" i="19"/>
  <c r="K32" i="19"/>
  <c r="K178" i="19"/>
  <c r="K51" i="19"/>
  <c r="K105" i="19"/>
  <c r="K72" i="19"/>
  <c r="U148" i="19"/>
  <c r="K174" i="19"/>
  <c r="K94" i="19"/>
  <c r="J45" i="19"/>
  <c r="K188" i="19"/>
  <c r="K59" i="19"/>
  <c r="K96" i="19"/>
  <c r="K185" i="19"/>
  <c r="K68" i="19"/>
  <c r="K180" i="19"/>
  <c r="U33" i="19"/>
  <c r="K123" i="19"/>
  <c r="K166" i="19"/>
  <c r="K84" i="19"/>
  <c r="K27" i="19"/>
  <c r="K189" i="19"/>
  <c r="K29" i="19"/>
  <c r="U186" i="19"/>
  <c r="K145" i="19"/>
  <c r="K135" i="19"/>
  <c r="K81" i="19"/>
  <c r="J136" i="19"/>
  <c r="K48" i="19"/>
  <c r="K38" i="19"/>
  <c r="K143" i="19"/>
  <c r="K100" i="19"/>
  <c r="K131" i="19"/>
  <c r="K82" i="19"/>
  <c r="J88" i="19"/>
  <c r="K70" i="19"/>
  <c r="K164" i="19"/>
  <c r="K161" i="19"/>
  <c r="K76" i="19"/>
  <c r="K147" i="19"/>
  <c r="K61" i="19"/>
  <c r="K156" i="19"/>
  <c r="J126" i="19"/>
  <c r="K107" i="19"/>
  <c r="K111" i="19"/>
  <c r="K58" i="19"/>
  <c r="K177" i="19"/>
  <c r="K139" i="19"/>
  <c r="K152" i="19"/>
  <c r="K108" i="19"/>
  <c r="K129" i="19"/>
  <c r="K163" i="19"/>
  <c r="K117" i="19"/>
  <c r="J172" i="19"/>
  <c r="K80" i="19"/>
  <c r="K89" i="19"/>
  <c r="K142" i="19"/>
  <c r="K179" i="19"/>
  <c r="U182" i="19"/>
  <c r="K26" i="19"/>
  <c r="K124" i="19"/>
  <c r="K109" i="19"/>
  <c r="K155" i="19"/>
  <c r="K112" i="19"/>
  <c r="K146" i="19"/>
  <c r="U66" i="19"/>
  <c r="K73" i="19"/>
  <c r="K64" i="19"/>
  <c r="K75" i="19"/>
  <c r="K49" i="19"/>
  <c r="K144" i="19"/>
  <c r="U30" i="19"/>
  <c r="K95" i="19"/>
  <c r="K39" i="19"/>
  <c r="U46" i="19"/>
  <c r="K165" i="19"/>
  <c r="K55" i="19"/>
  <c r="K140" i="19"/>
  <c r="K28" i="19"/>
  <c r="K151" i="19"/>
  <c r="K184" i="19"/>
  <c r="K47" i="19"/>
  <c r="K92" i="19"/>
  <c r="K170" i="19"/>
  <c r="K154" i="19"/>
  <c r="J42" i="19"/>
  <c r="K93" i="19"/>
  <c r="J149" i="19"/>
  <c r="K175" i="19"/>
  <c r="K56" i="19"/>
  <c r="K121" i="19"/>
  <c r="K187" i="19"/>
  <c r="K67" i="19"/>
  <c r="K106" i="19"/>
  <c r="K97" i="19"/>
  <c r="K85" i="19"/>
  <c r="K173" i="19"/>
  <c r="K74" i="19"/>
  <c r="U54" i="19"/>
  <c r="K168" i="19"/>
  <c r="K119" i="19"/>
  <c r="K77" i="19"/>
  <c r="K53" i="19"/>
  <c r="K134" i="19"/>
  <c r="K37" i="19"/>
  <c r="K132" i="19"/>
  <c r="K137" i="19"/>
  <c r="K83" i="19"/>
  <c r="J158" i="19"/>
  <c r="J34" i="19"/>
  <c r="K153" i="19"/>
  <c r="U138" i="19"/>
  <c r="K128" i="19"/>
  <c r="K181" i="19"/>
  <c r="K101" i="19"/>
  <c r="K114" i="19"/>
  <c r="J159" i="19"/>
  <c r="K79" i="19"/>
  <c r="K35" i="19"/>
  <c r="U102" i="19"/>
  <c r="K60" i="19"/>
  <c r="K125" i="19"/>
  <c r="P17" i="19"/>
  <c r="K167" i="19"/>
  <c r="K122" i="19"/>
  <c r="J162" i="19"/>
  <c r="K91" i="19"/>
  <c r="K90" i="19"/>
  <c r="J150" i="19"/>
  <c r="K127" i="19"/>
  <c r="K176" i="19"/>
  <c r="K113" i="19"/>
  <c r="K31" i="19"/>
  <c r="K65" i="19"/>
  <c r="U52" i="19"/>
  <c r="K41" i="19"/>
  <c r="U40" i="19"/>
  <c r="K62" i="19"/>
  <c r="K25" i="19"/>
  <c r="K120" i="19"/>
  <c r="K183" i="19"/>
  <c r="K71" i="19"/>
  <c r="K86" i="19"/>
  <c r="K141" i="19"/>
  <c r="J78" i="19"/>
  <c r="K116" i="19"/>
  <c r="K22" i="19"/>
  <c r="P22" i="19"/>
  <c r="K19" i="19"/>
  <c r="P19" i="19"/>
  <c r="K23" i="19"/>
  <c r="P23" i="19"/>
  <c r="K21" i="19"/>
  <c r="P21" i="19"/>
  <c r="K20" i="19"/>
  <c r="P20" i="19"/>
  <c r="K24" i="19"/>
  <c r="P24" i="19"/>
  <c r="U169" i="19"/>
  <c r="U56" i="19"/>
  <c r="J56" i="19"/>
  <c r="J181" i="19"/>
  <c r="U98" i="19"/>
  <c r="J98" i="19"/>
  <c r="U158" i="19"/>
  <c r="A10" i="20" a="1"/>
  <c r="A10" i="20" s="1"/>
  <c r="AS7" i="20" s="1"/>
  <c r="J20" i="19"/>
  <c r="U19" i="19"/>
  <c r="K158" i="19"/>
  <c r="C9" i="20"/>
  <c r="U44" i="19"/>
  <c r="U180" i="19"/>
  <c r="U20" i="19"/>
  <c r="U32" i="19"/>
  <c r="J180" i="19"/>
  <c r="J157" i="19"/>
  <c r="J62" i="19"/>
  <c r="U87" i="19"/>
  <c r="J171" i="19"/>
  <c r="U134" i="19"/>
  <c r="J134" i="19"/>
  <c r="U139" i="19"/>
  <c r="J139" i="19"/>
  <c r="J123" i="19"/>
  <c r="J186" i="19"/>
  <c r="J33" i="19"/>
  <c r="K33" i="19"/>
  <c r="J183" i="19"/>
  <c r="U147" i="19"/>
  <c r="U183" i="19"/>
  <c r="U45" i="19"/>
  <c r="K186" i="19"/>
  <c r="K45" i="19"/>
  <c r="J112" i="19"/>
  <c r="K148" i="19"/>
  <c r="K136" i="19"/>
  <c r="J179" i="19"/>
  <c r="J135" i="19"/>
  <c r="U156" i="19"/>
  <c r="U171" i="19"/>
  <c r="J87" i="19"/>
  <c r="U179" i="19"/>
  <c r="J168" i="19"/>
  <c r="J19" i="19"/>
  <c r="U157" i="19"/>
  <c r="J169" i="19"/>
  <c r="J148" i="19"/>
  <c r="U38" i="19"/>
  <c r="U68" i="19"/>
  <c r="J38" i="19"/>
  <c r="U124" i="19"/>
  <c r="J124" i="19"/>
  <c r="U80" i="19"/>
  <c r="U62" i="19"/>
  <c r="U136" i="19"/>
  <c r="J104" i="19"/>
  <c r="J57" i="19"/>
  <c r="U57" i="19"/>
  <c r="J69" i="19"/>
  <c r="U103" i="19"/>
  <c r="U160" i="19"/>
  <c r="U175" i="19"/>
  <c r="U170" i="19"/>
  <c r="K160" i="19"/>
  <c r="J32" i="19"/>
  <c r="J156" i="19"/>
  <c r="J170" i="19"/>
  <c r="U174" i="19"/>
  <c r="K66" i="19"/>
  <c r="J51" i="19"/>
  <c r="J44" i="19"/>
  <c r="U168" i="19"/>
  <c r="U75" i="19"/>
  <c r="J24" i="19"/>
  <c r="J84" i="19"/>
  <c r="K149" i="19"/>
  <c r="J92" i="19"/>
  <c r="U92" i="19"/>
  <c r="U172" i="19"/>
  <c r="U188" i="19"/>
  <c r="J75" i="19"/>
  <c r="K172" i="19"/>
  <c r="J55" i="19"/>
  <c r="J65" i="19"/>
  <c r="U67" i="19"/>
  <c r="U21" i="19"/>
  <c r="U125" i="19"/>
  <c r="J103" i="19"/>
  <c r="J21" i="19"/>
  <c r="U123" i="19"/>
  <c r="U78" i="19"/>
  <c r="J46" i="19"/>
  <c r="K46" i="19"/>
  <c r="J58" i="19"/>
  <c r="J77" i="19"/>
  <c r="U58" i="19"/>
  <c r="U89" i="19"/>
  <c r="U84" i="19"/>
  <c r="J68" i="19"/>
  <c r="J70" i="19"/>
  <c r="U26" i="19"/>
  <c r="U135" i="19"/>
  <c r="J125" i="19"/>
  <c r="U70" i="19"/>
  <c r="J147" i="19"/>
  <c r="K126" i="19"/>
  <c r="U31" i="19"/>
  <c r="J43" i="19"/>
  <c r="U82" i="19"/>
  <c r="U43" i="19"/>
  <c r="U104" i="19"/>
  <c r="J82" i="19"/>
  <c r="U93" i="19"/>
  <c r="U79" i="19"/>
  <c r="U35" i="19"/>
  <c r="U149" i="19"/>
  <c r="U178" i="19"/>
  <c r="U77" i="19"/>
  <c r="U91" i="19"/>
  <c r="J115" i="19"/>
  <c r="U105" i="19"/>
  <c r="U115" i="19"/>
  <c r="J79" i="19"/>
  <c r="J91" i="19"/>
  <c r="U49" i="19"/>
  <c r="J105" i="19"/>
  <c r="J35" i="19"/>
  <c r="J49" i="19"/>
  <c r="J127" i="19"/>
  <c r="J129" i="19"/>
  <c r="U88" i="19"/>
  <c r="K30" i="19"/>
  <c r="U96" i="19"/>
  <c r="J96" i="19"/>
  <c r="U81" i="19"/>
  <c r="U23" i="19"/>
  <c r="J23" i="19"/>
  <c r="U127" i="19"/>
  <c r="U164" i="19"/>
  <c r="U129" i="19"/>
  <c r="J47" i="19"/>
  <c r="U61" i="19"/>
  <c r="U50" i="19"/>
  <c r="J50" i="19"/>
  <c r="J178" i="19"/>
  <c r="J164" i="19"/>
  <c r="U141" i="19"/>
  <c r="U47" i="19"/>
  <c r="J61" i="19"/>
  <c r="J141" i="19"/>
  <c r="U34" i="19"/>
  <c r="K138" i="19"/>
  <c r="U126" i="19"/>
  <c r="J176" i="19"/>
  <c r="U131" i="19"/>
  <c r="U151" i="19"/>
  <c r="U176" i="19"/>
  <c r="J143" i="19"/>
  <c r="U73" i="19"/>
  <c r="J175" i="19"/>
  <c r="J188" i="19"/>
  <c r="K34" i="19"/>
  <c r="U143" i="19"/>
  <c r="U39" i="19"/>
  <c r="J138" i="19"/>
  <c r="U120" i="19"/>
  <c r="J132" i="19"/>
  <c r="J182" i="19"/>
  <c r="J94" i="19"/>
  <c r="U97" i="19"/>
  <c r="U177" i="19"/>
  <c r="U94" i="19"/>
  <c r="U24" i="19"/>
  <c r="J97" i="19"/>
  <c r="J86" i="19"/>
  <c r="J27" i="19"/>
  <c r="U42" i="19"/>
  <c r="K182" i="19"/>
  <c r="J155" i="19"/>
  <c r="U159" i="19"/>
  <c r="J144" i="19"/>
  <c r="J106" i="19"/>
  <c r="U59" i="19"/>
  <c r="U36" i="19"/>
  <c r="U109" i="19"/>
  <c r="U86" i="19"/>
  <c r="J151" i="19"/>
  <c r="J80" i="19"/>
  <c r="J189" i="19"/>
  <c r="U106" i="19"/>
  <c r="J59" i="19"/>
  <c r="J36" i="19"/>
  <c r="J109" i="19"/>
  <c r="J28" i="19"/>
  <c r="J73" i="19"/>
  <c r="U74" i="19"/>
  <c r="U189" i="19"/>
  <c r="U28" i="19"/>
  <c r="U163" i="19"/>
  <c r="K159" i="19"/>
  <c r="K88" i="19"/>
  <c r="U167" i="19"/>
  <c r="U153" i="19"/>
  <c r="J165" i="19"/>
  <c r="J177" i="19"/>
  <c r="U130" i="19"/>
  <c r="U121" i="19"/>
  <c r="K42" i="19"/>
  <c r="J130" i="19"/>
  <c r="J71" i="19"/>
  <c r="U48" i="19"/>
  <c r="K150" i="19"/>
  <c r="J121" i="19"/>
  <c r="J31" i="19"/>
  <c r="J163" i="19"/>
  <c r="K162" i="19"/>
  <c r="U142" i="19"/>
  <c r="J83" i="19"/>
  <c r="J48" i="19"/>
  <c r="U25" i="19"/>
  <c r="U145" i="19"/>
  <c r="J40" i="19"/>
  <c r="J184" i="19"/>
  <c r="J153" i="19"/>
  <c r="J74" i="19"/>
  <c r="U83" i="19"/>
  <c r="J25" i="19"/>
  <c r="U184" i="19"/>
  <c r="U116" i="19"/>
  <c r="U69" i="19"/>
  <c r="U22" i="19"/>
  <c r="U154" i="19"/>
  <c r="J95" i="19"/>
  <c r="U60" i="19"/>
  <c r="J110" i="19"/>
  <c r="U99" i="19"/>
  <c r="K40" i="19"/>
  <c r="U150" i="19"/>
  <c r="J146" i="19"/>
  <c r="J142" i="19"/>
  <c r="U85" i="19"/>
  <c r="U165" i="19"/>
  <c r="J81" i="19"/>
  <c r="U162" i="19"/>
  <c r="U146" i="19"/>
  <c r="U155" i="19"/>
  <c r="J167" i="19"/>
  <c r="U132" i="19"/>
  <c r="U144" i="19"/>
  <c r="J85" i="19"/>
  <c r="U110" i="19"/>
  <c r="J187" i="19"/>
  <c r="J116" i="19"/>
  <c r="J22" i="19"/>
  <c r="J154" i="19"/>
  <c r="U95" i="19"/>
  <c r="J60" i="19"/>
  <c r="U37" i="19"/>
  <c r="J99" i="19"/>
  <c r="K52" i="19"/>
  <c r="J53" i="19"/>
  <c r="U187" i="19"/>
  <c r="U152" i="19"/>
  <c r="J166" i="19"/>
  <c r="J107" i="19"/>
  <c r="J37" i="19"/>
  <c r="U122" i="19"/>
  <c r="J111" i="19"/>
  <c r="J76" i="19"/>
  <c r="U53" i="19"/>
  <c r="U55" i="19"/>
  <c r="J152" i="19"/>
  <c r="J93" i="19"/>
  <c r="U166" i="19"/>
  <c r="J131" i="19"/>
  <c r="J72" i="19"/>
  <c r="U181" i="19"/>
  <c r="J122" i="19"/>
  <c r="U111" i="19"/>
  <c r="U76" i="19"/>
  <c r="U65" i="19"/>
  <c r="J174" i="19"/>
  <c r="J145" i="19"/>
  <c r="U112" i="19"/>
  <c r="J117" i="19"/>
  <c r="U118" i="19"/>
  <c r="U119" i="19"/>
  <c r="K133" i="19"/>
  <c r="J39" i="19"/>
  <c r="U64" i="19"/>
  <c r="J137" i="19"/>
  <c r="U90" i="19"/>
  <c r="J64" i="19"/>
  <c r="J90" i="19"/>
  <c r="U117" i="19"/>
  <c r="J118" i="19"/>
  <c r="U72" i="19"/>
  <c r="U51" i="19"/>
  <c r="U137" i="19"/>
  <c r="J30" i="19"/>
  <c r="J102" i="19"/>
  <c r="J119" i="19"/>
  <c r="K78" i="19"/>
  <c r="J63" i="19"/>
  <c r="J114" i="19"/>
  <c r="J128" i="19"/>
  <c r="U71" i="19"/>
  <c r="U63" i="19"/>
  <c r="J89" i="19"/>
  <c r="J161" i="19"/>
  <c r="U114" i="19"/>
  <c r="K102" i="19"/>
  <c r="U128" i="19"/>
  <c r="U161" i="19"/>
  <c r="J54" i="19"/>
  <c r="J140" i="19"/>
  <c r="K54" i="19"/>
  <c r="J29" i="19"/>
  <c r="J101" i="19"/>
  <c r="J173" i="19"/>
  <c r="U140" i="19"/>
  <c r="J108" i="19"/>
  <c r="J100" i="19"/>
  <c r="U29" i="19"/>
  <c r="U101" i="19"/>
  <c r="U173" i="19"/>
  <c r="J66" i="19"/>
  <c r="J26" i="19"/>
  <c r="U108" i="19"/>
  <c r="U133" i="19"/>
  <c r="J52" i="19"/>
  <c r="U100" i="19"/>
  <c r="J41" i="19"/>
  <c r="J113" i="19"/>
  <c r="J185" i="19"/>
  <c r="J67" i="19"/>
  <c r="U107" i="19"/>
  <c r="J120" i="19"/>
  <c r="U27" i="19"/>
  <c r="U41" i="19"/>
  <c r="U113" i="19"/>
  <c r="U185" i="19"/>
  <c r="A12" i="19"/>
  <c r="A7" i="19"/>
  <c r="A13" i="19"/>
  <c r="A11" i="19"/>
  <c r="A10" i="19"/>
  <c r="A16" i="19"/>
  <c r="A15" i="19"/>
  <c r="A14" i="19"/>
  <c r="A9" i="19"/>
  <c r="A17" i="19"/>
  <c r="U17" i="19"/>
  <c r="V17" i="19" s="1"/>
  <c r="J17" i="19"/>
  <c r="K17" i="19"/>
  <c r="U18" i="19"/>
  <c r="V18" i="19" s="1"/>
  <c r="J18" i="19"/>
  <c r="K18" i="19"/>
  <c r="H7" i="19"/>
  <c r="A18" i="19"/>
  <c r="AA122" i="19" l="1"/>
  <c r="V122" i="19"/>
  <c r="AA93" i="19"/>
  <c r="V93" i="19"/>
  <c r="AA84" i="19"/>
  <c r="V84" i="19"/>
  <c r="AA32" i="19"/>
  <c r="V32" i="19"/>
  <c r="AA110" i="19"/>
  <c r="V110" i="19"/>
  <c r="AA49" i="19"/>
  <c r="V49" i="19"/>
  <c r="AA136" i="19"/>
  <c r="V136" i="19"/>
  <c r="AA169" i="19"/>
  <c r="V169" i="19"/>
  <c r="AA46" i="19"/>
  <c r="V46" i="19"/>
  <c r="AA90" i="19"/>
  <c r="V90" i="19"/>
  <c r="AA99" i="19"/>
  <c r="V99" i="19"/>
  <c r="AA159" i="19"/>
  <c r="V159" i="19"/>
  <c r="AA120" i="19"/>
  <c r="V120" i="19"/>
  <c r="AA127" i="19"/>
  <c r="V127" i="19"/>
  <c r="AA43" i="19"/>
  <c r="V43" i="19"/>
  <c r="AA58" i="19"/>
  <c r="V58" i="19"/>
  <c r="AA174" i="19"/>
  <c r="V174" i="19"/>
  <c r="AA62" i="19"/>
  <c r="V62" i="19"/>
  <c r="AA171" i="19"/>
  <c r="V171" i="19"/>
  <c r="AA180" i="19"/>
  <c r="V180" i="19"/>
  <c r="AA126" i="19"/>
  <c r="V126" i="19"/>
  <c r="AA34" i="19"/>
  <c r="V34" i="19"/>
  <c r="AA82" i="19"/>
  <c r="V82" i="19"/>
  <c r="AA80" i="19"/>
  <c r="V80" i="19"/>
  <c r="AA156" i="19"/>
  <c r="V156" i="19"/>
  <c r="AA44" i="19"/>
  <c r="V44" i="19"/>
  <c r="AA182" i="19"/>
  <c r="V182" i="19"/>
  <c r="AA33" i="19"/>
  <c r="V33" i="19"/>
  <c r="AA59" i="19"/>
  <c r="V59" i="19"/>
  <c r="AA89" i="19"/>
  <c r="V89" i="19"/>
  <c r="AA152" i="19"/>
  <c r="V152" i="19"/>
  <c r="AA166" i="19"/>
  <c r="V166" i="19"/>
  <c r="AA139" i="19"/>
  <c r="V139" i="19"/>
  <c r="AA138" i="19"/>
  <c r="V138" i="19"/>
  <c r="AA111" i="19"/>
  <c r="V111" i="19"/>
  <c r="AA181" i="19"/>
  <c r="V181" i="19"/>
  <c r="AA187" i="19"/>
  <c r="V187" i="19"/>
  <c r="AA30" i="19"/>
  <c r="V30" i="19"/>
  <c r="AA147" i="19"/>
  <c r="V147" i="19"/>
  <c r="AA164" i="19"/>
  <c r="V164" i="19"/>
  <c r="AA131" i="19"/>
  <c r="V131" i="19"/>
  <c r="AA74" i="19"/>
  <c r="V74" i="19"/>
  <c r="AA20" i="19"/>
  <c r="V20" i="19"/>
  <c r="AA25" i="19"/>
  <c r="V25" i="19"/>
  <c r="AA143" i="19"/>
  <c r="V143" i="19"/>
  <c r="AA172" i="19"/>
  <c r="V172" i="19"/>
  <c r="AA155" i="19"/>
  <c r="V155" i="19"/>
  <c r="AA47" i="19"/>
  <c r="V47" i="19"/>
  <c r="AA19" i="19"/>
  <c r="V19" i="19"/>
  <c r="AA153" i="19"/>
  <c r="V153" i="19"/>
  <c r="AA141" i="19"/>
  <c r="V141" i="19"/>
  <c r="AA167" i="19"/>
  <c r="V167" i="19"/>
  <c r="AA123" i="19"/>
  <c r="V123" i="19"/>
  <c r="AA38" i="19"/>
  <c r="V38" i="19"/>
  <c r="AA113" i="19"/>
  <c r="V113" i="19"/>
  <c r="AA128" i="19"/>
  <c r="V128" i="19"/>
  <c r="AA137" i="19"/>
  <c r="V137" i="19"/>
  <c r="AA55" i="19"/>
  <c r="V55" i="19"/>
  <c r="AA116" i="19"/>
  <c r="V116" i="19"/>
  <c r="AA24" i="19"/>
  <c r="V24" i="19"/>
  <c r="AA73" i="19"/>
  <c r="V73" i="19"/>
  <c r="AA88" i="19"/>
  <c r="V88" i="19"/>
  <c r="AA178" i="19"/>
  <c r="V178" i="19"/>
  <c r="AA160" i="19"/>
  <c r="V160" i="19"/>
  <c r="AA158" i="19"/>
  <c r="V158" i="19"/>
  <c r="AA40" i="19"/>
  <c r="V40" i="19"/>
  <c r="AA117" i="19"/>
  <c r="V117" i="19"/>
  <c r="AA150" i="19"/>
  <c r="V150" i="19"/>
  <c r="AA129" i="19"/>
  <c r="V129" i="19"/>
  <c r="AA56" i="19"/>
  <c r="V56" i="19"/>
  <c r="AA104" i="19"/>
  <c r="V104" i="19"/>
  <c r="AA145" i="19"/>
  <c r="V145" i="19"/>
  <c r="AA130" i="19"/>
  <c r="V130" i="19"/>
  <c r="AA39" i="19"/>
  <c r="V39" i="19"/>
  <c r="AA188" i="19"/>
  <c r="V188" i="19"/>
  <c r="AA42" i="19"/>
  <c r="V42" i="19"/>
  <c r="AA31" i="19"/>
  <c r="V31" i="19"/>
  <c r="AA54" i="19"/>
  <c r="V54" i="19"/>
  <c r="AA108" i="19"/>
  <c r="V108" i="19"/>
  <c r="AA146" i="19"/>
  <c r="V146" i="19"/>
  <c r="AA68" i="19"/>
  <c r="V68" i="19"/>
  <c r="AA161" i="19"/>
  <c r="V161" i="19"/>
  <c r="AA162" i="19"/>
  <c r="V162" i="19"/>
  <c r="AA175" i="19"/>
  <c r="V175" i="19"/>
  <c r="AA41" i="19"/>
  <c r="V41" i="19"/>
  <c r="AA173" i="19"/>
  <c r="V173" i="19"/>
  <c r="AA51" i="19"/>
  <c r="V51" i="19"/>
  <c r="AA112" i="19"/>
  <c r="V112" i="19"/>
  <c r="AA53" i="19"/>
  <c r="V53" i="19"/>
  <c r="AA95" i="19"/>
  <c r="V95" i="19"/>
  <c r="AA165" i="19"/>
  <c r="V165" i="19"/>
  <c r="AA184" i="19"/>
  <c r="V184" i="19"/>
  <c r="AA86" i="19"/>
  <c r="V86" i="19"/>
  <c r="AA94" i="19"/>
  <c r="V94" i="19"/>
  <c r="AA149" i="19"/>
  <c r="V149" i="19"/>
  <c r="AA135" i="19"/>
  <c r="V135" i="19"/>
  <c r="AA103" i="19"/>
  <c r="V103" i="19"/>
  <c r="AA87" i="19"/>
  <c r="V87" i="19"/>
  <c r="AA66" i="19"/>
  <c r="V66" i="19"/>
  <c r="AA186" i="19"/>
  <c r="V186" i="19"/>
  <c r="AA65" i="19"/>
  <c r="V65" i="19"/>
  <c r="AA189" i="19"/>
  <c r="V189" i="19"/>
  <c r="AA148" i="19"/>
  <c r="V148" i="19"/>
  <c r="AA76" i="19"/>
  <c r="V76" i="19"/>
  <c r="AA179" i="19"/>
  <c r="V179" i="19"/>
  <c r="AA71" i="19"/>
  <c r="V71" i="19"/>
  <c r="AA144" i="19"/>
  <c r="V144" i="19"/>
  <c r="AA100" i="19"/>
  <c r="V100" i="19"/>
  <c r="AA60" i="19"/>
  <c r="V60" i="19"/>
  <c r="AA115" i="19"/>
  <c r="V115" i="19"/>
  <c r="AA105" i="19"/>
  <c r="V105" i="19"/>
  <c r="AA154" i="19"/>
  <c r="V154" i="19"/>
  <c r="AA119" i="19"/>
  <c r="V119" i="19"/>
  <c r="AA22" i="19"/>
  <c r="V22" i="19"/>
  <c r="AA91" i="19"/>
  <c r="V91" i="19"/>
  <c r="AA170" i="19"/>
  <c r="V170" i="19"/>
  <c r="AA118" i="19"/>
  <c r="V118" i="19"/>
  <c r="AA37" i="19"/>
  <c r="V37" i="19"/>
  <c r="AA70" i="19"/>
  <c r="V70" i="19"/>
  <c r="AA134" i="19"/>
  <c r="V134" i="19"/>
  <c r="AA27" i="19"/>
  <c r="V27" i="19"/>
  <c r="AA114" i="19"/>
  <c r="V114" i="19"/>
  <c r="AA163" i="19"/>
  <c r="V163" i="19"/>
  <c r="AA109" i="19"/>
  <c r="V109" i="19"/>
  <c r="AA177" i="19"/>
  <c r="V177" i="19"/>
  <c r="AA176" i="19"/>
  <c r="V176" i="19"/>
  <c r="AA50" i="19"/>
  <c r="V50" i="19"/>
  <c r="AA35" i="19"/>
  <c r="V35" i="19"/>
  <c r="AA26" i="19"/>
  <c r="V26" i="19"/>
  <c r="AA125" i="19"/>
  <c r="V125" i="19"/>
  <c r="AA75" i="19"/>
  <c r="V75" i="19"/>
  <c r="AA157" i="19"/>
  <c r="V157" i="19"/>
  <c r="AA45" i="19"/>
  <c r="V45" i="19"/>
  <c r="AA98" i="19"/>
  <c r="V98" i="19"/>
  <c r="AA52" i="19"/>
  <c r="V52" i="19"/>
  <c r="AA107" i="19"/>
  <c r="V107" i="19"/>
  <c r="AA48" i="19"/>
  <c r="V48" i="19"/>
  <c r="AA67" i="19"/>
  <c r="V67" i="19"/>
  <c r="AA63" i="19"/>
  <c r="V63" i="19"/>
  <c r="AA140" i="19"/>
  <c r="V140" i="19"/>
  <c r="AA121" i="19"/>
  <c r="V121" i="19"/>
  <c r="AA64" i="19"/>
  <c r="V64" i="19"/>
  <c r="AA132" i="19"/>
  <c r="V132" i="19"/>
  <c r="AA23" i="19"/>
  <c r="V23" i="19"/>
  <c r="AA81" i="19"/>
  <c r="V81" i="19"/>
  <c r="AA124" i="19"/>
  <c r="V124" i="19"/>
  <c r="AA133" i="19"/>
  <c r="V133" i="19"/>
  <c r="AA106" i="19"/>
  <c r="V106" i="19"/>
  <c r="AA92" i="19"/>
  <c r="V92" i="19"/>
  <c r="AA142" i="19"/>
  <c r="V142" i="19"/>
  <c r="AA96" i="19"/>
  <c r="V96" i="19"/>
  <c r="AA78" i="19"/>
  <c r="V78" i="19"/>
  <c r="AA185" i="19"/>
  <c r="V185" i="19"/>
  <c r="AA69" i="19"/>
  <c r="V69" i="19"/>
  <c r="AA77" i="19"/>
  <c r="V77" i="19"/>
  <c r="AA101" i="19"/>
  <c r="V101" i="19"/>
  <c r="AA72" i="19"/>
  <c r="V72" i="19"/>
  <c r="AA85" i="19"/>
  <c r="V85" i="19"/>
  <c r="AA29" i="19"/>
  <c r="V29" i="19"/>
  <c r="AA83" i="19"/>
  <c r="V83" i="19"/>
  <c r="AA28" i="19"/>
  <c r="V28" i="19"/>
  <c r="AA36" i="19"/>
  <c r="V36" i="19"/>
  <c r="AA97" i="19"/>
  <c r="V97" i="19"/>
  <c r="AA151" i="19"/>
  <c r="V151" i="19"/>
  <c r="AA61" i="19"/>
  <c r="V61" i="19"/>
  <c r="AA79" i="19"/>
  <c r="V79" i="19"/>
  <c r="AA21" i="19"/>
  <c r="V21" i="19"/>
  <c r="AA168" i="19"/>
  <c r="V168" i="19"/>
  <c r="AA57" i="19"/>
  <c r="V57" i="19"/>
  <c r="AA183" i="19"/>
  <c r="V183" i="19"/>
  <c r="AA102" i="19"/>
  <c r="V102" i="19"/>
  <c r="C10" i="20"/>
  <c r="H10" i="20"/>
  <c r="A11" i="20" a="1"/>
  <c r="A11" i="20" s="1"/>
  <c r="AS8" i="20" s="1"/>
  <c r="A15" i="15"/>
  <c r="A16" i="15"/>
  <c r="F191" i="10"/>
  <c r="F190" i="10"/>
  <c r="F189" i="10"/>
  <c r="F188" i="10"/>
  <c r="F187" i="10"/>
  <c r="F186" i="10"/>
  <c r="F185" i="10"/>
  <c r="F184" i="10"/>
  <c r="F183" i="10"/>
  <c r="F182" i="10"/>
  <c r="F181" i="10"/>
  <c r="F180" i="10"/>
  <c r="F179" i="10"/>
  <c r="F178" i="10"/>
  <c r="F177" i="10"/>
  <c r="F176" i="10"/>
  <c r="F175" i="10"/>
  <c r="F174" i="10"/>
  <c r="F173" i="10"/>
  <c r="F172" i="10"/>
  <c r="F171" i="10"/>
  <c r="F170" i="10"/>
  <c r="F169" i="10"/>
  <c r="F168" i="10"/>
  <c r="F167" i="10"/>
  <c r="F166" i="10"/>
  <c r="F165" i="10"/>
  <c r="F164" i="10"/>
  <c r="F163" i="10"/>
  <c r="F162" i="10"/>
  <c r="F161" i="10"/>
  <c r="F160" i="10"/>
  <c r="F159" i="10"/>
  <c r="F158" i="10"/>
  <c r="F157" i="10"/>
  <c r="F156" i="10"/>
  <c r="F155" i="10"/>
  <c r="F154" i="10"/>
  <c r="F153" i="10"/>
  <c r="F152" i="10"/>
  <c r="F151" i="10"/>
  <c r="F150" i="10"/>
  <c r="F149" i="10"/>
  <c r="F148" i="10"/>
  <c r="F147" i="10"/>
  <c r="F146" i="10"/>
  <c r="F145" i="10"/>
  <c r="F144" i="10"/>
  <c r="F143" i="10"/>
  <c r="F142" i="10"/>
  <c r="F141" i="10"/>
  <c r="F140" i="10"/>
  <c r="F139" i="10"/>
  <c r="F138" i="10"/>
  <c r="F137" i="10"/>
  <c r="F136" i="10"/>
  <c r="F135" i="10"/>
  <c r="F134" i="10"/>
  <c r="F133" i="10"/>
  <c r="F132" i="10"/>
  <c r="F131" i="10"/>
  <c r="F130" i="10"/>
  <c r="F129" i="10"/>
  <c r="F128" i="10"/>
  <c r="F127" i="10"/>
  <c r="F126" i="10"/>
  <c r="F125" i="10"/>
  <c r="F124" i="10"/>
  <c r="F123" i="10"/>
  <c r="F122" i="10"/>
  <c r="F121" i="10"/>
  <c r="F120" i="10"/>
  <c r="F119" i="10"/>
  <c r="F118" i="10"/>
  <c r="F117" i="10"/>
  <c r="F116" i="10"/>
  <c r="F115" i="10"/>
  <c r="F114" i="10"/>
  <c r="F113" i="10"/>
  <c r="F112" i="10"/>
  <c r="F111" i="10"/>
  <c r="F110" i="10"/>
  <c r="F109" i="10"/>
  <c r="F108" i="10"/>
  <c r="F107" i="10"/>
  <c r="F106" i="10"/>
  <c r="F105" i="10"/>
  <c r="F104" i="10"/>
  <c r="F103" i="10"/>
  <c r="F102" i="10"/>
  <c r="F101" i="10"/>
  <c r="F100" i="10"/>
  <c r="F99" i="10"/>
  <c r="F98" i="10"/>
  <c r="F97" i="10"/>
  <c r="F96" i="10"/>
  <c r="F95" i="10"/>
  <c r="F94" i="10"/>
  <c r="F93" i="10"/>
  <c r="F92" i="10"/>
  <c r="F91" i="10"/>
  <c r="F90" i="10"/>
  <c r="F89" i="10"/>
  <c r="F88" i="10"/>
  <c r="F87" i="10"/>
  <c r="F86" i="10"/>
  <c r="F85" i="10"/>
  <c r="F84" i="10"/>
  <c r="F83" i="10"/>
  <c r="F82" i="10"/>
  <c r="F81" i="10"/>
  <c r="F80" i="10"/>
  <c r="F79" i="10"/>
  <c r="F78" i="10"/>
  <c r="F77" i="10"/>
  <c r="F76" i="10"/>
  <c r="F75" i="10"/>
  <c r="F74" i="10"/>
  <c r="F73" i="10"/>
  <c r="F72" i="10"/>
  <c r="F71" i="10"/>
  <c r="F70" i="10"/>
  <c r="F69" i="10"/>
  <c r="F68" i="10"/>
  <c r="F67" i="10"/>
  <c r="F66" i="10"/>
  <c r="F65" i="10"/>
  <c r="F64" i="10"/>
  <c r="F63" i="10"/>
  <c r="F62" i="10"/>
  <c r="F61" i="10"/>
  <c r="F60" i="10"/>
  <c r="F59" i="10"/>
  <c r="F58" i="10"/>
  <c r="F57" i="10"/>
  <c r="F56" i="10"/>
  <c r="F55" i="10"/>
  <c r="F54" i="10"/>
  <c r="F53" i="10"/>
  <c r="F52" i="10"/>
  <c r="F51" i="10"/>
  <c r="F50" i="10"/>
  <c r="F49" i="10"/>
  <c r="F48" i="10"/>
  <c r="F47" i="10"/>
  <c r="F46" i="10"/>
  <c r="F45" i="10"/>
  <c r="F44" i="10"/>
  <c r="F43" i="10"/>
  <c r="F42" i="10"/>
  <c r="F41" i="10"/>
  <c r="F40" i="10"/>
  <c r="F39" i="10"/>
  <c r="F38" i="10"/>
  <c r="F37" i="10"/>
  <c r="F36" i="10"/>
  <c r="F35" i="10"/>
  <c r="F34" i="10"/>
  <c r="F33" i="10"/>
  <c r="F32" i="10"/>
  <c r="F31" i="10"/>
  <c r="F30" i="10"/>
  <c r="F29" i="10"/>
  <c r="F28" i="10"/>
  <c r="F27" i="10"/>
  <c r="F26" i="10"/>
  <c r="F25" i="10"/>
  <c r="F24" i="10"/>
  <c r="F23" i="10"/>
  <c r="F22" i="10"/>
  <c r="F21" i="10"/>
  <c r="F20" i="10"/>
  <c r="F19" i="10"/>
  <c r="A189" i="15"/>
  <c r="A188" i="15"/>
  <c r="A187" i="15"/>
  <c r="A186" i="15"/>
  <c r="A185" i="15"/>
  <c r="A184" i="15"/>
  <c r="A183" i="15"/>
  <c r="A182" i="15"/>
  <c r="A181" i="15"/>
  <c r="A180" i="15"/>
  <c r="A179" i="15"/>
  <c r="A178" i="15"/>
  <c r="A177" i="15"/>
  <c r="A176" i="15"/>
  <c r="A175" i="15"/>
  <c r="A174" i="15"/>
  <c r="A173" i="15"/>
  <c r="A172" i="15"/>
  <c r="A171" i="15"/>
  <c r="A170" i="15"/>
  <c r="A169" i="15"/>
  <c r="A168" i="15"/>
  <c r="A167" i="15"/>
  <c r="A166" i="15"/>
  <c r="A165" i="15"/>
  <c r="A164" i="15"/>
  <c r="A163" i="15"/>
  <c r="A162" i="15"/>
  <c r="A161" i="15"/>
  <c r="A160" i="15"/>
  <c r="A159" i="15"/>
  <c r="A158" i="15"/>
  <c r="A157" i="15"/>
  <c r="A156" i="15"/>
  <c r="A155" i="15"/>
  <c r="A154" i="15"/>
  <c r="A153" i="15"/>
  <c r="A152" i="15"/>
  <c r="A151" i="15"/>
  <c r="A150" i="15"/>
  <c r="A149" i="15"/>
  <c r="A148" i="15"/>
  <c r="A147" i="15"/>
  <c r="A146" i="15"/>
  <c r="A145" i="15"/>
  <c r="A144" i="15"/>
  <c r="A143" i="15"/>
  <c r="A142" i="15"/>
  <c r="A141" i="15"/>
  <c r="A140" i="15"/>
  <c r="A139" i="15"/>
  <c r="A138" i="15"/>
  <c r="A137" i="15"/>
  <c r="A136" i="15"/>
  <c r="A135" i="15"/>
  <c r="A134" i="15"/>
  <c r="A133" i="15"/>
  <c r="A132" i="15"/>
  <c r="A131" i="15"/>
  <c r="A130" i="15"/>
  <c r="A129" i="15"/>
  <c r="A128" i="15"/>
  <c r="A127" i="15"/>
  <c r="A126" i="15"/>
  <c r="A125" i="15"/>
  <c r="A124" i="15"/>
  <c r="A123" i="15"/>
  <c r="A122" i="15"/>
  <c r="A121" i="15"/>
  <c r="A120" i="15"/>
  <c r="A119" i="15"/>
  <c r="A118" i="15"/>
  <c r="A117" i="15"/>
  <c r="A116" i="15"/>
  <c r="A115" i="15"/>
  <c r="A114" i="15"/>
  <c r="A113" i="15"/>
  <c r="A112" i="15"/>
  <c r="A111" i="15"/>
  <c r="A110" i="15"/>
  <c r="A109" i="15"/>
  <c r="A108" i="15"/>
  <c r="A107" i="15"/>
  <c r="A106" i="15"/>
  <c r="A105" i="15"/>
  <c r="A104" i="15"/>
  <c r="A103" i="15"/>
  <c r="A102" i="15"/>
  <c r="A101" i="15"/>
  <c r="A100" i="15"/>
  <c r="A99" i="15"/>
  <c r="A98" i="15"/>
  <c r="A97" i="15"/>
  <c r="A96" i="15"/>
  <c r="A95" i="15"/>
  <c r="A94" i="15"/>
  <c r="A93" i="15"/>
  <c r="A92" i="15"/>
  <c r="A91" i="15"/>
  <c r="A90" i="15"/>
  <c r="A89" i="15"/>
  <c r="A88" i="15"/>
  <c r="A87" i="15"/>
  <c r="A86" i="15"/>
  <c r="A85" i="15"/>
  <c r="A84" i="15"/>
  <c r="A83" i="15"/>
  <c r="A82" i="15"/>
  <c r="A81" i="15"/>
  <c r="A80" i="15"/>
  <c r="A79" i="15"/>
  <c r="A78" i="15"/>
  <c r="A77" i="15"/>
  <c r="A76" i="15"/>
  <c r="A75" i="15"/>
  <c r="A74" i="15"/>
  <c r="A73" i="15"/>
  <c r="A72" i="15"/>
  <c r="A71" i="15"/>
  <c r="A70" i="15"/>
  <c r="A69" i="15"/>
  <c r="A68" i="15"/>
  <c r="A67" i="15"/>
  <c r="A66" i="15"/>
  <c r="A65" i="15"/>
  <c r="A64" i="15"/>
  <c r="A63" i="15"/>
  <c r="A62" i="15"/>
  <c r="A61" i="15"/>
  <c r="A60" i="15"/>
  <c r="A59" i="15"/>
  <c r="A58" i="15"/>
  <c r="A57" i="15"/>
  <c r="A56" i="15"/>
  <c r="A55" i="15"/>
  <c r="A54" i="15"/>
  <c r="A53" i="15"/>
  <c r="A52" i="15"/>
  <c r="A51" i="15"/>
  <c r="A50" i="15"/>
  <c r="A49" i="15"/>
  <c r="A48" i="15"/>
  <c r="A47" i="15"/>
  <c r="A46" i="15"/>
  <c r="A45" i="15"/>
  <c r="A44" i="15"/>
  <c r="A43" i="15"/>
  <c r="A42" i="15"/>
  <c r="A41" i="15"/>
  <c r="A40" i="15"/>
  <c r="A39" i="15"/>
  <c r="A38" i="15"/>
  <c r="A37" i="15"/>
  <c r="A36" i="15"/>
  <c r="A35" i="15"/>
  <c r="A34" i="15"/>
  <c r="A33" i="15"/>
  <c r="A32" i="15"/>
  <c r="A31" i="15"/>
  <c r="A30" i="15"/>
  <c r="A29" i="15"/>
  <c r="A28" i="15"/>
  <c r="A27" i="15"/>
  <c r="A26" i="15"/>
  <c r="A25" i="15"/>
  <c r="A24" i="15"/>
  <c r="A23" i="15"/>
  <c r="A22" i="15"/>
  <c r="A21" i="15"/>
  <c r="A20" i="15"/>
  <c r="A19" i="15"/>
  <c r="A18" i="15"/>
  <c r="A17" i="15"/>
  <c r="A14" i="15"/>
  <c r="A13" i="15"/>
  <c r="A12" i="15"/>
  <c r="A11" i="15"/>
  <c r="A10" i="15"/>
  <c r="A9" i="15"/>
  <c r="A8" i="15"/>
  <c r="A7" i="15"/>
  <c r="D15" i="10"/>
  <c r="C5" i="9"/>
  <c r="C6" i="9"/>
  <c r="C7" i="9"/>
  <c r="C8" i="9"/>
  <c r="C9" i="9"/>
  <c r="C10" i="9"/>
  <c r="C11" i="9"/>
  <c r="C12" i="9"/>
  <c r="C13" i="9"/>
  <c r="C14" i="9"/>
  <c r="C15" i="9"/>
  <c r="C16" i="9"/>
  <c r="C17" i="9"/>
  <c r="C18" i="9"/>
  <c r="C19" i="9"/>
  <c r="C20" i="9"/>
  <c r="C21" i="9"/>
  <c r="C22" i="9"/>
  <c r="C23" i="9"/>
  <c r="C24" i="9"/>
  <c r="C25" i="9"/>
  <c r="C26" i="9"/>
  <c r="C27" i="9"/>
  <c r="C28" i="9"/>
  <c r="C29" i="9"/>
  <c r="C30" i="9"/>
  <c r="C31" i="9"/>
  <c r="C32" i="9"/>
  <c r="C33" i="9"/>
  <c r="C34" i="9"/>
  <c r="C35" i="9"/>
  <c r="C36" i="9"/>
  <c r="C37" i="9"/>
  <c r="C38" i="9"/>
  <c r="C39" i="9"/>
  <c r="C40" i="9"/>
  <c r="C41" i="9"/>
  <c r="C42" i="9"/>
  <c r="C43" i="9"/>
  <c r="C44" i="9"/>
  <c r="C45" i="9"/>
  <c r="C46" i="9"/>
  <c r="C47" i="9"/>
  <c r="C48" i="9"/>
  <c r="C49" i="9"/>
  <c r="C50" i="9"/>
  <c r="C51" i="9"/>
  <c r="C52" i="9"/>
  <c r="C53" i="9"/>
  <c r="C54" i="9"/>
  <c r="C55" i="9"/>
  <c r="C4" i="9"/>
  <c r="M11" i="10"/>
  <c r="AU7" i="20" l="1"/>
  <c r="H11" i="20"/>
  <c r="C11" i="20"/>
  <c r="A12" i="20" a="1"/>
  <c r="A12" i="20" s="1"/>
  <c r="C4" i="14"/>
  <c r="C5" i="14"/>
  <c r="C6" i="14"/>
  <c r="C7" i="14"/>
  <c r="C8" i="14"/>
  <c r="C9" i="14"/>
  <c r="C10" i="14"/>
  <c r="C11" i="14"/>
  <c r="C12" i="14"/>
  <c r="C13" i="14"/>
  <c r="C14" i="14"/>
  <c r="C15" i="14"/>
  <c r="C16" i="14"/>
  <c r="C17" i="14"/>
  <c r="C18" i="14"/>
  <c r="C19" i="14"/>
  <c r="C20" i="14"/>
  <c r="C21" i="14"/>
  <c r="C22" i="14"/>
  <c r="C23" i="14"/>
  <c r="C24" i="14"/>
  <c r="C25" i="14"/>
  <c r="C26" i="14"/>
  <c r="C27" i="14"/>
  <c r="C28" i="14"/>
  <c r="C29" i="14"/>
  <c r="C30" i="14"/>
  <c r="C31" i="14"/>
  <c r="C32" i="14"/>
  <c r="C33" i="14"/>
  <c r="C34" i="14"/>
  <c r="C35" i="14"/>
  <c r="C36" i="14"/>
  <c r="C37" i="14"/>
  <c r="C38" i="14"/>
  <c r="C39" i="14"/>
  <c r="C40" i="14"/>
  <c r="C41" i="14"/>
  <c r="C42" i="14"/>
  <c r="C43" i="14"/>
  <c r="C44" i="14"/>
  <c r="C45" i="14"/>
  <c r="C46" i="14"/>
  <c r="C47" i="14"/>
  <c r="C48" i="14"/>
  <c r="C49" i="14"/>
  <c r="C50" i="14"/>
  <c r="C51" i="14"/>
  <c r="C52" i="14"/>
  <c r="C53" i="14"/>
  <c r="C54" i="14"/>
  <c r="C55" i="14"/>
  <c r="C56" i="14"/>
  <c r="C57" i="14"/>
  <c r="C58" i="14"/>
  <c r="C59" i="14"/>
  <c r="C60" i="14"/>
  <c r="C61" i="14"/>
  <c r="C62" i="14"/>
  <c r="C63" i="14"/>
  <c r="C64" i="14"/>
  <c r="C65" i="14"/>
  <c r="C66" i="14"/>
  <c r="C67" i="14"/>
  <c r="C68" i="14"/>
  <c r="C69" i="14"/>
  <c r="C70" i="14"/>
  <c r="C71" i="14"/>
  <c r="C72" i="14"/>
  <c r="C73" i="14"/>
  <c r="C74" i="14"/>
  <c r="C75" i="14"/>
  <c r="C76" i="14"/>
  <c r="C77" i="14"/>
  <c r="C78" i="14"/>
  <c r="C79" i="14"/>
  <c r="C80" i="14"/>
  <c r="C81" i="14"/>
  <c r="C82" i="14"/>
  <c r="C83" i="14"/>
  <c r="C84" i="14"/>
  <c r="C85" i="14"/>
  <c r="C86" i="14"/>
  <c r="C87" i="14"/>
  <c r="C88" i="14"/>
  <c r="C89" i="14"/>
  <c r="C90" i="14"/>
  <c r="C91" i="14"/>
  <c r="C92" i="14"/>
  <c r="C93" i="14"/>
  <c r="C94" i="14"/>
  <c r="C95" i="14"/>
  <c r="C96" i="14"/>
  <c r="C97" i="14"/>
  <c r="C98" i="14"/>
  <c r="C99" i="14"/>
  <c r="C100" i="14"/>
  <c r="C101" i="14"/>
  <c r="C102" i="14"/>
  <c r="C103" i="14"/>
  <c r="C104" i="14"/>
  <c r="C105" i="14"/>
  <c r="C106" i="14"/>
  <c r="C107" i="14"/>
  <c r="C108" i="14"/>
  <c r="C109" i="14"/>
  <c r="C110" i="14"/>
  <c r="C111" i="14"/>
  <c r="C112" i="14"/>
  <c r="C113" i="14"/>
  <c r="C114" i="14"/>
  <c r="C115" i="14"/>
  <c r="C116" i="14"/>
  <c r="C117" i="14"/>
  <c r="C118" i="14"/>
  <c r="C119" i="14"/>
  <c r="C120" i="14"/>
  <c r="C121" i="14"/>
  <c r="C122" i="14"/>
  <c r="C123" i="14"/>
  <c r="C124" i="14"/>
  <c r="C125" i="14"/>
  <c r="C126" i="14"/>
  <c r="C127" i="14"/>
  <c r="C128" i="14"/>
  <c r="C129" i="14"/>
  <c r="C130" i="14"/>
  <c r="C131" i="14"/>
  <c r="C132" i="14"/>
  <c r="C133" i="14"/>
  <c r="C134" i="14"/>
  <c r="C135" i="14"/>
  <c r="C136" i="14"/>
  <c r="C137" i="14"/>
  <c r="C138" i="14"/>
  <c r="C139" i="14"/>
  <c r="C140" i="14"/>
  <c r="C141" i="14"/>
  <c r="C142" i="14"/>
  <c r="C143" i="14"/>
  <c r="C144" i="14"/>
  <c r="C145" i="14"/>
  <c r="C146" i="14"/>
  <c r="C147" i="14"/>
  <c r="C148" i="14"/>
  <c r="C149" i="14"/>
  <c r="C150" i="14"/>
  <c r="C151" i="14"/>
  <c r="C152" i="14"/>
  <c r="C153" i="14"/>
  <c r="C154" i="14"/>
  <c r="C155" i="14"/>
  <c r="C156" i="14"/>
  <c r="C157" i="14"/>
  <c r="C158" i="14"/>
  <c r="C159" i="14"/>
  <c r="C160" i="14"/>
  <c r="C161" i="14"/>
  <c r="C162" i="14"/>
  <c r="C163" i="14"/>
  <c r="C164" i="14"/>
  <c r="C165" i="14"/>
  <c r="C166" i="14"/>
  <c r="C167" i="14"/>
  <c r="C168" i="14"/>
  <c r="C169" i="14"/>
  <c r="C170" i="14"/>
  <c r="C171" i="14"/>
  <c r="C172" i="14"/>
  <c r="C173" i="14"/>
  <c r="C174" i="14"/>
  <c r="C175" i="14"/>
  <c r="C176" i="14"/>
  <c r="C177" i="14"/>
  <c r="C178" i="14"/>
  <c r="C179" i="14"/>
  <c r="C180" i="14"/>
  <c r="C181" i="14"/>
  <c r="C182" i="14"/>
  <c r="C183" i="14"/>
  <c r="C184" i="14"/>
  <c r="C185" i="14"/>
  <c r="C186" i="14"/>
  <c r="C187" i="14"/>
  <c r="C188" i="14"/>
  <c r="C189" i="14"/>
  <c r="C190" i="14"/>
  <c r="C191" i="14"/>
  <c r="C192" i="14"/>
  <c r="C193" i="14"/>
  <c r="C194" i="14"/>
  <c r="C195" i="14"/>
  <c r="C196" i="14"/>
  <c r="C197" i="14"/>
  <c r="C198" i="14"/>
  <c r="C199" i="14"/>
  <c r="C200" i="14"/>
  <c r="C201" i="14"/>
  <c r="C202" i="14"/>
  <c r="C203" i="14"/>
  <c r="C204" i="14"/>
  <c r="C205" i="14"/>
  <c r="C206" i="14"/>
  <c r="C207" i="14"/>
  <c r="C208" i="14"/>
  <c r="C209" i="14"/>
  <c r="C210" i="14"/>
  <c r="C211" i="14"/>
  <c r="C212" i="14"/>
  <c r="C213" i="14"/>
  <c r="C214" i="14"/>
  <c r="C215" i="14"/>
  <c r="C216" i="14"/>
  <c r="C217" i="14"/>
  <c r="C218" i="14"/>
  <c r="C219" i="14"/>
  <c r="C220" i="14"/>
  <c r="C221" i="14"/>
  <c r="C222" i="14"/>
  <c r="C223" i="14"/>
  <c r="C224" i="14"/>
  <c r="C225" i="14"/>
  <c r="C226" i="14"/>
  <c r="C227" i="14"/>
  <c r="C228" i="14"/>
  <c r="C229" i="14"/>
  <c r="C230" i="14"/>
  <c r="C231" i="14"/>
  <c r="C232" i="14"/>
  <c r="C233" i="14"/>
  <c r="C234" i="14"/>
  <c r="C235" i="14"/>
  <c r="C236" i="14"/>
  <c r="C237" i="14"/>
  <c r="C238" i="14"/>
  <c r="C239" i="14"/>
  <c r="C240" i="14"/>
  <c r="C241" i="14"/>
  <c r="C242" i="14"/>
  <c r="C243" i="14"/>
  <c r="C244" i="14"/>
  <c r="C245" i="14"/>
  <c r="C246" i="14"/>
  <c r="C247" i="14"/>
  <c r="C248" i="14"/>
  <c r="C249" i="14"/>
  <c r="C250" i="14"/>
  <c r="C251" i="14"/>
  <c r="C252" i="14"/>
  <c r="C253" i="14"/>
  <c r="C254" i="14"/>
  <c r="C255" i="14"/>
  <c r="C256" i="14"/>
  <c r="C257" i="14"/>
  <c r="C258" i="14"/>
  <c r="C259" i="14"/>
  <c r="C260" i="14"/>
  <c r="C261" i="14"/>
  <c r="C262" i="14"/>
  <c r="C263" i="14"/>
  <c r="C264" i="14"/>
  <c r="C265" i="14"/>
  <c r="C266" i="14"/>
  <c r="C267" i="14"/>
  <c r="C268" i="14"/>
  <c r="C269" i="14"/>
  <c r="C270" i="14"/>
  <c r="C271" i="14"/>
  <c r="C272" i="14"/>
  <c r="C273" i="14"/>
  <c r="C274" i="14"/>
  <c r="C275" i="14"/>
  <c r="C276" i="14"/>
  <c r="C277" i="14"/>
  <c r="C278" i="14"/>
  <c r="C279" i="14"/>
  <c r="C280" i="14"/>
  <c r="C281" i="14"/>
  <c r="C282" i="14"/>
  <c r="C283" i="14"/>
  <c r="C284" i="14"/>
  <c r="C285" i="14"/>
  <c r="C286" i="14"/>
  <c r="C287" i="14"/>
  <c r="C288" i="14"/>
  <c r="C289" i="14"/>
  <c r="C290" i="14"/>
  <c r="C291" i="14"/>
  <c r="C292" i="14"/>
  <c r="C293" i="14"/>
  <c r="C294" i="14"/>
  <c r="C295" i="14"/>
  <c r="C296" i="14"/>
  <c r="C297" i="14"/>
  <c r="C298" i="14"/>
  <c r="C299" i="14"/>
  <c r="C300" i="14"/>
  <c r="C301" i="14"/>
  <c r="C302" i="14"/>
  <c r="C303" i="14"/>
  <c r="C304" i="14"/>
  <c r="C305" i="14"/>
  <c r="C306" i="14"/>
  <c r="C307" i="14"/>
  <c r="C308" i="14"/>
  <c r="C309" i="14"/>
  <c r="C310" i="14"/>
  <c r="C311" i="14"/>
  <c r="C312" i="14"/>
  <c r="C313" i="14"/>
  <c r="C314" i="14"/>
  <c r="C315" i="14"/>
  <c r="C316" i="14"/>
  <c r="C317" i="14"/>
  <c r="C318" i="14"/>
  <c r="C319" i="14"/>
  <c r="C320" i="14"/>
  <c r="C321" i="14"/>
  <c r="C322" i="14"/>
  <c r="C323" i="14"/>
  <c r="C324" i="14"/>
  <c r="C325" i="14"/>
  <c r="C326" i="14"/>
  <c r="C327" i="14"/>
  <c r="C328" i="14"/>
  <c r="C329" i="14"/>
  <c r="C330" i="14"/>
  <c r="C331" i="14"/>
  <c r="C332" i="14"/>
  <c r="C333" i="14"/>
  <c r="C334" i="14"/>
  <c r="C335" i="14"/>
  <c r="C336" i="14"/>
  <c r="C337" i="14"/>
  <c r="C338" i="14"/>
  <c r="C339" i="14"/>
  <c r="C340" i="14"/>
  <c r="C341" i="14"/>
  <c r="C342" i="14"/>
  <c r="C343" i="14"/>
  <c r="C344" i="14"/>
  <c r="C345" i="14"/>
  <c r="C346" i="14"/>
  <c r="C347" i="14"/>
  <c r="C348" i="14"/>
  <c r="C349" i="14"/>
  <c r="C350" i="14"/>
  <c r="C351" i="14"/>
  <c r="C352" i="14"/>
  <c r="C353" i="14"/>
  <c r="C354" i="14"/>
  <c r="C355" i="14"/>
  <c r="C356" i="14"/>
  <c r="C357" i="14"/>
  <c r="C358" i="14"/>
  <c r="C359" i="14"/>
  <c r="C360" i="14"/>
  <c r="C361" i="14"/>
  <c r="C362" i="14"/>
  <c r="C363" i="14"/>
  <c r="C364" i="14"/>
  <c r="C365" i="14"/>
  <c r="C366" i="14"/>
  <c r="C367" i="14"/>
  <c r="C368" i="14"/>
  <c r="C369" i="14"/>
  <c r="C370" i="14"/>
  <c r="C371" i="14"/>
  <c r="C372" i="14"/>
  <c r="C373" i="14"/>
  <c r="C374" i="14"/>
  <c r="C375" i="14"/>
  <c r="C376" i="14"/>
  <c r="C377" i="14"/>
  <c r="C378" i="14"/>
  <c r="C379" i="14"/>
  <c r="C380" i="14"/>
  <c r="C381" i="14"/>
  <c r="C382" i="14"/>
  <c r="C383" i="14"/>
  <c r="C384" i="14"/>
  <c r="C385" i="14"/>
  <c r="C386" i="14"/>
  <c r="C3" i="14"/>
  <c r="F5" i="9" s="1"/>
  <c r="AU8" i="20" l="1"/>
  <c r="A13" i="20" a="1"/>
  <c r="A13" i="20" s="1"/>
  <c r="AS10" i="20" s="1"/>
  <c r="AS9" i="20"/>
  <c r="H12" i="20"/>
  <c r="C12" i="20"/>
  <c r="E5" i="9"/>
  <c r="E42" i="9"/>
  <c r="E30" i="9"/>
  <c r="E18" i="9"/>
  <c r="L55" i="9"/>
  <c r="G54" i="9"/>
  <c r="I52" i="9"/>
  <c r="K50" i="9"/>
  <c r="F49" i="9"/>
  <c r="H47" i="9"/>
  <c r="J45" i="9"/>
  <c r="L42" i="9"/>
  <c r="G41" i="9"/>
  <c r="I39" i="9"/>
  <c r="K37" i="9"/>
  <c r="F36" i="9"/>
  <c r="H34" i="9"/>
  <c r="J32" i="9"/>
  <c r="L30" i="9"/>
  <c r="G29" i="9"/>
  <c r="I27" i="9"/>
  <c r="K25" i="9"/>
  <c r="F24" i="9"/>
  <c r="H22" i="9"/>
  <c r="J20" i="9"/>
  <c r="L18" i="9"/>
  <c r="G17" i="9"/>
  <c r="I14" i="9"/>
  <c r="K12" i="9"/>
  <c r="F10" i="9"/>
  <c r="H8" i="9"/>
  <c r="J6" i="9"/>
  <c r="E54" i="9"/>
  <c r="E41" i="9"/>
  <c r="E29" i="9"/>
  <c r="E17" i="9"/>
  <c r="K55" i="9"/>
  <c r="F54" i="9"/>
  <c r="H52" i="9"/>
  <c r="J50" i="9"/>
  <c r="L48" i="9"/>
  <c r="G47" i="9"/>
  <c r="I45" i="9"/>
  <c r="K42" i="9"/>
  <c r="F41" i="9"/>
  <c r="H39" i="9"/>
  <c r="J37" i="9"/>
  <c r="L35" i="9"/>
  <c r="G34" i="9"/>
  <c r="I32" i="9"/>
  <c r="K30" i="9"/>
  <c r="F29" i="9"/>
  <c r="H27" i="9"/>
  <c r="J25" i="9"/>
  <c r="L23" i="9"/>
  <c r="G22" i="9"/>
  <c r="I20" i="9"/>
  <c r="K18" i="9"/>
  <c r="F17" i="9"/>
  <c r="H14" i="9"/>
  <c r="J12" i="9"/>
  <c r="L9" i="9"/>
  <c r="G8" i="9"/>
  <c r="I6" i="9"/>
  <c r="E53" i="9"/>
  <c r="E40" i="9"/>
  <c r="E28" i="9"/>
  <c r="E16" i="9"/>
  <c r="J55" i="9"/>
  <c r="L53" i="9"/>
  <c r="G52" i="9"/>
  <c r="I50" i="9"/>
  <c r="K48" i="9"/>
  <c r="F47" i="9"/>
  <c r="H45" i="9"/>
  <c r="J42" i="9"/>
  <c r="L40" i="9"/>
  <c r="G39" i="9"/>
  <c r="I37" i="9"/>
  <c r="K35" i="9"/>
  <c r="F34" i="9"/>
  <c r="H32" i="9"/>
  <c r="J30" i="9"/>
  <c r="L28" i="9"/>
  <c r="G27" i="9"/>
  <c r="I25" i="9"/>
  <c r="K23" i="9"/>
  <c r="F22" i="9"/>
  <c r="H20" i="9"/>
  <c r="J18" i="9"/>
  <c r="L16" i="9"/>
  <c r="G14" i="9"/>
  <c r="I12" i="9"/>
  <c r="K9" i="9"/>
  <c r="F8" i="9"/>
  <c r="H6" i="9"/>
  <c r="E52" i="9"/>
  <c r="E39" i="9"/>
  <c r="E27" i="9"/>
  <c r="E14" i="9"/>
  <c r="I55" i="9"/>
  <c r="K53" i="9"/>
  <c r="F52" i="9"/>
  <c r="H50" i="9"/>
  <c r="J48" i="9"/>
  <c r="L46" i="9"/>
  <c r="G45" i="9"/>
  <c r="I42" i="9"/>
  <c r="K40" i="9"/>
  <c r="F39" i="9"/>
  <c r="H37" i="9"/>
  <c r="J35" i="9"/>
  <c r="L33" i="9"/>
  <c r="G32" i="9"/>
  <c r="I30" i="9"/>
  <c r="K28" i="9"/>
  <c r="F27" i="9"/>
  <c r="H25" i="9"/>
  <c r="J23" i="9"/>
  <c r="L21" i="9"/>
  <c r="G20" i="9"/>
  <c r="I18" i="9"/>
  <c r="K16" i="9"/>
  <c r="F14" i="9"/>
  <c r="H12" i="9"/>
  <c r="J9" i="9"/>
  <c r="L7" i="9"/>
  <c r="G6" i="9"/>
  <c r="E51" i="9"/>
  <c r="E38" i="9"/>
  <c r="E26" i="9"/>
  <c r="E13" i="9"/>
  <c r="H55" i="9"/>
  <c r="J53" i="9"/>
  <c r="L51" i="9"/>
  <c r="G50" i="9"/>
  <c r="I48" i="9"/>
  <c r="K46" i="9"/>
  <c r="F45" i="9"/>
  <c r="H42" i="9"/>
  <c r="J40" i="9"/>
  <c r="L38" i="9"/>
  <c r="G37" i="9"/>
  <c r="I35" i="9"/>
  <c r="K33" i="9"/>
  <c r="F32" i="9"/>
  <c r="H30" i="9"/>
  <c r="J28" i="9"/>
  <c r="L26" i="9"/>
  <c r="G25" i="9"/>
  <c r="I23" i="9"/>
  <c r="K21" i="9"/>
  <c r="F20" i="9"/>
  <c r="H18" i="9"/>
  <c r="J16" i="9"/>
  <c r="L13" i="9"/>
  <c r="G12" i="9"/>
  <c r="I9" i="9"/>
  <c r="K7" i="9"/>
  <c r="F6" i="9"/>
  <c r="E50" i="9"/>
  <c r="E37" i="9"/>
  <c r="E25" i="9"/>
  <c r="E12" i="9"/>
  <c r="G55" i="9"/>
  <c r="I53" i="9"/>
  <c r="K51" i="9"/>
  <c r="F50" i="9"/>
  <c r="H48" i="9"/>
  <c r="J46" i="9"/>
  <c r="L44" i="9"/>
  <c r="G42" i="9"/>
  <c r="I40" i="9"/>
  <c r="K38" i="9"/>
  <c r="F37" i="9"/>
  <c r="H35" i="9"/>
  <c r="J33" i="9"/>
  <c r="L31" i="9"/>
  <c r="G30" i="9"/>
  <c r="I28" i="9"/>
  <c r="K26" i="9"/>
  <c r="F25" i="9"/>
  <c r="H23" i="9"/>
  <c r="J21" i="9"/>
  <c r="L19" i="9"/>
  <c r="G18" i="9"/>
  <c r="I16" i="9"/>
  <c r="K13" i="9"/>
  <c r="F12" i="9"/>
  <c r="H9" i="9"/>
  <c r="J7" i="9"/>
  <c r="L5" i="9"/>
  <c r="E49" i="9"/>
  <c r="E36" i="9"/>
  <c r="E24" i="9"/>
  <c r="E10" i="9"/>
  <c r="F55" i="9"/>
  <c r="H53" i="9"/>
  <c r="J51" i="9"/>
  <c r="L49" i="9"/>
  <c r="G48" i="9"/>
  <c r="I46" i="9"/>
  <c r="K44" i="9"/>
  <c r="F42" i="9"/>
  <c r="H40" i="9"/>
  <c r="J38" i="9"/>
  <c r="L36" i="9"/>
  <c r="G35" i="9"/>
  <c r="I33" i="9"/>
  <c r="K31" i="9"/>
  <c r="F30" i="9"/>
  <c r="H28" i="9"/>
  <c r="J26" i="9"/>
  <c r="L24" i="9"/>
  <c r="G23" i="9"/>
  <c r="I21" i="9"/>
  <c r="K19" i="9"/>
  <c r="F18" i="9"/>
  <c r="H16" i="9"/>
  <c r="J13" i="9"/>
  <c r="L10" i="9"/>
  <c r="G9" i="9"/>
  <c r="I7" i="9"/>
  <c r="K5" i="9"/>
  <c r="E48" i="9"/>
  <c r="E35" i="9"/>
  <c r="E23" i="9"/>
  <c r="E9" i="9"/>
  <c r="L54" i="9"/>
  <c r="G53" i="9"/>
  <c r="I51" i="9"/>
  <c r="K49" i="9"/>
  <c r="F48" i="9"/>
  <c r="H46" i="9"/>
  <c r="J44" i="9"/>
  <c r="L41" i="9"/>
  <c r="G40" i="9"/>
  <c r="I38" i="9"/>
  <c r="K36" i="9"/>
  <c r="F35" i="9"/>
  <c r="H33" i="9"/>
  <c r="J31" i="9"/>
  <c r="L29" i="9"/>
  <c r="G28" i="9"/>
  <c r="I26" i="9"/>
  <c r="K24" i="9"/>
  <c r="F23" i="9"/>
  <c r="H21" i="9"/>
  <c r="J19" i="9"/>
  <c r="L17" i="9"/>
  <c r="G16" i="9"/>
  <c r="I13" i="9"/>
  <c r="K10" i="9"/>
  <c r="F9" i="9"/>
  <c r="H7" i="9"/>
  <c r="J5" i="9"/>
  <c r="E47" i="9"/>
  <c r="E34" i="9"/>
  <c r="E22" i="9"/>
  <c r="E8" i="9"/>
  <c r="K54" i="9"/>
  <c r="F53" i="9"/>
  <c r="H51" i="9"/>
  <c r="J49" i="9"/>
  <c r="L47" i="9"/>
  <c r="G46" i="9"/>
  <c r="I44" i="9"/>
  <c r="K41" i="9"/>
  <c r="F40" i="9"/>
  <c r="H38" i="9"/>
  <c r="J36" i="9"/>
  <c r="L34" i="9"/>
  <c r="G33" i="9"/>
  <c r="I31" i="9"/>
  <c r="K29" i="9"/>
  <c r="F28" i="9"/>
  <c r="H26" i="9"/>
  <c r="J24" i="9"/>
  <c r="L22" i="9"/>
  <c r="G21" i="9"/>
  <c r="I19" i="9"/>
  <c r="K17" i="9"/>
  <c r="F16" i="9"/>
  <c r="H13" i="9"/>
  <c r="J10" i="9"/>
  <c r="L8" i="9"/>
  <c r="G7" i="9"/>
  <c r="I5" i="9"/>
  <c r="E46" i="9"/>
  <c r="E33" i="9"/>
  <c r="E21" i="9"/>
  <c r="E7" i="9"/>
  <c r="J54" i="9"/>
  <c r="L52" i="9"/>
  <c r="G51" i="9"/>
  <c r="I49" i="9"/>
  <c r="K47" i="9"/>
  <c r="F46" i="9"/>
  <c r="H44" i="9"/>
  <c r="J41" i="9"/>
  <c r="L39" i="9"/>
  <c r="G38" i="9"/>
  <c r="I36" i="9"/>
  <c r="K34" i="9"/>
  <c r="F33" i="9"/>
  <c r="H31" i="9"/>
  <c r="J29" i="9"/>
  <c r="L27" i="9"/>
  <c r="G26" i="9"/>
  <c r="I24" i="9"/>
  <c r="K22" i="9"/>
  <c r="F21" i="9"/>
  <c r="H19" i="9"/>
  <c r="J17" i="9"/>
  <c r="L14" i="9"/>
  <c r="G13" i="9"/>
  <c r="I10" i="9"/>
  <c r="K8" i="9"/>
  <c r="F7" i="9"/>
  <c r="H5" i="9"/>
  <c r="E45" i="9"/>
  <c r="E32" i="9"/>
  <c r="E20" i="9"/>
  <c r="E6" i="9"/>
  <c r="I54" i="9"/>
  <c r="K52" i="9"/>
  <c r="F51" i="9"/>
  <c r="H49" i="9"/>
  <c r="J47" i="9"/>
  <c r="L45" i="9"/>
  <c r="G44" i="9"/>
  <c r="I41" i="9"/>
  <c r="K39" i="9"/>
  <c r="F38" i="9"/>
  <c r="H36" i="9"/>
  <c r="J34" i="9"/>
  <c r="L32" i="9"/>
  <c r="G31" i="9"/>
  <c r="I29" i="9"/>
  <c r="K27" i="9"/>
  <c r="F26" i="9"/>
  <c r="H24" i="9"/>
  <c r="J22" i="9"/>
  <c r="L20" i="9"/>
  <c r="G19" i="9"/>
  <c r="I17" i="9"/>
  <c r="K14" i="9"/>
  <c r="F13" i="9"/>
  <c r="H10" i="9"/>
  <c r="J8" i="9"/>
  <c r="L6" i="9"/>
  <c r="G5" i="9"/>
  <c r="E44" i="9"/>
  <c r="E31" i="9"/>
  <c r="E19" i="9"/>
  <c r="E55" i="9"/>
  <c r="H54" i="9"/>
  <c r="J52" i="9"/>
  <c r="L50" i="9"/>
  <c r="G49" i="9"/>
  <c r="I47" i="9"/>
  <c r="K45" i="9"/>
  <c r="F44" i="9"/>
  <c r="H41" i="9"/>
  <c r="J39" i="9"/>
  <c r="L37" i="9"/>
  <c r="G36" i="9"/>
  <c r="I34" i="9"/>
  <c r="K32" i="9"/>
  <c r="F31" i="9"/>
  <c r="H29" i="9"/>
  <c r="J27" i="9"/>
  <c r="L25" i="9"/>
  <c r="G24" i="9"/>
  <c r="I22" i="9"/>
  <c r="K20" i="9"/>
  <c r="F19" i="9"/>
  <c r="H17" i="9"/>
  <c r="J14" i="9"/>
  <c r="L12" i="9"/>
  <c r="G10" i="9"/>
  <c r="I8" i="9"/>
  <c r="K6" i="9"/>
  <c r="AU9" i="20" l="1"/>
  <c r="A14" i="20" a="1"/>
  <c r="A14" i="20" s="1"/>
  <c r="AS11" i="20" s="1"/>
  <c r="C13" i="20"/>
  <c r="H13" i="20"/>
  <c r="P14" i="10"/>
  <c r="P18" i="10"/>
  <c r="P12" i="10"/>
  <c r="P16" i="10"/>
  <c r="P17" i="10"/>
  <c r="P13" i="10"/>
  <c r="A15" i="20" l="1" a="1"/>
  <c r="A15" i="20" s="1"/>
  <c r="AS12" i="20" s="1"/>
  <c r="C14" i="20"/>
  <c r="H14" i="20"/>
  <c r="AU10" i="20"/>
  <c r="R16" i="10"/>
  <c r="A16" i="20" l="1" a="1"/>
  <c r="A16" i="20" s="1"/>
  <c r="AS13" i="20" s="1"/>
  <c r="C15" i="20"/>
  <c r="H15" i="20"/>
  <c r="AU11" i="20"/>
  <c r="O16" i="10"/>
  <c r="N16" i="10" s="1"/>
  <c r="Q16" i="10" s="1"/>
  <c r="P15" i="10"/>
  <c r="AU12" i="20" l="1"/>
  <c r="A17" i="20" a="1"/>
  <c r="A17" i="20" s="1"/>
  <c r="AS14" i="20" s="1"/>
  <c r="C16" i="20"/>
  <c r="H16" i="20"/>
  <c r="O13" i="10"/>
  <c r="N13" i="10" s="1"/>
  <c r="Q13" i="10" s="1"/>
  <c r="R13" i="10"/>
  <c r="O12" i="10"/>
  <c r="N12" i="10" s="1"/>
  <c r="Q12" i="10" s="1"/>
  <c r="R12" i="10"/>
  <c r="O14" i="10"/>
  <c r="N14" i="10" s="1"/>
  <c r="Q14" i="10" s="1"/>
  <c r="R14" i="10"/>
  <c r="O15" i="10"/>
  <c r="N15" i="10" s="1"/>
  <c r="Q15" i="10" s="1"/>
  <c r="R15" i="10"/>
  <c r="O17" i="10"/>
  <c r="N17" i="10" s="1"/>
  <c r="Q17" i="10" s="1"/>
  <c r="R17" i="10"/>
  <c r="O18" i="10"/>
  <c r="N18" i="10" s="1"/>
  <c r="Q18" i="10" s="1"/>
  <c r="R18" i="10"/>
  <c r="AU13" i="20" l="1"/>
  <c r="A18" i="20" a="1"/>
  <c r="A18" i="20" s="1"/>
  <c r="AS15" i="20" s="1"/>
  <c r="C17" i="20"/>
  <c r="H17" i="20"/>
  <c r="O11" i="10"/>
  <c r="A19" i="20" l="1" a="1"/>
  <c r="A19" i="20" s="1"/>
  <c r="AS16" i="20" s="1"/>
  <c r="H18" i="20"/>
  <c r="C18" i="20"/>
  <c r="AU14" i="20"/>
  <c r="N11" i="10"/>
  <c r="P11" i="10"/>
  <c r="AU15" i="20" l="1"/>
  <c r="A20" i="20" a="1"/>
  <c r="A20" i="20" s="1"/>
  <c r="AS17" i="20" s="1"/>
  <c r="C19" i="20"/>
  <c r="H19" i="20"/>
  <c r="R11" i="10"/>
  <c r="U14" i="10"/>
  <c r="Q11" i="10"/>
  <c r="U10" i="10"/>
  <c r="U11" i="10"/>
  <c r="AT4" i="20" l="1"/>
  <c r="O10" i="19" s="1"/>
  <c r="AU16" i="20"/>
  <c r="A21" i="20" a="1"/>
  <c r="A21" i="20" s="1"/>
  <c r="AS18" i="20" s="1"/>
  <c r="H20" i="20"/>
  <c r="C20" i="20"/>
  <c r="U12" i="10"/>
  <c r="U13" i="10"/>
  <c r="O9" i="19" l="1"/>
  <c r="O8" i="19"/>
  <c r="O7" i="19"/>
  <c r="L13" i="19"/>
  <c r="L8" i="19"/>
  <c r="L7" i="19"/>
  <c r="L12" i="19"/>
  <c r="L9" i="19"/>
  <c r="L11" i="19"/>
  <c r="L10" i="19"/>
  <c r="P16" i="19"/>
  <c r="AU17" i="20"/>
  <c r="A22" i="20" a="1"/>
  <c r="A22" i="20" s="1"/>
  <c r="AS19" i="20" s="1"/>
  <c r="C21" i="20"/>
  <c r="H21" i="20"/>
  <c r="J16" i="19"/>
  <c r="U16" i="19"/>
  <c r="Z16" i="19" s="1"/>
  <c r="K16" i="19"/>
  <c r="J9" i="19"/>
  <c r="U9" i="19"/>
  <c r="Z9" i="19" s="1"/>
  <c r="K15" i="19"/>
  <c r="J15" i="19"/>
  <c r="U15" i="19"/>
  <c r="Z15" i="19" s="1"/>
  <c r="U11" i="19"/>
  <c r="Z11" i="19" s="1"/>
  <c r="J11" i="19"/>
  <c r="U12" i="19"/>
  <c r="Z12" i="19" s="1"/>
  <c r="J12" i="19"/>
  <c r="U8" i="19"/>
  <c r="Z8" i="19" s="1"/>
  <c r="J8" i="19"/>
  <c r="U13" i="19"/>
  <c r="Z13" i="19" s="1"/>
  <c r="J13" i="19"/>
  <c r="J7" i="19"/>
  <c r="U7" i="19"/>
  <c r="Z7" i="19" s="1"/>
  <c r="J10" i="19"/>
  <c r="U10" i="19"/>
  <c r="Z10" i="19" s="1"/>
  <c r="K10" i="19" l="1"/>
  <c r="K7" i="19"/>
  <c r="K11" i="19"/>
  <c r="M11" i="19"/>
  <c r="M9" i="19"/>
  <c r="Q9" i="19"/>
  <c r="S9" i="19" s="1"/>
  <c r="U14" i="19"/>
  <c r="J14" i="19"/>
  <c r="K8" i="19"/>
  <c r="K12" i="19"/>
  <c r="M7" i="19"/>
  <c r="Q7" i="19"/>
  <c r="S7" i="19" s="1"/>
  <c r="K9" i="19"/>
  <c r="M12" i="19"/>
  <c r="M8" i="19"/>
  <c r="Q8" i="19"/>
  <c r="S8" i="19" s="1"/>
  <c r="K13" i="19"/>
  <c r="K14" i="19"/>
  <c r="M10" i="19"/>
  <c r="Q10" i="19"/>
  <c r="S10" i="19" s="1"/>
  <c r="M13" i="19"/>
  <c r="L14" i="19"/>
  <c r="AU18" i="20"/>
  <c r="H22" i="20"/>
  <c r="A23" i="20" a="1"/>
  <c r="A23" i="20" s="1"/>
  <c r="AS20" i="20" s="1"/>
  <c r="C22" i="20"/>
  <c r="AA17" i="19"/>
  <c r="AA18" i="19"/>
  <c r="V15" i="19" l="1"/>
  <c r="Z14" i="19"/>
  <c r="V16" i="19"/>
  <c r="V9" i="19"/>
  <c r="V8" i="19"/>
  <c r="V13" i="19"/>
  <c r="V11" i="19"/>
  <c r="AA7" i="19"/>
  <c r="AA14" i="19"/>
  <c r="V14" i="19"/>
  <c r="V12" i="19"/>
  <c r="V10" i="19"/>
  <c r="AA11" i="19"/>
  <c r="AA9" i="19"/>
  <c r="AA10" i="19"/>
  <c r="AA16" i="19"/>
  <c r="AA15" i="19"/>
  <c r="V7" i="19"/>
  <c r="M14" i="19"/>
  <c r="N14" i="19" s="1"/>
  <c r="AA13" i="19"/>
  <c r="AA8" i="19"/>
  <c r="AA12" i="19"/>
  <c r="AU19" i="20"/>
  <c r="H23" i="20"/>
  <c r="C23" i="20"/>
  <c r="N9" i="19" l="1"/>
  <c r="N8" i="19"/>
  <c r="N7" i="19"/>
  <c r="N11" i="19"/>
  <c r="N12" i="19"/>
  <c r="N13" i="19"/>
  <c r="N10" i="19"/>
  <c r="AU20" i="20"/>
  <c r="P15" i="19"/>
  <c r="H8" i="20" l="1"/>
  <c r="AU5" i="20" s="1"/>
  <c r="H9" i="20"/>
  <c r="AU6" i="20" s="1"/>
  <c r="B9" i="20"/>
  <c r="AT6" i="20" s="1"/>
  <c r="B8" i="20"/>
  <c r="AT5" i="20" s="1"/>
  <c r="O11" i="19" l="1"/>
  <c r="O12" i="19"/>
  <c r="O13" i="19"/>
  <c r="Q12" i="19"/>
  <c r="Q11" i="19"/>
  <c r="S11" i="19" s="1"/>
  <c r="Q13" i="19"/>
  <c r="O14" i="19"/>
  <c r="Q14" i="19"/>
  <c r="S13" i="19" l="1"/>
  <c r="S14" i="19"/>
  <c r="S12" i="19"/>
  <c r="P9" i="19"/>
  <c r="P11" i="19"/>
  <c r="P10" i="19"/>
  <c r="P12" i="19"/>
  <c r="P8" i="19"/>
  <c r="P7" i="19"/>
  <c r="R14" i="19"/>
  <c r="P13" i="19"/>
  <c r="P14" i="19"/>
  <c r="R13" i="19"/>
  <c r="R11" i="19"/>
  <c r="R10" i="19"/>
  <c r="R7" i="19"/>
  <c r="R9" i="19"/>
  <c r="R8" i="19"/>
  <c r="R12" i="1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Ovais Ahmed</author>
  </authors>
  <commentList>
    <comment ref="B6" authorId="0" shapeId="0" xr:uid="{F030F7C2-E24F-4750-AB97-BAD4D50FBACD}">
      <text>
        <r>
          <rPr>
            <sz val="9"/>
            <color rgb="FF000000"/>
            <rFont val="Tahoma"/>
            <family val="2"/>
          </rPr>
          <t>Specify emission sources at the facility.</t>
        </r>
      </text>
    </comment>
    <comment ref="D6" authorId="0" shapeId="0" xr:uid="{5042310F-2ADE-4B0A-B790-70F173865020}">
      <text>
        <r>
          <rPr>
            <sz val="9"/>
            <color indexed="81"/>
            <rFont val="Tahoma"/>
            <family val="2"/>
          </rPr>
          <t>Specify what energy source the end use is using.</t>
        </r>
      </text>
    </comment>
    <comment ref="F6" authorId="0" shapeId="0" xr:uid="{DF735322-63AC-304D-81C0-BE15C15347BD}">
      <text>
        <r>
          <rPr>
            <sz val="9"/>
            <color rgb="FF000000"/>
            <rFont val="Tahoma"/>
            <family val="2"/>
          </rPr>
          <t xml:space="preserve">Specify the annual consumption of the selected energy source for the end use.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Ovais Ahmed</author>
    <author>btuser</author>
  </authors>
  <commentList>
    <comment ref="A6" authorId="0" shapeId="0" xr:uid="{49214ABB-644B-4825-B58D-1AA4FAD567EC}">
      <text>
        <r>
          <rPr>
            <sz val="9"/>
            <color indexed="81"/>
            <rFont val="Tahoma"/>
            <family val="2"/>
          </rPr>
          <t>Specify what energy source the end use is using.</t>
        </r>
      </text>
    </comment>
    <comment ref="B6" authorId="1" shapeId="0" xr:uid="{A73EDF75-0718-47F4-BDA9-647289F0CAC3}">
      <text>
        <r>
          <rPr>
            <b/>
            <sz val="9"/>
            <color indexed="81"/>
            <rFont val="Tahoma"/>
            <family val="2"/>
          </rPr>
          <t>btuser:</t>
        </r>
        <r>
          <rPr>
            <sz val="9"/>
            <color indexed="81"/>
            <rFont val="Tahoma"/>
            <family val="2"/>
          </rPr>
          <t xml:space="preserve">
If Columns "Total Energy Consumption" and "Total Energy Costs" are filled out, then this column yields the unit energy cost for corresponding energy source.
If those two columns are not filled out, please enter unit energy costs manually
</t>
        </r>
      </text>
    </comment>
    <comment ref="E6" authorId="1" shapeId="0" xr:uid="{4D69A492-A1A9-4B07-9A25-D109A3C5AD0D}">
      <text>
        <r>
          <rPr>
            <b/>
            <sz val="9"/>
            <color indexed="81"/>
            <rFont val="Tahoma"/>
            <family val="2"/>
          </rPr>
          <t>btuser:</t>
        </r>
        <r>
          <rPr>
            <sz val="9"/>
            <color indexed="81"/>
            <rFont val="Tahoma"/>
            <family val="2"/>
          </rPr>
          <t xml:space="preserve">
If Energy Unit Cost is not available, enter Total Energy Consumption from your utility bills for the period being studied.
For example, if the annual electricity consumption for your facility is 10,000,000 kWh, then that value ought to be entered</t>
        </r>
      </text>
    </comment>
    <comment ref="F6" authorId="1" shapeId="0" xr:uid="{B3C9C4CD-6A30-4837-B8E1-B588A72C50E4}">
      <text>
        <r>
          <rPr>
            <b/>
            <sz val="9"/>
            <color indexed="81"/>
            <rFont val="Tahoma"/>
            <family val="2"/>
          </rPr>
          <t>btuser:</t>
        </r>
        <r>
          <rPr>
            <sz val="9"/>
            <color indexed="81"/>
            <rFont val="Tahoma"/>
            <family val="2"/>
          </rPr>
          <t xml:space="preserve">
If Energy Unit Cost is not available, enter Total Energy Costs from your utility bills for the period being studied.
For example, if the annual electricity usage costs for your facility is $100,000, then that value ought to be entered</t>
        </r>
      </text>
    </comment>
    <comment ref="G6" authorId="1" shapeId="0" xr:uid="{A4C35905-7618-44B9-B372-01AF2E893C80}">
      <text>
        <r>
          <rPr>
            <b/>
            <sz val="9"/>
            <color rgb="FF000000"/>
            <rFont val="Tahoma"/>
            <family val="2"/>
          </rPr>
          <t>btuser:</t>
        </r>
        <r>
          <rPr>
            <sz val="9"/>
            <color rgb="FF000000"/>
            <rFont val="Tahoma"/>
            <family val="2"/>
          </rPr>
          <t xml:space="preserve">
</t>
        </r>
        <r>
          <rPr>
            <sz val="9"/>
            <color rgb="FF000000"/>
            <rFont val="Tahoma"/>
            <family val="2"/>
          </rPr>
          <t xml:space="preserve">If Columns "Total Energy Consumption" and "Total Energy Costs" are filled out, then this column auto-yields the unit energy cost for corresponding energy source.
</t>
        </r>
        <r>
          <rPr>
            <sz val="9"/>
            <color rgb="FF000000"/>
            <rFont val="Tahoma"/>
            <family val="2"/>
          </rPr>
          <t xml:space="preserve">
</t>
        </r>
        <r>
          <rPr>
            <sz val="9"/>
            <color rgb="FF000000"/>
            <rFont val="Tahoma"/>
            <family val="2"/>
          </rPr>
          <t>If those two columns are not filled out, please enter unit energy costs manually in the next column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Ovais Ahmed</author>
  </authors>
  <commentList>
    <comment ref="G8" authorId="0" shapeId="0" xr:uid="{994495D5-4B5B-4879-95C6-BD94A0784020}">
      <text>
        <r>
          <rPr>
            <sz val="9"/>
            <color indexed="81"/>
            <rFont val="Tahoma"/>
            <family val="2"/>
          </rPr>
          <t>Specify emission sources at the facility.</t>
        </r>
      </text>
    </comment>
    <comment ref="D10" authorId="0" shapeId="0" xr:uid="{99E2C379-4E35-411E-A2DF-E9AB544D9A71}">
      <text>
        <r>
          <rPr>
            <sz val="9"/>
            <color indexed="81"/>
            <rFont val="Tahoma"/>
            <family val="2"/>
          </rPr>
          <t xml:space="preserve">Use this input when a custom emission factor is available for a facility based on internal calculation. </t>
        </r>
      </text>
    </comment>
    <comment ref="C14" authorId="0" shapeId="0" xr:uid="{40468E30-ABDE-43E0-BB5C-9DD1D0007214}">
      <text>
        <r>
          <rPr>
            <sz val="9"/>
            <color indexed="81"/>
            <rFont val="Tahoma"/>
            <family val="2"/>
          </rPr>
          <t xml:space="preserve">Specify in which state is the facility located to advise the grid emission factor.
</t>
        </r>
      </text>
    </comment>
    <comment ref="D14" authorId="0" shapeId="0" xr:uid="{A5FF70ED-106D-4498-8D32-AE2E5613E9D2}">
      <text>
        <r>
          <rPr>
            <sz val="9"/>
            <color indexed="81"/>
            <rFont val="Tahoma"/>
            <family val="2"/>
          </rPr>
          <t>Year can be modified to run future scenarios as grid gets cleaner. Emission factors are based on NREL Cambium Model.</t>
        </r>
      </text>
    </comment>
    <comment ref="C16" authorId="0" shapeId="0" xr:uid="{FEDA1003-C51E-4FB1-99F8-87E1CC9C9EBA}">
      <text>
        <r>
          <rPr>
            <sz val="9"/>
            <color indexed="81"/>
            <rFont val="Tahoma"/>
            <family val="2"/>
          </rPr>
          <t xml:space="preserve">This option is for the facilities with onsite/offsite clean power procurement agreement such as a virtual power purchase agreement or a renewable energy certificate.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Ovais Ahmed</author>
  </authors>
  <commentList>
    <comment ref="B6" authorId="0" shapeId="0" xr:uid="{0D438C51-AE43-4EEE-8506-60292165A142}">
      <text>
        <r>
          <rPr>
            <sz val="9"/>
            <color rgb="FF000000"/>
            <rFont val="Tahoma"/>
            <family val="2"/>
          </rPr>
          <t>Specify emission sources at the facility.</t>
        </r>
      </text>
    </comment>
    <comment ref="D6" authorId="0" shapeId="0" xr:uid="{4FCBE65D-456C-4C0B-9DEC-78022FE20B97}">
      <text>
        <r>
          <rPr>
            <sz val="9"/>
            <color indexed="81"/>
            <rFont val="Tahoma"/>
            <family val="2"/>
          </rPr>
          <t>Specify what energy source the end use is using.</t>
        </r>
      </text>
    </comment>
    <comment ref="F6" authorId="0" shapeId="0" xr:uid="{7082C329-0360-49E1-A47B-A74D64CA968C}">
      <text>
        <r>
          <rPr>
            <sz val="9"/>
            <color rgb="FF000000"/>
            <rFont val="Tahoma"/>
            <family val="2"/>
          </rPr>
          <t xml:space="preserve">Specify the annual consumption of the selected energy source for the end use. 
</t>
        </r>
      </text>
    </comment>
    <comment ref="G6" authorId="0" shapeId="0" xr:uid="{C900C0A4-7C7D-FB4E-BA75-CB7E34D57F26}">
      <text>
        <r>
          <rPr>
            <sz val="9"/>
            <color rgb="FF000000"/>
            <rFont val="Tahoma"/>
            <family val="2"/>
          </rPr>
          <t xml:space="preserve">Specify the annual consumption of the selected energy source for the end use.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<sst xmlns="http://schemas.openxmlformats.org/spreadsheetml/2006/main" count="617" uniqueCount="171">
  <si>
    <t>Electricity</t>
  </si>
  <si>
    <t>Natural Gas</t>
  </si>
  <si>
    <t>Propane</t>
  </si>
  <si>
    <t>Petroleum Coke</t>
  </si>
  <si>
    <t>Energy Source</t>
  </si>
  <si>
    <t>Input Cells</t>
  </si>
  <si>
    <t>HVAC-Thermal</t>
  </si>
  <si>
    <t>State</t>
  </si>
  <si>
    <t>AL</t>
  </si>
  <si>
    <t>AR</t>
  </si>
  <si>
    <t>AZ</t>
  </si>
  <si>
    <t>CA</t>
  </si>
  <si>
    <t>CO</t>
  </si>
  <si>
    <t>CT</t>
  </si>
  <si>
    <t>DE</t>
  </si>
  <si>
    <t>FL</t>
  </si>
  <si>
    <t>GA</t>
  </si>
  <si>
    <t>IA</t>
  </si>
  <si>
    <t>ID</t>
  </si>
  <si>
    <t>IL</t>
  </si>
  <si>
    <t>IN</t>
  </si>
  <si>
    <t>KS</t>
  </si>
  <si>
    <t>KY</t>
  </si>
  <si>
    <t>LA</t>
  </si>
  <si>
    <t>MA</t>
  </si>
  <si>
    <t>MD</t>
  </si>
  <si>
    <t>ME</t>
  </si>
  <si>
    <t>MI</t>
  </si>
  <si>
    <t>MN</t>
  </si>
  <si>
    <t>MO</t>
  </si>
  <si>
    <t>MS</t>
  </si>
  <si>
    <t>MT</t>
  </si>
  <si>
    <t>NC</t>
  </si>
  <si>
    <t>ND</t>
  </si>
  <si>
    <t>NE</t>
  </si>
  <si>
    <t>NH</t>
  </si>
  <si>
    <t>NJ</t>
  </si>
  <si>
    <t>NM</t>
  </si>
  <si>
    <t>NV</t>
  </si>
  <si>
    <t>NY</t>
  </si>
  <si>
    <t>OH</t>
  </si>
  <si>
    <t>OK</t>
  </si>
  <si>
    <t>OR</t>
  </si>
  <si>
    <t>PA</t>
  </si>
  <si>
    <t>RI</t>
  </si>
  <si>
    <t>SC</t>
  </si>
  <si>
    <t>SD</t>
  </si>
  <si>
    <t>TN</t>
  </si>
  <si>
    <t>TX</t>
  </si>
  <si>
    <t>UT</t>
  </si>
  <si>
    <t>VA</t>
  </si>
  <si>
    <t>VT</t>
  </si>
  <si>
    <t>WA</t>
  </si>
  <si>
    <t>WI</t>
  </si>
  <si>
    <t>WV</t>
  </si>
  <si>
    <t>WY</t>
  </si>
  <si>
    <t>Current</t>
  </si>
  <si>
    <t>Distillate or Light Fuel Oil</t>
  </si>
  <si>
    <t>Coal</t>
  </si>
  <si>
    <t>Units</t>
  </si>
  <si>
    <t>AK</t>
  </si>
  <si>
    <t>DC</t>
  </si>
  <si>
    <t>HI</t>
  </si>
  <si>
    <t>PR</t>
  </si>
  <si>
    <t xml:space="preserve">1 - Specify Emission Factor for Electricity </t>
  </si>
  <si>
    <t>Motor Gasoline</t>
  </si>
  <si>
    <t>Diesel</t>
  </si>
  <si>
    <t>kWh</t>
  </si>
  <si>
    <t>MMBtu</t>
  </si>
  <si>
    <t>KJ</t>
  </si>
  <si>
    <t>GJ</t>
  </si>
  <si>
    <t>Fill from Left to Right</t>
  </si>
  <si>
    <t>STATE (select from dropdown)</t>
  </si>
  <si>
    <t>YEAR (select from dropdown)</t>
  </si>
  <si>
    <t>Source: https://www.eia.gov/environment/emissions/co2_vol_mass.php</t>
  </si>
  <si>
    <t>Add Clean Electricity Share to Adjust Electricity Emissions Factor</t>
  </si>
  <si>
    <t>Option A</t>
  </si>
  <si>
    <t>Option B</t>
  </si>
  <si>
    <t>Emission Factors for Energy Sources</t>
  </si>
  <si>
    <r>
      <t>Clean Electricity Share</t>
    </r>
    <r>
      <rPr>
        <sz val="11"/>
        <color theme="1"/>
        <rFont val="Calibri"/>
        <family val="2"/>
        <scheme val="minor"/>
      </rPr>
      <t xml:space="preserve"> (For facilities with onsite renewables or Clean Power Procurement)</t>
    </r>
  </si>
  <si>
    <t>Process Heating</t>
  </si>
  <si>
    <t>HVAC-Electrical</t>
  </si>
  <si>
    <t>Backup Generator</t>
  </si>
  <si>
    <t>Enter Inputs in Option A, if available, otherwise proceed to Option B 
(Note: Option A overwrites Option B)</t>
  </si>
  <si>
    <t>Mid-case (with tax-credit phaseout)</t>
  </si>
  <si>
    <t xml:space="preserve">1 MT (Metric tonnes) = 1,000 kg </t>
  </si>
  <si>
    <t>Energy</t>
  </si>
  <si>
    <t>Fugitive</t>
  </si>
  <si>
    <t>Process</t>
  </si>
  <si>
    <t>Emission Category</t>
  </si>
  <si>
    <t>state</t>
  </si>
  <si>
    <t>t</t>
  </si>
  <si>
    <t>aer_gen_co2e_c</t>
  </si>
  <si>
    <t>code</t>
  </si>
  <si>
    <t>CO2e from Direct Combustion (kg per MWh)</t>
  </si>
  <si>
    <t>Source</t>
  </si>
  <si>
    <t>EPA</t>
  </si>
  <si>
    <t>therm</t>
  </si>
  <si>
    <r>
      <t>CO</t>
    </r>
    <r>
      <rPr>
        <b/>
        <vertAlign val="subscript"/>
        <sz val="11"/>
        <rFont val="Calibri"/>
        <family val="2"/>
        <scheme val="minor"/>
      </rPr>
      <t>2</t>
    </r>
    <r>
      <rPr>
        <b/>
        <sz val="11"/>
        <rFont val="Calibri"/>
        <family val="2"/>
        <scheme val="minor"/>
      </rPr>
      <t>e Intensity (MT CO</t>
    </r>
    <r>
      <rPr>
        <b/>
        <vertAlign val="subscript"/>
        <sz val="11"/>
        <rFont val="Calibri"/>
        <family val="2"/>
        <scheme val="minor"/>
      </rPr>
      <t>2</t>
    </r>
    <r>
      <rPr>
        <b/>
        <sz val="11"/>
        <rFont val="Calibri"/>
        <family val="2"/>
        <scheme val="minor"/>
      </rPr>
      <t>e/)</t>
    </r>
    <r>
      <rPr>
        <b/>
        <vertAlign val="subscript"/>
        <sz val="11"/>
        <rFont val="Calibri"/>
        <family val="2"/>
        <scheme val="minor"/>
      </rPr>
      <t xml:space="preserve"> </t>
    </r>
  </si>
  <si>
    <t>Title</t>
  </si>
  <si>
    <t>Air Compressors</t>
  </si>
  <si>
    <t>Lighting</t>
  </si>
  <si>
    <t>Process Emissions</t>
  </si>
  <si>
    <t>Refrigerant Leakage</t>
  </si>
  <si>
    <t>Enter Custom Emissions Factor (MT CO2e/kWh)</t>
  </si>
  <si>
    <t>Pumps</t>
  </si>
  <si>
    <r>
      <t>Custom Emissions Factor</t>
    </r>
    <r>
      <rPr>
        <sz val="11"/>
        <color theme="1"/>
        <rFont val="Calibri"/>
        <family val="2"/>
        <scheme val="minor"/>
      </rPr>
      <t xml:space="preserve"> (Enter value with facility's onsite onsite renewables or Clean Power Procurement incorporated)</t>
    </r>
  </si>
  <si>
    <t>2024 NREL Midcase Average Forecast</t>
  </si>
  <si>
    <t>2026 NREL Midcase Average Forecast</t>
  </si>
  <si>
    <t>2028 NREL Midcase Average Forecast</t>
  </si>
  <si>
    <t>2030 NREL Midcase Average Forecast</t>
  </si>
  <si>
    <t>2035 NREL Midcase Average Forecast</t>
  </si>
  <si>
    <t>2040 NREL Midcase Average Forecast</t>
  </si>
  <si>
    <t>2045 NREL Midcase Average Forecast</t>
  </si>
  <si>
    <t>2050 NREL Midcase Average Forecast</t>
  </si>
  <si>
    <t>2022 eGRID</t>
  </si>
  <si>
    <t>Boiler</t>
  </si>
  <si>
    <t>No.</t>
  </si>
  <si>
    <t>Select State and Grid Emissions Factor</t>
  </si>
  <si>
    <t>Energy Conversion Factors</t>
  </si>
  <si>
    <t>Energy and Emissions Breakdown Table</t>
  </si>
  <si>
    <t>FACILITY SANKEY TOOL</t>
  </si>
  <si>
    <t>Only needed if doing an Emissions Sankey</t>
  </si>
  <si>
    <t>2023 eGRID</t>
  </si>
  <si>
    <t>State's Emission Factor (MT CO2e/kWh)</t>
  </si>
  <si>
    <t>Output Cells</t>
  </si>
  <si>
    <t>Filled with Calculated Outputs</t>
  </si>
  <si>
    <r>
      <t>CO</t>
    </r>
    <r>
      <rPr>
        <b/>
        <vertAlign val="subscript"/>
        <sz val="11"/>
        <rFont val="Calibri"/>
        <family val="2"/>
        <scheme val="minor"/>
      </rPr>
      <t>2</t>
    </r>
    <r>
      <rPr>
        <b/>
        <sz val="11"/>
        <rFont val="Calibri"/>
        <family val="2"/>
        <scheme val="minor"/>
      </rPr>
      <t>e Emissions - 
Process or Fugitive 
(MT CO</t>
    </r>
    <r>
      <rPr>
        <b/>
        <vertAlign val="subscript"/>
        <sz val="11"/>
        <rFont val="Calibri"/>
        <family val="2"/>
        <scheme val="minor"/>
      </rPr>
      <t>2</t>
    </r>
    <r>
      <rPr>
        <b/>
        <sz val="11"/>
        <rFont val="Calibri"/>
        <family val="2"/>
        <scheme val="minor"/>
      </rPr>
      <t>e/yr)</t>
    </r>
  </si>
  <si>
    <t>Energy Breakdown Table</t>
  </si>
  <si>
    <t xml:space="preserve">3 - Add emission intensity for additional fuels (optional) </t>
  </si>
  <si>
    <t xml:space="preserve">4 - Add conversion factors for additional units (optional) </t>
  </si>
  <si>
    <t>Energy Category</t>
  </si>
  <si>
    <t>Conserved Energy</t>
  </si>
  <si>
    <t>Avoided Emissions</t>
  </si>
  <si>
    <t>Energy or Emissions Category</t>
  </si>
  <si>
    <t>Annual Emissions</t>
  </si>
  <si>
    <t>2 - Enter Process and Fugitive Emissions (optional)</t>
  </si>
  <si>
    <t>Energy Unit Cost</t>
  </si>
  <si>
    <t>Unit</t>
  </si>
  <si>
    <r>
      <t xml:space="preserve">Total Energy Consumption
</t>
    </r>
    <r>
      <rPr>
        <i/>
        <sz val="11"/>
        <rFont val="Calibri"/>
        <family val="2"/>
        <scheme val="minor"/>
      </rPr>
      <t>(Optional)</t>
    </r>
  </si>
  <si>
    <r>
      <t xml:space="preserve">Total Energy Costs
</t>
    </r>
    <r>
      <rPr>
        <i/>
        <sz val="11"/>
        <rFont val="Calibri"/>
        <family val="2"/>
        <scheme val="minor"/>
      </rPr>
      <t>(Optional)</t>
    </r>
  </si>
  <si>
    <r>
      <t xml:space="preserve">Energy Unit Cost
</t>
    </r>
    <r>
      <rPr>
        <i/>
        <sz val="11"/>
        <rFont val="Calibri"/>
        <family val="2"/>
        <scheme val="minor"/>
      </rPr>
      <t>(Enter Manually)</t>
    </r>
  </si>
  <si>
    <r>
      <t xml:space="preserve">Energy Unit Cost
</t>
    </r>
    <r>
      <rPr>
        <i/>
        <sz val="11"/>
        <rFont val="Calibri"/>
        <family val="2"/>
        <scheme val="minor"/>
      </rPr>
      <t>(Auto-populated)</t>
    </r>
  </si>
  <si>
    <r>
      <t>Please Enter</t>
    </r>
    <r>
      <rPr>
        <b/>
        <u/>
        <sz val="11"/>
        <rFont val="Calibri"/>
        <family val="2"/>
        <scheme val="minor"/>
      </rPr>
      <t xml:space="preserve"> Energy Usage Unit Costs</t>
    </r>
    <r>
      <rPr>
        <b/>
        <sz val="11"/>
        <rFont val="Calibri"/>
        <family val="2"/>
        <scheme val="minor"/>
      </rPr>
      <t xml:space="preserve"> below, if you would like to study energy costs-based Sankey charts and product intensities (OPTIONAL):</t>
    </r>
  </si>
  <si>
    <r>
      <rPr>
        <b/>
        <u/>
        <sz val="11"/>
        <color theme="1"/>
        <rFont val="Calibri"/>
        <family val="2"/>
        <scheme val="minor"/>
      </rPr>
      <t>Note:</t>
    </r>
    <r>
      <rPr>
        <sz val="11"/>
        <color theme="1"/>
        <rFont val="Calibri"/>
        <family val="2"/>
        <scheme val="minor"/>
      </rPr>
      <t xml:space="preserve">
If "Energy Unit Costs" are not available, please refer to your utility bills. From the bills, enter </t>
    </r>
    <r>
      <rPr>
        <u/>
        <sz val="11"/>
        <color theme="1"/>
        <rFont val="Calibri"/>
        <family val="2"/>
        <scheme val="minor"/>
      </rPr>
      <t>total energy consumption</t>
    </r>
    <r>
      <rPr>
        <sz val="11"/>
        <color theme="1"/>
        <rFont val="Calibri"/>
        <family val="2"/>
        <scheme val="minor"/>
      </rPr>
      <t xml:space="preserve"> and </t>
    </r>
    <r>
      <rPr>
        <u/>
        <sz val="11"/>
        <color theme="1"/>
        <rFont val="Calibri"/>
        <family val="2"/>
        <scheme val="minor"/>
      </rPr>
      <t>energy costs</t>
    </r>
    <r>
      <rPr>
        <sz val="11"/>
        <color theme="1"/>
        <rFont val="Calibri"/>
        <family val="2"/>
        <scheme val="minor"/>
      </rPr>
      <t xml:space="preserve"> in the columns on the right.
</t>
    </r>
    <r>
      <rPr>
        <b/>
        <u/>
        <sz val="11"/>
        <color theme="1"/>
        <rFont val="Calibri"/>
        <family val="2"/>
        <scheme val="minor"/>
      </rPr>
      <t>Please only choose 1 method</t>
    </r>
    <r>
      <rPr>
        <u/>
        <sz val="11"/>
        <color theme="1"/>
        <rFont val="Calibri"/>
        <family val="2"/>
        <scheme val="minor"/>
      </rPr>
      <t>.</t>
    </r>
    <r>
      <rPr>
        <sz val="11"/>
        <color theme="1"/>
        <rFont val="Calibri"/>
        <family val="2"/>
        <scheme val="minor"/>
      </rPr>
      <t xml:space="preserve"> Either the columns on the left OR the right. If both columns have values for the </t>
    </r>
    <r>
      <rPr>
        <b/>
        <sz val="11"/>
        <color theme="1"/>
        <rFont val="Calibri"/>
        <family val="2"/>
        <scheme val="minor"/>
      </rPr>
      <t>same energy source</t>
    </r>
    <r>
      <rPr>
        <sz val="11"/>
        <color theme="1"/>
        <rFont val="Calibri"/>
        <family val="2"/>
        <scheme val="minor"/>
      </rPr>
      <t>, the first values from left will be chosen</t>
    </r>
  </si>
  <si>
    <t>Annual Consumption (Baseline)</t>
  </si>
  <si>
    <t>Energy Savings</t>
  </si>
  <si>
    <t>Total Energy - Baseline
(MMBtu/yr)</t>
  </si>
  <si>
    <t>Total Energy - Baseline
(MWh/yr)</t>
  </si>
  <si>
    <t>Percentage of Total Energy - Baseline</t>
  </si>
  <si>
    <t>Total Energy - New
(MMBtu/yr)</t>
  </si>
  <si>
    <t>Total Energy - New
(MWh/yr)</t>
  </si>
  <si>
    <t>Percentage of Total Energy - New</t>
  </si>
  <si>
    <t>Annual Consumption - Baseline</t>
  </si>
  <si>
    <t>Emission Savings</t>
  </si>
  <si>
    <t>Percentage of Total Energy Costs Baseline</t>
  </si>
  <si>
    <t>Total Energy Costs Baseline
($/yr)</t>
  </si>
  <si>
    <t>Total Energy Costs New
($/yr)</t>
  </si>
  <si>
    <t>Percentage of Total Energy Costs New</t>
  </si>
  <si>
    <r>
      <t>CO</t>
    </r>
    <r>
      <rPr>
        <b/>
        <vertAlign val="subscript"/>
        <sz val="11"/>
        <rFont val="Calibri"/>
        <family val="2"/>
        <scheme val="minor"/>
      </rPr>
      <t>2</t>
    </r>
    <r>
      <rPr>
        <b/>
        <sz val="11"/>
        <rFont val="Calibri"/>
        <family val="2"/>
        <scheme val="minor"/>
      </rPr>
      <t>e Emissions Baseline (MT CO</t>
    </r>
    <r>
      <rPr>
        <b/>
        <vertAlign val="subscript"/>
        <sz val="11"/>
        <rFont val="Calibri"/>
        <family val="2"/>
        <scheme val="minor"/>
      </rPr>
      <t>2</t>
    </r>
    <r>
      <rPr>
        <b/>
        <sz val="11"/>
        <rFont val="Calibri"/>
        <family val="2"/>
        <scheme val="minor"/>
      </rPr>
      <t>e/yr)</t>
    </r>
  </si>
  <si>
    <t>Percentage of Total Emissions Baseline</t>
  </si>
  <si>
    <t>Percentage of Total Emissions New</t>
  </si>
  <si>
    <r>
      <t>CO</t>
    </r>
    <r>
      <rPr>
        <b/>
        <vertAlign val="subscript"/>
        <sz val="11"/>
        <rFont val="Calibri"/>
        <family val="2"/>
        <scheme val="minor"/>
      </rPr>
      <t>2</t>
    </r>
    <r>
      <rPr>
        <b/>
        <sz val="11"/>
        <rFont val="Calibri"/>
        <family val="2"/>
        <scheme val="minor"/>
      </rPr>
      <t>e Emissions New (MT CO</t>
    </r>
    <r>
      <rPr>
        <b/>
        <vertAlign val="subscript"/>
        <sz val="11"/>
        <rFont val="Calibri"/>
        <family val="2"/>
        <scheme val="minor"/>
      </rPr>
      <t>2</t>
    </r>
    <r>
      <rPr>
        <b/>
        <sz val="11"/>
        <rFont val="Calibri"/>
        <family val="2"/>
        <scheme val="minor"/>
      </rPr>
      <t>e/yr)</t>
    </r>
  </si>
  <si>
    <r>
      <t>CO</t>
    </r>
    <r>
      <rPr>
        <b/>
        <vertAlign val="subscript"/>
        <sz val="11"/>
        <rFont val="Calibri"/>
        <family val="2"/>
        <scheme val="minor"/>
      </rPr>
      <t>2</t>
    </r>
    <r>
      <rPr>
        <b/>
        <sz val="11"/>
        <rFont val="Calibri"/>
        <family val="2"/>
        <scheme val="minor"/>
      </rPr>
      <t>e Emissions - 
Energy Baseline
 (MT CO</t>
    </r>
    <r>
      <rPr>
        <b/>
        <vertAlign val="subscript"/>
        <sz val="11"/>
        <rFont val="Calibri"/>
        <family val="2"/>
        <scheme val="minor"/>
      </rPr>
      <t>2</t>
    </r>
    <r>
      <rPr>
        <b/>
        <sz val="11"/>
        <rFont val="Calibri"/>
        <family val="2"/>
        <scheme val="minor"/>
      </rPr>
      <t>e/yr)</t>
    </r>
  </si>
  <si>
    <r>
      <t>CO</t>
    </r>
    <r>
      <rPr>
        <b/>
        <vertAlign val="subscript"/>
        <sz val="11"/>
        <rFont val="Calibri"/>
        <family val="2"/>
        <scheme val="minor"/>
      </rPr>
      <t>2</t>
    </r>
    <r>
      <rPr>
        <b/>
        <sz val="11"/>
        <rFont val="Calibri"/>
        <family val="2"/>
        <scheme val="minor"/>
      </rPr>
      <t>e Emissions - 
Energy New
 (MT CO</t>
    </r>
    <r>
      <rPr>
        <b/>
        <vertAlign val="subscript"/>
        <sz val="11"/>
        <rFont val="Calibri"/>
        <family val="2"/>
        <scheme val="minor"/>
      </rPr>
      <t>2</t>
    </r>
    <r>
      <rPr>
        <b/>
        <sz val="11"/>
        <rFont val="Calibri"/>
        <family val="2"/>
        <scheme val="minor"/>
      </rPr>
      <t>e/yr)</t>
    </r>
  </si>
  <si>
    <t>Process/Fugitive Emission Savings
 (MT CO2e/yr)</t>
  </si>
  <si>
    <t>CO2e Emissions Savings (MT CO2e/yr)</t>
  </si>
  <si>
    <t>Energy Cost Savings
(S/yr)</t>
  </si>
  <si>
    <t>Version 2.1</t>
  </si>
  <si>
    <t>Release Date: December 5, 2025</t>
  </si>
  <si>
    <r>
      <rPr>
        <b/>
        <u/>
        <sz val="18"/>
        <color theme="1"/>
        <rFont val="Calibri"/>
        <family val="2"/>
        <scheme val="minor"/>
      </rPr>
      <t>Tool Description:</t>
    </r>
    <r>
      <rPr>
        <sz val="16"/>
        <color theme="1"/>
        <rFont val="Calibri"/>
        <family val="2"/>
        <scheme val="minor"/>
      </rPr>
      <t xml:space="preserve">
Facility Sankey Tool assists facilities and entities to visualize their Energy and Emissions flows for accounting, reporting, and tracking purposes. The tool can generate these visualizations for pre- and post-scenarios for energy efficiency and decarbonization measures. To further assist such activities, the tool could calculate product emission intensities for manufactured goods through allocation-based approach. The suite offers two interfaces – an MS Excel-based input workbook and a web-based visualization tool. This workbook serves as the input sheet, utilizing the user-provided process and equipment-level energy consumption data to calculate the corresponding energy and emissions. Whereas, the web-based tool utilizes the data from this workbook to generate Sankey diagrams and perform product emission intensity analysis. The emission sources used to compute total facility emissions are briefly described below: 
1. Facility-level fuel combustion: Emissions from fuel combustion by equipment within the facility/entity boundary for fuel types such as natural gas, propane, diesel, gasoline, petroleum coke, distillate, or light fuel oil and coal can be estimated. These emissions fall under the category of Scope 1 emissions. Note that process emissions such as energy and emissions from catalytic cracking in petrochemical processing and fugitive emissions are not considered in this option. The focus is specifically on direct emissions from fuel combustion within the facility's operational boundary. 
2. Facility-purchased electricity: Emissions from using grid or utility-purchased electricity within the facility/entity boundary can be calculated through the tool. Users can choose between two options. They can either utilize the U.S. EPA's eGRID-derived emission factors for purchased electricity or opt for custom/market-based emission factors if the electricity is acquired from local or regional markets through contractual arrangements. 
3. Fugitive and Process Emissions: Users can explicitly enter the emissions from fugitive and process-based sources. 
After entering the energy consumption data in the “Energy Inputs” tab, users can save this Excel workbook and upload it to the web tool to obtain a Sankey diagram illustrating the facility's energy and emissions flow. 
Additionally, the users can calculate product emission intensities using quantity and revenue-based approaches on the online tool. Quantity-based approach requires production information, such as metric ton, kilogram, or m3 of generated products, whereas, revenue-based approach requires economic information, such as $/kg revenue, gross product revenue, or product revenue share (%), to estimate emission intensity. Multiple products could be entered to calculate their share of emissions as well as corresponding intensities. 
Note to the user: Please refer to the tool user guide document for comprehensive, step-by-step guidance on the tools.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</si>
</sst>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_(* \(#,##0.00\);_(* &quot;-&quot;??_);_(@_)"/>
    <numFmt numFmtId="164" formatCode="_(* #,##0_);_(* \(#,##0\);_(* &quot;-&quot;??_);_(@_)"/>
    <numFmt numFmtId="165" formatCode="0.0000000"/>
    <numFmt numFmtId="166" formatCode="[$-409]mmm\-yy;@"/>
    <numFmt numFmtId="167" formatCode="0.0E+00"/>
    <numFmt numFmtId="168" formatCode="#,##0.0"/>
    <numFmt numFmtId="169" formatCode="0.0"/>
    <numFmt numFmtId="170" formatCode="&quot;$&quot;#,##0.00"/>
    <numFmt numFmtId="171" formatCode="&quot;$&quot;#,##0"/>
  </numFmts>
  <fonts count="29" x14ac:knownFonts="1">
    <font>
      <sz val="11"/>
      <color theme="1"/>
      <name val="Calibri"/>
      <family val="2"/>
      <scheme val="minor"/>
    </font>
    <font>
      <b/>
      <sz val="11"/>
      <color theme="1"/>
      <name val="Calibri"/>
      <family val="2"/>
      <scheme val="minor"/>
    </font>
    <font>
      <sz val="11"/>
      <color theme="1"/>
      <name val="Calibri"/>
      <family val="2"/>
      <scheme val="minor"/>
    </font>
    <font>
      <b/>
      <sz val="11"/>
      <name val="Calibri"/>
      <family val="2"/>
      <scheme val="minor"/>
    </font>
    <font>
      <sz val="11"/>
      <color indexed="8"/>
      <name val="Calibri"/>
      <family val="2"/>
    </font>
    <font>
      <b/>
      <sz val="11"/>
      <color indexed="8"/>
      <name val="Calibri"/>
      <family val="2"/>
    </font>
    <font>
      <sz val="9"/>
      <color indexed="81"/>
      <name val="Tahoma"/>
      <family val="2"/>
    </font>
    <font>
      <sz val="24"/>
      <color theme="1"/>
      <name val="Calibri"/>
      <family val="2"/>
      <scheme val="minor"/>
    </font>
    <font>
      <sz val="10"/>
      <name val="Verdana"/>
      <family val="2"/>
    </font>
    <font>
      <sz val="10"/>
      <name val="Arial"/>
      <family val="2"/>
    </font>
    <font>
      <b/>
      <sz val="24"/>
      <color theme="1"/>
      <name val="Calibri"/>
      <family val="2"/>
      <scheme val="minor"/>
    </font>
    <font>
      <b/>
      <vertAlign val="subscript"/>
      <sz val="11"/>
      <name val="Calibri"/>
      <family val="2"/>
      <scheme val="minor"/>
    </font>
    <font>
      <sz val="8"/>
      <name val="Calibri"/>
      <family val="2"/>
      <scheme val="minor"/>
    </font>
    <font>
      <i/>
      <sz val="9"/>
      <color theme="1"/>
      <name val="Calibri"/>
      <family val="2"/>
      <scheme val="minor"/>
    </font>
    <font>
      <b/>
      <sz val="11"/>
      <color rgb="FFC00000"/>
      <name val="Calibri"/>
      <family val="2"/>
      <scheme val="minor"/>
    </font>
    <font>
      <sz val="16"/>
      <color theme="1"/>
      <name val="Calibri"/>
      <family val="2"/>
      <scheme val="minor"/>
    </font>
    <font>
      <u/>
      <sz val="10"/>
      <color theme="10"/>
      <name val="Arial"/>
      <family val="2"/>
    </font>
    <font>
      <b/>
      <sz val="12"/>
      <color theme="0"/>
      <name val="Calibri"/>
      <family val="2"/>
      <scheme val="minor"/>
    </font>
    <font>
      <b/>
      <i/>
      <sz val="20"/>
      <color rgb="FFC00000"/>
      <name val="Calibri"/>
      <family val="2"/>
      <scheme val="minor"/>
    </font>
    <font>
      <sz val="11"/>
      <color rgb="FF000000"/>
      <name val="Arial"/>
      <family val="2"/>
    </font>
    <font>
      <sz val="8.5"/>
      <color rgb="FF000000"/>
      <name val="Arial"/>
      <family val="2"/>
    </font>
    <font>
      <b/>
      <u/>
      <sz val="18"/>
      <color theme="1"/>
      <name val="Calibri"/>
      <family val="2"/>
      <scheme val="minor"/>
    </font>
    <font>
      <b/>
      <u/>
      <sz val="11"/>
      <name val="Calibri"/>
      <family val="2"/>
      <scheme val="minor"/>
    </font>
    <font>
      <b/>
      <sz val="9"/>
      <color indexed="81"/>
      <name val="Tahoma"/>
      <family val="2"/>
    </font>
    <font>
      <i/>
      <sz val="11"/>
      <name val="Calibri"/>
      <family val="2"/>
      <scheme val="minor"/>
    </font>
    <font>
      <b/>
      <u/>
      <sz val="11"/>
      <color theme="1"/>
      <name val="Calibri"/>
      <family val="2"/>
      <scheme val="minor"/>
    </font>
    <font>
      <u/>
      <sz val="11"/>
      <color theme="1"/>
      <name val="Calibri"/>
      <family val="2"/>
      <scheme val="minor"/>
    </font>
    <font>
      <sz val="9"/>
      <color rgb="FF000000"/>
      <name val="Tahoma"/>
      <family val="2"/>
    </font>
    <font>
      <b/>
      <sz val="9"/>
      <color rgb="FF000000"/>
      <name val="Tahoma"/>
      <family val="2"/>
    </font>
  </fonts>
  <fills count="9">
    <fill>
      <patternFill patternType="none"/>
    </fill>
    <fill>
      <patternFill patternType="gray125"/>
    </fill>
    <fill>
      <patternFill patternType="solid">
        <fgColor theme="1"/>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9" tint="0.39997558519241921"/>
        <bgColor indexed="64"/>
      </patternFill>
    </fill>
    <fill>
      <patternFill patternType="solid">
        <fgColor theme="9" tint="0.59999389629810485"/>
        <bgColor indexed="64"/>
      </patternFill>
    </fill>
    <fill>
      <patternFill patternType="solid">
        <fgColor theme="0"/>
        <bgColor indexed="64"/>
      </patternFill>
    </fill>
    <fill>
      <patternFill patternType="solid">
        <fgColor theme="4" tint="0.79998168889431442"/>
        <bgColor indexed="64"/>
      </patternFill>
    </fill>
  </fills>
  <borders count="46">
    <border>
      <left/>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indexed="64"/>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style="thin">
        <color indexed="64"/>
      </top>
      <bottom style="thin">
        <color indexed="64"/>
      </bottom>
      <diagonal/>
    </border>
    <border>
      <left style="medium">
        <color indexed="64"/>
      </left>
      <right/>
      <top style="medium">
        <color indexed="64"/>
      </top>
      <bottom style="thin">
        <color indexed="64"/>
      </bottom>
      <diagonal/>
    </border>
    <border>
      <left/>
      <right style="thin">
        <color indexed="64"/>
      </right>
      <top style="medium">
        <color indexed="64"/>
      </top>
      <bottom style="thin">
        <color indexed="64"/>
      </bottom>
      <diagonal/>
    </border>
    <border>
      <left/>
      <right style="thin">
        <color indexed="64"/>
      </right>
      <top style="thin">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medium">
        <color indexed="64"/>
      </left>
      <right/>
      <top/>
      <bottom/>
      <diagonal/>
    </border>
    <border>
      <left/>
      <right style="medium">
        <color indexed="64"/>
      </right>
      <top/>
      <bottom/>
      <diagonal/>
    </border>
    <border>
      <left style="thin">
        <color rgb="FF000000"/>
      </left>
      <right style="thin">
        <color rgb="FF000000"/>
      </right>
      <top style="thin">
        <color rgb="FF000000"/>
      </top>
      <bottom style="thin">
        <color rgb="FF000000"/>
      </bottom>
      <diagonal/>
    </border>
    <border>
      <left style="thin">
        <color indexed="64"/>
      </left>
      <right/>
      <top/>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diagonal/>
    </border>
    <border>
      <left style="thin">
        <color indexed="64"/>
      </left>
      <right/>
      <top/>
      <bottom style="medium">
        <color indexed="64"/>
      </bottom>
      <diagonal/>
    </border>
    <border>
      <left style="thin">
        <color indexed="64"/>
      </left>
      <right/>
      <top style="medium">
        <color indexed="64"/>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s>
  <cellStyleXfs count="16">
    <xf numFmtId="0" fontId="0" fillId="0" borderId="0"/>
    <xf numFmtId="9" fontId="2" fillId="0" borderId="0" applyFont="0" applyFill="0" applyBorder="0" applyAlignment="0" applyProtection="0"/>
    <xf numFmtId="43" fontId="2" fillId="0" borderId="0" applyFont="0" applyFill="0" applyBorder="0" applyAlignment="0" applyProtection="0"/>
    <xf numFmtId="0" fontId="8" fillId="0" borderId="0"/>
    <xf numFmtId="43" fontId="8" fillId="0" borderId="0" applyFont="0" applyFill="0" applyBorder="0" applyAlignment="0" applyProtection="0"/>
    <xf numFmtId="0" fontId="9" fillId="0" borderId="0"/>
    <xf numFmtId="9" fontId="8" fillId="0" borderId="0" applyFont="0" applyFill="0" applyBorder="0" applyAlignment="0" applyProtection="0"/>
    <xf numFmtId="0" fontId="9" fillId="0" borderId="0"/>
    <xf numFmtId="0" fontId="9" fillId="0" borderId="0"/>
    <xf numFmtId="0" fontId="8" fillId="0" borderId="0"/>
    <xf numFmtId="0" fontId="8" fillId="0" borderId="0"/>
    <xf numFmtId="0" fontId="9" fillId="0" borderId="0"/>
    <xf numFmtId="166" fontId="9" fillId="0" borderId="0"/>
    <xf numFmtId="0" fontId="9" fillId="0" borderId="0"/>
    <xf numFmtId="0" fontId="16" fillId="0" borderId="0" applyNumberFormat="0" applyFill="0" applyBorder="0" applyAlignment="0" applyProtection="0"/>
    <xf numFmtId="0" fontId="19" fillId="0" borderId="0"/>
  </cellStyleXfs>
  <cellXfs count="149">
    <xf numFmtId="0" fontId="0" fillId="0" borderId="0" xfId="0"/>
    <xf numFmtId="0" fontId="1" fillId="3" borderId="7" xfId="0" applyFont="1" applyFill="1" applyBorder="1"/>
    <xf numFmtId="0" fontId="4" fillId="0" borderId="7" xfId="0" applyFont="1" applyBorder="1" applyAlignment="1">
      <alignment horizontal="left"/>
    </xf>
    <xf numFmtId="0" fontId="5" fillId="4" borderId="7" xfId="0" applyFont="1" applyFill="1" applyBorder="1" applyAlignment="1">
      <alignment horizontal="center"/>
    </xf>
    <xf numFmtId="0" fontId="0" fillId="0" borderId="7" xfId="0" applyBorder="1" applyAlignment="1">
      <alignment horizontal="center"/>
    </xf>
    <xf numFmtId="0" fontId="0" fillId="0" borderId="7" xfId="0" applyBorder="1"/>
    <xf numFmtId="0" fontId="0" fillId="6" borderId="7" xfId="0" applyFill="1" applyBorder="1"/>
    <xf numFmtId="0" fontId="1" fillId="4" borderId="7" xfId="0" applyFont="1" applyFill="1" applyBorder="1"/>
    <xf numFmtId="0" fontId="0" fillId="7" borderId="0" xfId="0" applyFill="1"/>
    <xf numFmtId="0" fontId="0" fillId="0" borderId="0" xfId="0" applyAlignment="1">
      <alignment horizontal="center"/>
    </xf>
    <xf numFmtId="0" fontId="1" fillId="4" borderId="20" xfId="0" applyFont="1" applyFill="1" applyBorder="1" applyAlignment="1">
      <alignment vertical="center" wrapText="1"/>
    </xf>
    <xf numFmtId="0" fontId="3" fillId="7" borderId="0" xfId="0" applyFont="1" applyFill="1" applyAlignment="1">
      <alignment horizontal="center" vertical="center" textRotation="90" wrapText="1"/>
    </xf>
    <xf numFmtId="164" fontId="0" fillId="3" borderId="7" xfId="2" applyNumberFormat="1" applyFont="1" applyFill="1" applyBorder="1"/>
    <xf numFmtId="164" fontId="0" fillId="8" borderId="7" xfId="2" applyNumberFormat="1" applyFont="1" applyFill="1" applyBorder="1"/>
    <xf numFmtId="164" fontId="0" fillId="3" borderId="7" xfId="2" applyNumberFormat="1" applyFont="1" applyFill="1" applyBorder="1" applyProtection="1">
      <protection locked="0"/>
    </xf>
    <xf numFmtId="165" fontId="0" fillId="3" borderId="15" xfId="2" applyNumberFormat="1" applyFont="1" applyFill="1" applyBorder="1" applyProtection="1">
      <protection locked="0"/>
    </xf>
    <xf numFmtId="0" fontId="3" fillId="6" borderId="23" xfId="0" applyFont="1" applyFill="1" applyBorder="1" applyAlignment="1">
      <alignment horizontal="center" vertical="center" wrapText="1"/>
    </xf>
    <xf numFmtId="0" fontId="0" fillId="0" borderId="7" xfId="0" applyBorder="1" applyAlignment="1" applyProtection="1">
      <alignment horizontal="center"/>
      <protection locked="0"/>
    </xf>
    <xf numFmtId="167" fontId="0" fillId="0" borderId="7" xfId="0" applyNumberFormat="1" applyBorder="1" applyProtection="1">
      <protection locked="0"/>
    </xf>
    <xf numFmtId="165" fontId="0" fillId="3" borderId="7" xfId="2" applyNumberFormat="1" applyFont="1" applyFill="1" applyBorder="1" applyProtection="1">
      <protection locked="0"/>
    </xf>
    <xf numFmtId="0" fontId="3" fillId="0" borderId="25" xfId="0" applyFont="1" applyBorder="1"/>
    <xf numFmtId="0" fontId="3" fillId="0" borderId="26" xfId="0" applyFont="1" applyBorder="1"/>
    <xf numFmtId="0" fontId="0" fillId="0" borderId="27" xfId="0" applyBorder="1" applyAlignment="1">
      <alignment horizontal="center"/>
    </xf>
    <xf numFmtId="0" fontId="0" fillId="0" borderId="17" xfId="0" applyBorder="1" applyAlignment="1">
      <alignment horizontal="center"/>
    </xf>
    <xf numFmtId="0" fontId="0" fillId="0" borderId="27" xfId="0" applyBorder="1" applyProtection="1">
      <protection locked="0"/>
    </xf>
    <xf numFmtId="167" fontId="0" fillId="0" borderId="17" xfId="0" applyNumberFormat="1" applyBorder="1" applyProtection="1">
      <protection locked="0"/>
    </xf>
    <xf numFmtId="165" fontId="0" fillId="3" borderId="27" xfId="2" applyNumberFormat="1" applyFont="1" applyFill="1" applyBorder="1" applyProtection="1">
      <protection locked="0"/>
    </xf>
    <xf numFmtId="165" fontId="0" fillId="3" borderId="17" xfId="2" applyNumberFormat="1" applyFont="1" applyFill="1" applyBorder="1" applyProtection="1">
      <protection locked="0"/>
    </xf>
    <xf numFmtId="165" fontId="0" fillId="3" borderId="29" xfId="2" applyNumberFormat="1" applyFont="1" applyFill="1" applyBorder="1" applyProtection="1">
      <protection locked="0"/>
    </xf>
    <xf numFmtId="165" fontId="0" fillId="3" borderId="16" xfId="2" applyNumberFormat="1" applyFont="1" applyFill="1" applyBorder="1" applyProtection="1">
      <protection locked="0"/>
    </xf>
    <xf numFmtId="0" fontId="0" fillId="0" borderId="25" xfId="0" applyBorder="1" applyAlignment="1">
      <alignment horizontal="center"/>
    </xf>
    <xf numFmtId="0" fontId="0" fillId="0" borderId="28" xfId="0" applyBorder="1" applyAlignment="1">
      <alignment horizontal="center"/>
    </xf>
    <xf numFmtId="167" fontId="0" fillId="0" borderId="17" xfId="0" applyNumberFormat="1" applyBorder="1" applyAlignment="1" applyProtection="1">
      <alignment horizontal="center"/>
      <protection locked="0"/>
    </xf>
    <xf numFmtId="0" fontId="0" fillId="0" borderId="27" xfId="0" applyBorder="1" applyAlignment="1" applyProtection="1">
      <alignment horizontal="center"/>
      <protection locked="0"/>
    </xf>
    <xf numFmtId="0" fontId="3" fillId="0" borderId="26" xfId="0" applyFont="1" applyBorder="1" applyAlignment="1">
      <alignment horizontal="center"/>
    </xf>
    <xf numFmtId="0" fontId="3" fillId="0" borderId="28" xfId="0" applyFont="1" applyBorder="1" applyAlignment="1">
      <alignment horizontal="center"/>
    </xf>
    <xf numFmtId="0" fontId="18" fillId="7" borderId="0" xfId="0" applyFont="1" applyFill="1" applyAlignment="1">
      <alignment vertical="center" wrapText="1"/>
    </xf>
    <xf numFmtId="168" fontId="20" fillId="0" borderId="32" xfId="15" applyNumberFormat="1" applyFont="1" applyBorder="1" applyAlignment="1">
      <alignment vertical="center"/>
    </xf>
    <xf numFmtId="9" fontId="0" fillId="3" borderId="3" xfId="1" applyFont="1" applyFill="1" applyBorder="1" applyAlignment="1" applyProtection="1">
      <alignment vertical="center"/>
      <protection locked="0"/>
    </xf>
    <xf numFmtId="0" fontId="1" fillId="4" borderId="1" xfId="0" applyFont="1" applyFill="1" applyBorder="1" applyAlignment="1">
      <alignment vertical="center" wrapText="1"/>
    </xf>
    <xf numFmtId="0" fontId="1" fillId="6" borderId="31" xfId="0" applyFont="1" applyFill="1" applyBorder="1"/>
    <xf numFmtId="0" fontId="0" fillId="3" borderId="30" xfId="0" applyFill="1" applyBorder="1" applyAlignment="1" applyProtection="1">
      <alignment vertical="center"/>
      <protection locked="0"/>
    </xf>
    <xf numFmtId="0" fontId="0" fillId="8" borderId="30" xfId="0" applyFill="1" applyBorder="1"/>
    <xf numFmtId="0" fontId="0" fillId="3" borderId="31" xfId="0" applyFill="1" applyBorder="1" applyAlignment="1" applyProtection="1">
      <alignment vertical="center"/>
      <protection locked="0"/>
    </xf>
    <xf numFmtId="0" fontId="1" fillId="6" borderId="30" xfId="0" applyFont="1" applyFill="1" applyBorder="1"/>
    <xf numFmtId="11" fontId="0" fillId="8" borderId="31" xfId="0" applyNumberFormat="1" applyFill="1" applyBorder="1"/>
    <xf numFmtId="0" fontId="1" fillId="3" borderId="6" xfId="0" applyFont="1" applyFill="1" applyBorder="1" applyAlignment="1">
      <alignment horizontal="left" vertical="center" wrapText="1"/>
    </xf>
    <xf numFmtId="0" fontId="3" fillId="8" borderId="3" xfId="0" applyFont="1" applyFill="1" applyBorder="1" applyAlignment="1">
      <alignment horizontal="left" vertical="center" wrapText="1"/>
    </xf>
    <xf numFmtId="0" fontId="1" fillId="3" borderId="4" xfId="0" applyFont="1" applyFill="1" applyBorder="1"/>
    <xf numFmtId="0" fontId="1" fillId="8" borderId="1" xfId="0" applyFont="1" applyFill="1" applyBorder="1"/>
    <xf numFmtId="169" fontId="0" fillId="0" borderId="0" xfId="0" applyNumberFormat="1"/>
    <xf numFmtId="169" fontId="4" fillId="0" borderId="7" xfId="0" applyNumberFormat="1" applyFont="1" applyBorder="1" applyAlignment="1">
      <alignment horizontal="left"/>
    </xf>
    <xf numFmtId="0" fontId="3" fillId="6" borderId="25" xfId="0" applyFont="1" applyFill="1" applyBorder="1" applyAlignment="1">
      <alignment horizontal="center" vertical="center" wrapText="1"/>
    </xf>
    <xf numFmtId="0" fontId="3" fillId="6" borderId="26" xfId="0" applyFont="1" applyFill="1" applyBorder="1" applyAlignment="1">
      <alignment horizontal="center" vertical="center" wrapText="1"/>
    </xf>
    <xf numFmtId="0" fontId="3" fillId="6" borderId="28" xfId="0" applyFont="1" applyFill="1" applyBorder="1" applyAlignment="1">
      <alignment horizontal="center" vertical="center" wrapText="1"/>
    </xf>
    <xf numFmtId="164" fontId="0" fillId="8" borderId="27" xfId="2" applyNumberFormat="1" applyFont="1" applyFill="1" applyBorder="1"/>
    <xf numFmtId="164" fontId="0" fillId="3" borderId="17" xfId="2" applyNumberFormat="1" applyFont="1" applyFill="1" applyBorder="1"/>
    <xf numFmtId="164" fontId="0" fillId="8" borderId="29" xfId="2" applyNumberFormat="1" applyFont="1" applyFill="1" applyBorder="1"/>
    <xf numFmtId="164" fontId="0" fillId="3" borderId="15" xfId="2" applyNumberFormat="1" applyFont="1" applyFill="1" applyBorder="1"/>
    <xf numFmtId="164" fontId="0" fillId="3" borderId="16" xfId="2" applyNumberFormat="1" applyFont="1" applyFill="1" applyBorder="1"/>
    <xf numFmtId="49" fontId="0" fillId="7" borderId="0" xfId="0" applyNumberFormat="1" applyFill="1"/>
    <xf numFmtId="0" fontId="1" fillId="8" borderId="21" xfId="0" applyFont="1" applyFill="1" applyBorder="1"/>
    <xf numFmtId="0" fontId="3" fillId="8" borderId="22" xfId="0" applyFont="1" applyFill="1" applyBorder="1" applyAlignment="1">
      <alignment horizontal="left" vertical="center" wrapText="1"/>
    </xf>
    <xf numFmtId="170" fontId="1" fillId="3" borderId="7" xfId="0" applyNumberFormat="1" applyFont="1" applyFill="1" applyBorder="1" applyAlignment="1">
      <alignment horizontal="center" vertical="center"/>
    </xf>
    <xf numFmtId="164" fontId="0" fillId="8" borderId="35" xfId="2" applyNumberFormat="1" applyFont="1" applyFill="1" applyBorder="1" applyAlignment="1">
      <alignment horizontal="center" vertical="center"/>
    </xf>
    <xf numFmtId="164" fontId="0" fillId="8" borderId="36" xfId="2" applyNumberFormat="1" applyFont="1" applyFill="1" applyBorder="1" applyAlignment="1">
      <alignment horizontal="center" vertical="center"/>
    </xf>
    <xf numFmtId="164" fontId="0" fillId="8" borderId="38" xfId="2" applyNumberFormat="1" applyFont="1" applyFill="1" applyBorder="1" applyAlignment="1">
      <alignment horizontal="center" vertical="center"/>
    </xf>
    <xf numFmtId="164" fontId="0" fillId="8" borderId="39" xfId="2" applyNumberFormat="1" applyFont="1" applyFill="1" applyBorder="1" applyAlignment="1">
      <alignment horizontal="center" vertical="center"/>
    </xf>
    <xf numFmtId="0" fontId="3" fillId="6" borderId="34" xfId="0" applyFont="1" applyFill="1" applyBorder="1" applyAlignment="1">
      <alignment horizontal="center" vertical="center" wrapText="1"/>
    </xf>
    <xf numFmtId="0" fontId="3" fillId="6" borderId="40" xfId="0" applyFont="1" applyFill="1" applyBorder="1" applyAlignment="1">
      <alignment horizontal="center" vertical="center" wrapText="1"/>
    </xf>
    <xf numFmtId="0" fontId="3" fillId="6" borderId="37" xfId="0" applyFont="1" applyFill="1" applyBorder="1" applyAlignment="1">
      <alignment horizontal="center" vertical="center" wrapText="1"/>
    </xf>
    <xf numFmtId="39" fontId="0" fillId="8" borderId="41" xfId="2" applyNumberFormat="1" applyFont="1" applyFill="1" applyBorder="1" applyAlignment="1">
      <alignment horizontal="center" vertical="center"/>
    </xf>
    <xf numFmtId="170" fontId="0" fillId="3" borderId="0" xfId="0" applyNumberFormat="1" applyFill="1" applyAlignment="1">
      <alignment horizontal="center" vertical="center"/>
    </xf>
    <xf numFmtId="170" fontId="0" fillId="3" borderId="2" xfId="0" applyNumberFormat="1" applyFill="1" applyBorder="1" applyAlignment="1">
      <alignment horizontal="center" vertical="center"/>
    </xf>
    <xf numFmtId="3" fontId="0" fillId="3" borderId="35" xfId="0" applyNumberFormat="1" applyFill="1" applyBorder="1" applyAlignment="1">
      <alignment horizontal="center" vertical="center"/>
    </xf>
    <xf numFmtId="170" fontId="0" fillId="3" borderId="33" xfId="0" applyNumberFormat="1" applyFill="1" applyBorder="1" applyAlignment="1">
      <alignment horizontal="center" vertical="center"/>
    </xf>
    <xf numFmtId="3" fontId="0" fillId="3" borderId="36" xfId="0" applyNumberFormat="1" applyFill="1" applyBorder="1" applyAlignment="1">
      <alignment horizontal="center" vertical="center"/>
    </xf>
    <xf numFmtId="170" fontId="0" fillId="3" borderId="42" xfId="0" applyNumberFormat="1" applyFill="1" applyBorder="1" applyAlignment="1">
      <alignment horizontal="center" vertical="center"/>
    </xf>
    <xf numFmtId="0" fontId="1" fillId="3" borderId="6" xfId="0" applyFont="1" applyFill="1" applyBorder="1" applyAlignment="1">
      <alignment horizontal="center" vertical="center" wrapText="1"/>
    </xf>
    <xf numFmtId="0" fontId="3" fillId="8" borderId="3" xfId="0" applyFont="1" applyFill="1" applyBorder="1" applyAlignment="1">
      <alignment horizontal="center" vertical="center" wrapText="1"/>
    </xf>
    <xf numFmtId="0" fontId="1" fillId="3" borderId="4" xfId="0" applyFont="1" applyFill="1" applyBorder="1" applyAlignment="1">
      <alignment horizontal="center" vertical="center"/>
    </xf>
    <xf numFmtId="0" fontId="1" fillId="8" borderId="1" xfId="0" applyFont="1" applyFill="1" applyBorder="1" applyAlignment="1">
      <alignment horizontal="center" vertical="center"/>
    </xf>
    <xf numFmtId="0" fontId="3" fillId="6" borderId="7" xfId="0" applyFont="1" applyFill="1" applyBorder="1" applyAlignment="1">
      <alignment horizontal="center" vertical="center" wrapText="1"/>
    </xf>
    <xf numFmtId="164" fontId="0" fillId="8" borderId="7" xfId="2" applyNumberFormat="1" applyFont="1" applyFill="1" applyBorder="1" applyProtection="1">
      <protection locked="0"/>
    </xf>
    <xf numFmtId="9" fontId="0" fillId="8" borderId="7" xfId="1" applyFont="1" applyFill="1" applyBorder="1"/>
    <xf numFmtId="171" fontId="0" fillId="8" borderId="7" xfId="1" applyNumberFormat="1" applyFont="1" applyFill="1" applyBorder="1"/>
    <xf numFmtId="49" fontId="0" fillId="8" borderId="7" xfId="2" applyNumberFormat="1" applyFont="1" applyFill="1" applyBorder="1" applyProtection="1">
      <protection locked="0"/>
    </xf>
    <xf numFmtId="0" fontId="3" fillId="6" borderId="27" xfId="0" applyFont="1" applyFill="1" applyBorder="1" applyAlignment="1">
      <alignment horizontal="center" vertical="center" wrapText="1"/>
    </xf>
    <xf numFmtId="0" fontId="3" fillId="6" borderId="17" xfId="0" applyFont="1" applyFill="1" applyBorder="1" applyAlignment="1">
      <alignment horizontal="center" vertical="center" wrapText="1"/>
    </xf>
    <xf numFmtId="9" fontId="0" fillId="8" borderId="17" xfId="1" applyFont="1" applyFill="1" applyBorder="1"/>
    <xf numFmtId="164" fontId="0" fillId="8" borderId="15" xfId="2" applyNumberFormat="1" applyFont="1" applyFill="1" applyBorder="1" applyProtection="1">
      <protection locked="0"/>
    </xf>
    <xf numFmtId="164" fontId="0" fillId="8" borderId="15" xfId="2" applyNumberFormat="1" applyFont="1" applyFill="1" applyBorder="1"/>
    <xf numFmtId="9" fontId="0" fillId="8" borderId="15" xfId="1" applyFont="1" applyFill="1" applyBorder="1"/>
    <xf numFmtId="171" fontId="0" fillId="8" borderId="15" xfId="1" applyNumberFormat="1" applyFont="1" applyFill="1" applyBorder="1"/>
    <xf numFmtId="9" fontId="0" fillId="8" borderId="16" xfId="1" applyFont="1" applyFill="1" applyBorder="1"/>
    <xf numFmtId="164" fontId="0" fillId="8" borderId="8" xfId="2" applyNumberFormat="1" applyFont="1" applyFill="1" applyBorder="1"/>
    <xf numFmtId="0" fontId="3" fillId="6" borderId="44" xfId="0" applyFont="1" applyFill="1" applyBorder="1" applyAlignment="1">
      <alignment horizontal="center" vertical="center" wrapText="1"/>
    </xf>
    <xf numFmtId="0" fontId="3" fillId="6" borderId="45" xfId="0" applyFont="1" applyFill="1" applyBorder="1" applyAlignment="1">
      <alignment horizontal="center" vertical="center" wrapText="1"/>
    </xf>
    <xf numFmtId="164" fontId="0" fillId="3" borderId="17" xfId="2" applyNumberFormat="1" applyFont="1" applyFill="1" applyBorder="1" applyProtection="1">
      <protection locked="0"/>
    </xf>
    <xf numFmtId="164" fontId="0" fillId="3" borderId="15" xfId="2" applyNumberFormat="1" applyFont="1" applyFill="1" applyBorder="1" applyProtection="1">
      <protection locked="0"/>
    </xf>
    <xf numFmtId="164" fontId="0" fillId="3" borderId="16" xfId="2" applyNumberFormat="1" applyFont="1" applyFill="1" applyBorder="1" applyProtection="1">
      <protection locked="0"/>
    </xf>
    <xf numFmtId="1" fontId="0" fillId="8" borderId="8" xfId="1" applyNumberFormat="1" applyFont="1" applyFill="1" applyBorder="1"/>
    <xf numFmtId="0" fontId="3" fillId="6" borderId="8" xfId="0" applyFont="1" applyFill="1" applyBorder="1" applyAlignment="1">
      <alignment horizontal="center" vertical="center" wrapText="1"/>
    </xf>
    <xf numFmtId="0" fontId="10" fillId="7" borderId="0" xfId="0" applyFont="1" applyFill="1" applyAlignment="1">
      <alignment horizontal="center"/>
    </xf>
    <xf numFmtId="0" fontId="7" fillId="7" borderId="0" xfId="0" applyFont="1" applyFill="1" applyAlignment="1">
      <alignment horizontal="center" vertical="center"/>
    </xf>
    <xf numFmtId="0" fontId="15" fillId="7" borderId="0" xfId="0" applyFont="1" applyFill="1" applyAlignment="1">
      <alignment horizontal="center"/>
    </xf>
    <xf numFmtId="0" fontId="15" fillId="7" borderId="4" xfId="0" applyFont="1" applyFill="1" applyBorder="1" applyAlignment="1">
      <alignment horizontal="left" vertical="center" wrapText="1"/>
    </xf>
    <xf numFmtId="0" fontId="15" fillId="7" borderId="5" xfId="0" applyFont="1" applyFill="1" applyBorder="1" applyAlignment="1">
      <alignment horizontal="left" vertical="center" wrapText="1"/>
    </xf>
    <xf numFmtId="0" fontId="15" fillId="7" borderId="6" xfId="0" applyFont="1" applyFill="1" applyBorder="1" applyAlignment="1">
      <alignment horizontal="left" vertical="center" wrapText="1"/>
    </xf>
    <xf numFmtId="0" fontId="15" fillId="7" borderId="1" xfId="0" applyFont="1" applyFill="1" applyBorder="1" applyAlignment="1">
      <alignment horizontal="left" vertical="center" wrapText="1"/>
    </xf>
    <xf numFmtId="0" fontId="15" fillId="7" borderId="2" xfId="0" applyFont="1" applyFill="1" applyBorder="1" applyAlignment="1">
      <alignment horizontal="left" vertical="center" wrapText="1"/>
    </xf>
    <xf numFmtId="0" fontId="15" fillId="7" borderId="3" xfId="0" applyFont="1" applyFill="1" applyBorder="1" applyAlignment="1">
      <alignment horizontal="left" vertical="center" wrapText="1"/>
    </xf>
    <xf numFmtId="0" fontId="3" fillId="6" borderId="21" xfId="0" applyFont="1" applyFill="1" applyBorder="1" applyAlignment="1">
      <alignment horizontal="center" vertical="center"/>
    </xf>
    <xf numFmtId="0" fontId="3" fillId="6" borderId="24" xfId="0" applyFont="1" applyFill="1" applyBorder="1" applyAlignment="1">
      <alignment horizontal="center" vertical="center"/>
    </xf>
    <xf numFmtId="0" fontId="3" fillId="6" borderId="22" xfId="0" applyFont="1" applyFill="1" applyBorder="1" applyAlignment="1">
      <alignment horizontal="center" vertical="center"/>
    </xf>
    <xf numFmtId="0" fontId="0" fillId="6" borderId="4" xfId="0" applyFill="1" applyBorder="1" applyAlignment="1">
      <alignment horizontal="center" vertical="center" wrapText="1"/>
    </xf>
    <xf numFmtId="0" fontId="0" fillId="6" borderId="30" xfId="0" applyFill="1" applyBorder="1" applyAlignment="1">
      <alignment horizontal="center" vertical="center" wrapText="1"/>
    </xf>
    <xf numFmtId="0" fontId="0" fillId="6" borderId="1" xfId="0" applyFill="1" applyBorder="1" applyAlignment="1">
      <alignment horizontal="center" vertical="center" wrapText="1"/>
    </xf>
    <xf numFmtId="0" fontId="3" fillId="6" borderId="21" xfId="0" applyFont="1" applyFill="1" applyBorder="1" applyAlignment="1">
      <alignment horizontal="center" vertical="center" wrapText="1"/>
    </xf>
    <xf numFmtId="0" fontId="3" fillId="6" borderId="24" xfId="0" applyFont="1" applyFill="1" applyBorder="1" applyAlignment="1">
      <alignment horizontal="center" vertical="center" wrapText="1"/>
    </xf>
    <xf numFmtId="0" fontId="3" fillId="6" borderId="22" xfId="0" applyFont="1" applyFill="1" applyBorder="1" applyAlignment="1">
      <alignment horizontal="center" vertical="center" wrapText="1"/>
    </xf>
    <xf numFmtId="0" fontId="13" fillId="0" borderId="0" xfId="0" applyFont="1" applyAlignment="1">
      <alignment horizontal="left"/>
    </xf>
    <xf numFmtId="0" fontId="0" fillId="0" borderId="0" xfId="0" applyAlignment="1">
      <alignment horizontal="left"/>
    </xf>
    <xf numFmtId="0" fontId="1" fillId="6" borderId="21" xfId="0" applyFont="1" applyFill="1" applyBorder="1" applyAlignment="1">
      <alignment horizontal="center" vertical="center"/>
    </xf>
    <xf numFmtId="0" fontId="1" fillId="6" borderId="22" xfId="0" applyFont="1" applyFill="1" applyBorder="1" applyAlignment="1">
      <alignment horizontal="center" vertical="center"/>
    </xf>
    <xf numFmtId="0" fontId="18" fillId="7" borderId="21" xfId="0" applyFont="1" applyFill="1" applyBorder="1" applyAlignment="1">
      <alignment horizontal="center" vertical="center" wrapText="1"/>
    </xf>
    <xf numFmtId="0" fontId="18" fillId="7" borderId="24" xfId="0" applyFont="1" applyFill="1" applyBorder="1" applyAlignment="1">
      <alignment horizontal="center" vertical="center" wrapText="1"/>
    </xf>
    <xf numFmtId="0" fontId="18" fillId="7" borderId="22" xfId="0" applyFont="1" applyFill="1" applyBorder="1" applyAlignment="1">
      <alignment horizontal="center" vertical="center" wrapText="1"/>
    </xf>
    <xf numFmtId="0" fontId="1" fillId="6" borderId="13" xfId="0" applyFont="1" applyFill="1" applyBorder="1" applyAlignment="1">
      <alignment horizontal="center" vertical="center" textRotation="90" wrapText="1"/>
    </xf>
    <xf numFmtId="0" fontId="1" fillId="6" borderId="14" xfId="0" applyFont="1" applyFill="1" applyBorder="1" applyAlignment="1">
      <alignment horizontal="center" vertical="center" textRotation="90" wrapText="1"/>
    </xf>
    <xf numFmtId="0" fontId="1" fillId="6" borderId="12" xfId="0" applyFont="1" applyFill="1" applyBorder="1" applyAlignment="1">
      <alignment horizontal="center" vertical="center" textRotation="90" wrapText="1"/>
    </xf>
    <xf numFmtId="0" fontId="1" fillId="6" borderId="4" xfId="0" applyFont="1" applyFill="1" applyBorder="1" applyAlignment="1">
      <alignment horizontal="left"/>
    </xf>
    <xf numFmtId="0" fontId="1" fillId="6" borderId="6" xfId="0" applyFont="1" applyFill="1" applyBorder="1" applyAlignment="1">
      <alignment horizontal="left"/>
    </xf>
    <xf numFmtId="0" fontId="3" fillId="6" borderId="30" xfId="0" applyFont="1" applyFill="1" applyBorder="1" applyAlignment="1">
      <alignment horizontal="left" vertical="center" wrapText="1"/>
    </xf>
    <xf numFmtId="0" fontId="3" fillId="6" borderId="31" xfId="0" applyFont="1" applyFill="1" applyBorder="1" applyAlignment="1">
      <alignment horizontal="left" vertical="center" wrapText="1"/>
    </xf>
    <xf numFmtId="0" fontId="1" fillId="6" borderId="18" xfId="0" applyFont="1" applyFill="1" applyBorder="1" applyAlignment="1">
      <alignment horizontal="left"/>
    </xf>
    <xf numFmtId="0" fontId="1" fillId="6" borderId="19" xfId="0" applyFont="1" applyFill="1" applyBorder="1" applyAlignment="1">
      <alignment horizontal="left"/>
    </xf>
    <xf numFmtId="0" fontId="17" fillId="2" borderId="0" xfId="0" applyFont="1" applyFill="1" applyAlignment="1">
      <alignment horizontal="center"/>
    </xf>
    <xf numFmtId="0" fontId="1" fillId="6" borderId="24" xfId="0" applyFont="1" applyFill="1" applyBorder="1" applyAlignment="1">
      <alignment horizontal="center" vertical="center"/>
    </xf>
    <xf numFmtId="0" fontId="14" fillId="7" borderId="21" xfId="0" applyFont="1" applyFill="1" applyBorder="1" applyAlignment="1">
      <alignment horizontal="center" vertical="center" wrapText="1"/>
    </xf>
    <xf numFmtId="0" fontId="14" fillId="7" borderId="22" xfId="0" applyFont="1" applyFill="1" applyBorder="1" applyAlignment="1">
      <alignment horizontal="center" vertical="center"/>
    </xf>
    <xf numFmtId="0" fontId="3" fillId="6" borderId="25" xfId="0" applyFont="1" applyFill="1" applyBorder="1" applyAlignment="1">
      <alignment horizontal="center" vertical="center"/>
    </xf>
    <xf numFmtId="0" fontId="3" fillId="6" borderId="26" xfId="0" applyFont="1" applyFill="1" applyBorder="1" applyAlignment="1">
      <alignment horizontal="center" vertical="center"/>
    </xf>
    <xf numFmtId="0" fontId="3" fillId="6" borderId="43" xfId="0" applyFont="1" applyFill="1" applyBorder="1" applyAlignment="1">
      <alignment horizontal="center" vertical="center"/>
    </xf>
    <xf numFmtId="0" fontId="3" fillId="6" borderId="28" xfId="0" applyFont="1" applyFill="1" applyBorder="1" applyAlignment="1">
      <alignment horizontal="center" vertical="center"/>
    </xf>
    <xf numFmtId="0" fontId="1" fillId="6" borderId="8" xfId="0" applyFont="1" applyFill="1" applyBorder="1" applyAlignment="1">
      <alignment horizontal="center"/>
    </xf>
    <xf numFmtId="0" fontId="1" fillId="6" borderId="9" xfId="0" applyFont="1" applyFill="1" applyBorder="1" applyAlignment="1">
      <alignment horizontal="center"/>
    </xf>
    <xf numFmtId="0" fontId="1" fillId="6" borderId="10" xfId="0" applyFont="1" applyFill="1" applyBorder="1" applyAlignment="1">
      <alignment horizontal="center"/>
    </xf>
    <xf numFmtId="0" fontId="1" fillId="5" borderId="11" xfId="0" applyFont="1" applyFill="1" applyBorder="1" applyAlignment="1">
      <alignment horizontal="center"/>
    </xf>
  </cellXfs>
  <cellStyles count="16">
    <cellStyle name="Comma" xfId="2" builtinId="3"/>
    <cellStyle name="Comma 2" xfId="4" xr:uid="{33657E84-2382-41B4-81DE-0104DA33843A}"/>
    <cellStyle name="Hyperlink 2" xfId="14" xr:uid="{4ACA0C45-038C-4508-A5DD-246F17759385}"/>
    <cellStyle name="Normal" xfId="0" builtinId="0"/>
    <cellStyle name="Normal 10" xfId="13" xr:uid="{704BF044-E943-49F8-8552-8F7D80FA9206}"/>
    <cellStyle name="Normal 10 3" xfId="8" xr:uid="{5809D066-A1E8-4360-BEF7-6C08EA93F46C}"/>
    <cellStyle name="Normal 128" xfId="10" xr:uid="{1335C43C-C56E-4533-8967-61E3BC844D91}"/>
    <cellStyle name="Normal 153" xfId="7" xr:uid="{18D4A9CC-D37A-4740-B2E3-A8CBC8D52663}"/>
    <cellStyle name="Normal 2" xfId="5" xr:uid="{9392D3C9-6CB1-4211-A0E2-51589FA6D7B0}"/>
    <cellStyle name="Normal 2 2 2 3" xfId="11" xr:uid="{952DA693-0460-4338-ABE8-676BBDC630EA}"/>
    <cellStyle name="Normal 3" xfId="9" xr:uid="{50471044-01E0-4B51-B92D-6A7557DBB25A}"/>
    <cellStyle name="Normal 4" xfId="3" xr:uid="{9073515D-AEE6-4C3D-83D0-995A947AFEBC}"/>
    <cellStyle name="Normal 5" xfId="15" xr:uid="{9BED0A86-E59D-4221-96C4-1118527C9A29}"/>
    <cellStyle name="Normal 8" xfId="12" xr:uid="{1BA94558-B61D-4E8D-AF7A-A503090F1F74}"/>
    <cellStyle name="Percent" xfId="1" builtinId="5"/>
    <cellStyle name="Percent 2" xfId="6" xr:uid="{DB5DFD9D-4CC9-4542-9031-B5A21D390974}"/>
  </cellStyles>
  <dxfs count="1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val="0"/>
        <strike val="0"/>
        <condense val="0"/>
        <extend val="0"/>
        <outline val="0"/>
        <shadow val="0"/>
        <u val="none"/>
        <vertAlign val="baseline"/>
        <sz val="11"/>
        <color theme="1"/>
        <name val="Calibri"/>
        <family val="2"/>
        <scheme val="minor"/>
      </font>
      <numFmt numFmtId="164" formatCode="_(* #,##0_);_(* \(#,##0\);_(* &quot;-&quot;??_);_(@_)"/>
      <fill>
        <patternFill patternType="solid">
          <fgColor indexed="64"/>
          <bgColor theme="7" tint="0.79998168889431442"/>
        </patternFill>
      </fill>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1"/>
        <color theme="1"/>
        <name val="Calibri"/>
        <family val="2"/>
        <scheme val="minor"/>
      </font>
      <numFmt numFmtId="164" formatCode="_(* #,##0_);_(* \(#,##0\);_(* &quot;-&quot;??_);_(@_)"/>
      <fill>
        <patternFill patternType="solid">
          <fgColor indexed="64"/>
          <bgColor theme="7" tint="0.79998168889431442"/>
        </patternFill>
      </fill>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1"/>
        <color theme="1"/>
        <name val="Calibri"/>
        <family val="2"/>
        <scheme val="minor"/>
      </font>
      <numFmt numFmtId="164" formatCode="_(* #,##0_);_(* \(#,##0\);_(* &quot;-&quot;??_);_(@_)"/>
      <fill>
        <patternFill patternType="solid">
          <fgColor indexed="64"/>
          <bgColor theme="7"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numFmt numFmtId="164" formatCode="_(* #,##0_);_(* \(#,##0\);_(* &quot;-&quot;??_);_(@_)"/>
      <fill>
        <patternFill patternType="solid">
          <fgColor indexed="64"/>
          <bgColor theme="7"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1"/>
        <color theme="1"/>
        <name val="Calibri"/>
        <family val="2"/>
        <scheme val="minor"/>
      </font>
      <numFmt numFmtId="164" formatCode="_(* #,##0_);_(* \(#,##0\);_(* &quot;-&quot;??_);_(@_)"/>
      <fill>
        <patternFill patternType="solid">
          <fgColor indexed="64"/>
          <bgColor theme="7" tint="0.79998168889431442"/>
        </patternFill>
      </fill>
      <border diagonalUp="0" diagonalDown="0">
        <left style="thin">
          <color indexed="64"/>
        </left>
        <right style="thin">
          <color indexed="64"/>
        </right>
        <top style="thin">
          <color indexed="64"/>
        </top>
        <bottom style="thin">
          <color indexed="64"/>
        </bottom>
        <vertical/>
        <horizontal/>
      </border>
      <protection locked="0" hidden="0"/>
    </dxf>
    <dxf>
      <numFmt numFmtId="164" formatCode="_(* #,##0_);_(* \(#,##0\);_(* &quot;-&quot;??_);_(@_)"/>
      <fill>
        <patternFill patternType="solid">
          <fgColor indexed="64"/>
          <bgColor theme="7"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1"/>
        <color auto="1"/>
        <name val="Calibri"/>
        <family val="2"/>
        <scheme val="minor"/>
      </font>
      <numFmt numFmtId="164" formatCode="_(* #,##0_);_(* \(#,##0\);_(* &quot;-&quot;??_);_(@_)"/>
      <fill>
        <patternFill patternType="solid">
          <fgColor indexed="64"/>
          <bgColor theme="0"/>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left style="medium">
          <color rgb="FF000000"/>
        </left>
        <right style="medium">
          <color rgb="FF000000"/>
        </right>
        <top style="medium">
          <color rgb="FF000000"/>
        </top>
        <bottom style="medium">
          <color rgb="FF000000"/>
        </bottom>
      </border>
    </dxf>
    <dxf>
      <numFmt numFmtId="164" formatCode="_(* #,##0_);_(* \(#,##0\);_(* &quot;-&quot;??_);_(@_)"/>
      <fill>
        <patternFill>
          <fgColor rgb="FF000000"/>
          <bgColor rgb="FFFFFFFF"/>
        </patternFill>
      </fill>
    </dxf>
    <dxf>
      <border>
        <bottom style="thin">
          <color rgb="FF000000"/>
        </bottom>
      </border>
    </dxf>
    <dxf>
      <font>
        <strike val="0"/>
        <outline val="0"/>
        <shadow val="0"/>
        <u val="none"/>
        <sz val="11"/>
        <color auto="1"/>
        <name val="Calibri"/>
        <family val="2"/>
        <scheme val="minor"/>
      </font>
      <fill>
        <patternFill patternType="solid">
          <fgColor indexed="64"/>
          <bgColor theme="9" tint="0.59999389629810485"/>
        </patternFill>
      </fill>
      <alignment horizontal="center" vertical="center" textRotation="0" wrapText="1" indent="0" justifyLastLine="0" shrinkToFit="0" readingOrder="0"/>
      <border diagonalUp="0" diagonalDown="0" outline="0">
        <left style="thin">
          <color indexed="64"/>
        </left>
        <right style="thin">
          <color indexed="64"/>
        </right>
        <top/>
        <bottom/>
      </border>
    </dxf>
  </dxfs>
  <tableStyles count="1" defaultTableStyle="TableStyleMedium2" defaultPivotStyle="PivotStyleLight16">
    <tableStyle name="Table Style 1" pivot="0" count="0" xr9:uid="{43E142FD-9E84-4AC9-97D6-C40FEAEF92E7}"/>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304800</xdr:colOff>
      <xdr:row>1</xdr:row>
      <xdr:rowOff>127000</xdr:rowOff>
    </xdr:from>
    <xdr:to>
      <xdr:col>7</xdr:col>
      <xdr:colOff>40640</xdr:colOff>
      <xdr:row>8</xdr:row>
      <xdr:rowOff>154402</xdr:rowOff>
    </xdr:to>
    <xdr:pic>
      <xdr:nvPicPr>
        <xdr:cNvPr id="2" name="Picture 1" descr="A close-up of a logo&#10;&#10;Description automatically generated with medium confidence">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04800" y="311150"/>
          <a:ext cx="4003040" cy="1316452"/>
        </a:xfrm>
        <a:prstGeom prst="rect">
          <a:avLst/>
        </a:prstGeom>
      </xdr:spPr>
    </xdr:pic>
    <xdr:clientData/>
  </xdr:twoCellAnchor>
  <xdr:twoCellAnchor editAs="oneCell">
    <xdr:from>
      <xdr:col>15</xdr:col>
      <xdr:colOff>295048</xdr:colOff>
      <xdr:row>3</xdr:row>
      <xdr:rowOff>74201</xdr:rowOff>
    </xdr:from>
    <xdr:to>
      <xdr:col>20</xdr:col>
      <xdr:colOff>336163</xdr:colOff>
      <xdr:row>7</xdr:row>
      <xdr:rowOff>113765</xdr:rowOff>
    </xdr:to>
    <xdr:pic>
      <xdr:nvPicPr>
        <xdr:cNvPr id="4" name="Picture 3" descr="Us Doe Logo - United States Department Of Energy Logo (1000x251), Png Download">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9411834" y="618487"/>
          <a:ext cx="3083218" cy="7652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272142</xdr:colOff>
      <xdr:row>3</xdr:row>
      <xdr:rowOff>36284</xdr:rowOff>
    </xdr:from>
    <xdr:to>
      <xdr:col>14</xdr:col>
      <xdr:colOff>561158</xdr:colOff>
      <xdr:row>7</xdr:row>
      <xdr:rowOff>172357</xdr:rowOff>
    </xdr:to>
    <xdr:pic>
      <xdr:nvPicPr>
        <xdr:cNvPr id="5" name="Picture 4" descr="A black background with blue and yellow text&#10;&#10;Description automatically generated with low confidence">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4526642" y="580570"/>
          <a:ext cx="4540341" cy="861787"/>
        </a:xfrm>
        <a:prstGeom prst="rect">
          <a:avLst/>
        </a:prstGeom>
        <a:noFill/>
        <a:ln>
          <a:noFill/>
        </a:ln>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50B9D0B-21E1-4CD0-B368-8838952EA82C}" name="Table13" displayName="Table13" ref="A6:G189" totalsRowShown="0" headerRowDxfId="13" dataDxfId="11" headerRowBorderDxfId="12" tableBorderDxfId="10" dataCellStyle="Comma">
  <autoFilter ref="A6:G189" xr:uid="{C943C53F-7FD8-4ACF-8518-3961C9C353D7}">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73E69F81-F964-4FA4-B13E-5237337AA439}" name="No." dataDxfId="9" dataCellStyle="Comma">
      <calculatedColumnFormula>IF(B7&lt;&gt;"",COUNTA($B$7:B7),"")</calculatedColumnFormula>
    </tableColumn>
    <tableColumn id="2" xr3:uid="{9751ABC7-4ADE-412B-B177-3C1D6B6BB9DD}" name="Source" dataDxfId="8" dataCellStyle="Comma"/>
    <tableColumn id="9" xr3:uid="{95C75513-0F53-4AE1-A700-33792F03C469}" name="Energy Category" dataDxfId="7" dataCellStyle="Comma"/>
    <tableColumn id="3" xr3:uid="{BF34FA75-8241-4332-820D-0E963C4E3AE6}" name="Energy Source" dataDxfId="6" dataCellStyle="Comma"/>
    <tableColumn id="8" xr3:uid="{0B30D47F-1C1D-45BE-B5EE-D2044A5FEF5E}" name="Units" dataDxfId="5" dataCellStyle="Comma"/>
    <tableColumn id="6" xr3:uid="{193D5AC0-EF9B-8E4E-92AB-964D5261B3DF}" name="Annual Consumption (Baseline)" dataDxfId="4" dataCellStyle="Comma"/>
    <tableColumn id="5" xr3:uid="{DA8A330C-487A-644E-9BA6-2ED1D15A4A38}" name="Energy Savings" dataDxfId="3" dataCellStyle="Comma"/>
  </tableColumns>
  <tableStyleInfo name="TableStyleLight1"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2.bin"/><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04B54B-37CD-40F7-A212-937274EF8B45}">
  <sheetPr codeName="Sheet9"/>
  <dimension ref="B12:U36"/>
  <sheetViews>
    <sheetView showGridLines="0" tabSelected="1" topLeftCell="A8" zoomScale="101" zoomScaleNormal="85" workbookViewId="0">
      <selection activeCell="X22" sqref="X22"/>
    </sheetView>
  </sheetViews>
  <sheetFormatPr baseColWidth="10" defaultColWidth="8.83203125" defaultRowHeight="15" x14ac:dyDescent="0.2"/>
  <cols>
    <col min="1" max="16384" width="8.83203125" style="8"/>
  </cols>
  <sheetData>
    <row r="12" spans="4:17" ht="14.5" customHeight="1" x14ac:dyDescent="0.2">
      <c r="D12" s="103" t="s">
        <v>121</v>
      </c>
      <c r="E12" s="103"/>
      <c r="F12" s="103"/>
      <c r="G12" s="103"/>
      <c r="H12" s="103"/>
      <c r="I12" s="103"/>
      <c r="J12" s="103"/>
      <c r="K12" s="103"/>
      <c r="L12" s="103"/>
      <c r="M12" s="103"/>
      <c r="N12" s="103"/>
      <c r="O12" s="103"/>
      <c r="P12" s="103"/>
      <c r="Q12" s="103"/>
    </row>
    <row r="13" spans="4:17" ht="26" customHeight="1" x14ac:dyDescent="0.2">
      <c r="D13" s="103"/>
      <c r="E13" s="103"/>
      <c r="F13" s="103"/>
      <c r="G13" s="103"/>
      <c r="H13" s="103"/>
      <c r="I13" s="103"/>
      <c r="J13" s="103"/>
      <c r="K13" s="103"/>
      <c r="L13" s="103"/>
      <c r="M13" s="103"/>
      <c r="N13" s="103"/>
      <c r="O13" s="103"/>
      <c r="P13" s="103"/>
      <c r="Q13" s="103"/>
    </row>
    <row r="14" spans="4:17" ht="14.5" customHeight="1" x14ac:dyDescent="0.2">
      <c r="D14" s="105" t="s">
        <v>168</v>
      </c>
      <c r="E14" s="105"/>
      <c r="F14" s="105"/>
      <c r="G14" s="105"/>
      <c r="H14" s="105"/>
      <c r="I14" s="105"/>
      <c r="J14" s="105"/>
      <c r="K14" s="105"/>
      <c r="L14" s="105"/>
      <c r="M14" s="105"/>
      <c r="N14" s="105"/>
      <c r="O14" s="105"/>
      <c r="P14" s="105"/>
      <c r="Q14" s="105"/>
    </row>
    <row r="15" spans="4:17" x14ac:dyDescent="0.2">
      <c r="D15" s="105"/>
      <c r="E15" s="105"/>
      <c r="F15" s="105"/>
      <c r="G15" s="105"/>
      <c r="H15" s="105"/>
      <c r="I15" s="105"/>
      <c r="J15" s="105"/>
      <c r="K15" s="105"/>
      <c r="L15" s="105"/>
      <c r="M15" s="105"/>
      <c r="N15" s="105"/>
      <c r="O15" s="105"/>
      <c r="P15" s="105"/>
      <c r="Q15" s="105"/>
    </row>
    <row r="16" spans="4:17" x14ac:dyDescent="0.2">
      <c r="D16" s="105" t="s">
        <v>169</v>
      </c>
      <c r="E16" s="105"/>
      <c r="F16" s="105"/>
      <c r="G16" s="105"/>
      <c r="H16" s="105"/>
      <c r="I16" s="105"/>
      <c r="J16" s="105"/>
      <c r="K16" s="105"/>
      <c r="L16" s="105"/>
      <c r="M16" s="105"/>
      <c r="N16" s="105"/>
      <c r="O16" s="105"/>
      <c r="P16" s="105"/>
      <c r="Q16" s="105"/>
    </row>
    <row r="17" spans="2:21" ht="14.5" customHeight="1" x14ac:dyDescent="0.2">
      <c r="D17" s="105"/>
      <c r="E17" s="105"/>
      <c r="F17" s="105"/>
      <c r="G17" s="105"/>
      <c r="H17" s="105"/>
      <c r="I17" s="105"/>
      <c r="J17" s="105"/>
      <c r="K17" s="105"/>
      <c r="L17" s="105"/>
      <c r="M17" s="105"/>
      <c r="N17" s="105"/>
      <c r="O17" s="105"/>
      <c r="P17" s="105"/>
      <c r="Q17" s="105"/>
    </row>
    <row r="18" spans="2:21" ht="14.5" customHeight="1" x14ac:dyDescent="0.2"/>
    <row r="20" spans="2:21" ht="6.75" customHeight="1" thickBot="1" x14ac:dyDescent="0.25"/>
    <row r="21" spans="2:21" ht="16" hidden="1" thickBot="1" x14ac:dyDescent="0.25"/>
    <row r="22" spans="2:21" ht="409" customHeight="1" x14ac:dyDescent="0.2">
      <c r="B22" s="106" t="s">
        <v>170</v>
      </c>
      <c r="C22" s="107"/>
      <c r="D22" s="107"/>
      <c r="E22" s="107"/>
      <c r="F22" s="107"/>
      <c r="G22" s="107"/>
      <c r="H22" s="107"/>
      <c r="I22" s="107"/>
      <c r="J22" s="107"/>
      <c r="K22" s="107"/>
      <c r="L22" s="107"/>
      <c r="M22" s="107"/>
      <c r="N22" s="107"/>
      <c r="O22" s="107"/>
      <c r="P22" s="107"/>
      <c r="Q22" s="107"/>
      <c r="R22" s="107"/>
      <c r="S22" s="107"/>
      <c r="T22" s="107"/>
      <c r="U22" s="108"/>
    </row>
    <row r="23" spans="2:21" ht="325.5" customHeight="1" thickBot="1" x14ac:dyDescent="0.25">
      <c r="B23" s="109"/>
      <c r="C23" s="110"/>
      <c r="D23" s="110"/>
      <c r="E23" s="110"/>
      <c r="F23" s="110"/>
      <c r="G23" s="110"/>
      <c r="H23" s="110"/>
      <c r="I23" s="110"/>
      <c r="J23" s="110"/>
      <c r="K23" s="110"/>
      <c r="L23" s="110"/>
      <c r="M23" s="110"/>
      <c r="N23" s="110"/>
      <c r="O23" s="110"/>
      <c r="P23" s="110"/>
      <c r="Q23" s="110"/>
      <c r="R23" s="110"/>
      <c r="S23" s="110"/>
      <c r="T23" s="110"/>
      <c r="U23" s="111"/>
    </row>
    <row r="33" spans="4:17" x14ac:dyDescent="0.2">
      <c r="D33" s="104"/>
      <c r="E33" s="104"/>
      <c r="F33" s="104"/>
      <c r="G33" s="104"/>
      <c r="H33" s="104"/>
      <c r="I33" s="104"/>
      <c r="J33" s="104"/>
      <c r="K33" s="104"/>
      <c r="L33" s="104"/>
      <c r="M33" s="104"/>
      <c r="N33" s="104"/>
      <c r="O33" s="104"/>
      <c r="P33" s="104"/>
      <c r="Q33" s="104"/>
    </row>
    <row r="34" spans="4:17" x14ac:dyDescent="0.2">
      <c r="D34" s="104"/>
      <c r="E34" s="104"/>
      <c r="F34" s="104"/>
      <c r="G34" s="104"/>
      <c r="H34" s="104"/>
      <c r="I34" s="104"/>
      <c r="J34" s="104"/>
      <c r="K34" s="104"/>
      <c r="L34" s="104"/>
      <c r="M34" s="104"/>
      <c r="N34" s="104"/>
      <c r="O34" s="104"/>
      <c r="P34" s="104"/>
      <c r="Q34" s="104"/>
    </row>
    <row r="35" spans="4:17" x14ac:dyDescent="0.2">
      <c r="D35" s="104"/>
      <c r="E35" s="104"/>
      <c r="F35" s="104"/>
      <c r="G35" s="104"/>
      <c r="H35" s="104"/>
      <c r="I35" s="104"/>
      <c r="J35" s="104"/>
      <c r="K35" s="104"/>
      <c r="L35" s="104"/>
      <c r="M35" s="104"/>
      <c r="N35" s="104"/>
      <c r="O35" s="104"/>
      <c r="P35" s="104"/>
      <c r="Q35" s="104"/>
    </row>
    <row r="36" spans="4:17" x14ac:dyDescent="0.2">
      <c r="D36" s="104"/>
      <c r="E36" s="104"/>
      <c r="F36" s="104"/>
      <c r="G36" s="104"/>
      <c r="H36" s="104"/>
      <c r="I36" s="104"/>
      <c r="J36" s="104"/>
      <c r="K36" s="104"/>
      <c r="L36" s="104"/>
      <c r="M36" s="104"/>
      <c r="N36" s="104"/>
      <c r="O36" s="104"/>
      <c r="P36" s="104"/>
      <c r="Q36" s="104"/>
    </row>
  </sheetData>
  <mergeCells count="6">
    <mergeCell ref="D12:Q13"/>
    <mergeCell ref="D33:Q34"/>
    <mergeCell ref="D35:Q36"/>
    <mergeCell ref="D14:Q15"/>
    <mergeCell ref="D16:Q17"/>
    <mergeCell ref="B22:U23"/>
  </mergeCells>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6B476F-14F6-42CD-926F-06CD88DD22CB}">
  <dimension ref="A1:W792"/>
  <sheetViews>
    <sheetView zoomScale="150" zoomScaleNormal="145" workbookViewId="0">
      <selection activeCell="G12" sqref="G12"/>
    </sheetView>
  </sheetViews>
  <sheetFormatPr baseColWidth="10" defaultColWidth="8.83203125" defaultRowHeight="15" x14ac:dyDescent="0.2"/>
  <cols>
    <col min="1" max="1" width="21.1640625" customWidth="1"/>
    <col min="2" max="2" width="28" customWidth="1"/>
    <col min="3" max="4" width="18.83203125" customWidth="1"/>
    <col min="5" max="5" width="15.5" customWidth="1"/>
    <col min="6" max="6" width="18.83203125" customWidth="1"/>
    <col min="7" max="7" width="15.5" customWidth="1"/>
    <col min="11" max="11" width="25.33203125" customWidth="1"/>
    <col min="12" max="12" width="14" customWidth="1"/>
    <col min="13" max="13" width="13.6640625" customWidth="1"/>
    <col min="14" max="14" width="17.33203125" customWidth="1"/>
    <col min="15" max="15" width="15.83203125" bestFit="1" customWidth="1"/>
    <col min="16" max="16" width="12.5" customWidth="1"/>
    <col min="17" max="17" width="15.83203125" bestFit="1" customWidth="1"/>
    <col min="46" max="46" width="21.83203125" customWidth="1"/>
    <col min="47" max="47" width="15.5" customWidth="1"/>
    <col min="48" max="48" width="8.5" customWidth="1"/>
  </cols>
  <sheetData>
    <row r="1" spans="1:23" ht="16" thickBot="1" x14ac:dyDescent="0.25">
      <c r="H1" s="8"/>
      <c r="I1" s="8"/>
      <c r="J1" s="8"/>
      <c r="K1" s="8"/>
      <c r="L1" s="8"/>
      <c r="M1" s="8"/>
      <c r="N1" s="8"/>
      <c r="O1" s="8"/>
      <c r="P1" s="8"/>
      <c r="Q1" s="8"/>
      <c r="R1" s="8"/>
      <c r="S1" s="8"/>
      <c r="T1" s="8"/>
      <c r="U1" s="8"/>
      <c r="V1" s="8"/>
    </row>
    <row r="2" spans="1:23" ht="16" x14ac:dyDescent="0.2">
      <c r="A2" s="48" t="s">
        <v>5</v>
      </c>
      <c r="B2" s="46" t="s">
        <v>71</v>
      </c>
      <c r="H2" s="8"/>
      <c r="I2" s="8"/>
      <c r="J2" s="8"/>
      <c r="K2" s="8"/>
      <c r="L2" s="8"/>
      <c r="M2" s="8"/>
      <c r="N2" s="8"/>
      <c r="O2" s="8"/>
      <c r="P2" s="8"/>
      <c r="Q2" s="8"/>
      <c r="R2" s="8"/>
      <c r="S2" s="8"/>
      <c r="T2" s="8"/>
      <c r="U2" s="8"/>
      <c r="V2" s="8"/>
    </row>
    <row r="3" spans="1:23" ht="17" thickBot="1" x14ac:dyDescent="0.25">
      <c r="A3" s="49" t="s">
        <v>125</v>
      </c>
      <c r="B3" s="47" t="s">
        <v>126</v>
      </c>
      <c r="H3" s="8"/>
      <c r="I3" s="8"/>
      <c r="J3" s="8"/>
      <c r="K3" s="8"/>
      <c r="L3" s="8"/>
      <c r="M3" s="8"/>
      <c r="N3" s="8"/>
      <c r="O3" s="8"/>
      <c r="P3" s="8"/>
      <c r="Q3" s="8"/>
      <c r="R3" s="8"/>
      <c r="S3" s="8"/>
      <c r="T3" s="8"/>
      <c r="U3" s="8"/>
      <c r="V3" s="8"/>
    </row>
    <row r="4" spans="1:23" ht="16" thickBot="1" x14ac:dyDescent="0.25">
      <c r="H4" s="8"/>
      <c r="I4" s="8"/>
      <c r="J4" s="8"/>
      <c r="K4" s="8"/>
      <c r="L4" s="8"/>
      <c r="M4" s="8"/>
      <c r="N4" s="8"/>
      <c r="O4" s="8"/>
      <c r="P4" s="8"/>
      <c r="Q4" s="8"/>
      <c r="R4" s="8"/>
      <c r="S4" s="8"/>
      <c r="T4" s="8"/>
      <c r="U4" s="8"/>
      <c r="V4" s="8"/>
    </row>
    <row r="5" spans="1:23" ht="30.75" customHeight="1" thickBot="1" x14ac:dyDescent="0.25">
      <c r="A5" s="112" t="s">
        <v>128</v>
      </c>
      <c r="B5" s="113"/>
      <c r="C5" s="113"/>
      <c r="D5" s="113"/>
      <c r="E5" s="113"/>
      <c r="F5" s="113"/>
      <c r="G5" s="114"/>
      <c r="H5" s="8"/>
      <c r="I5" s="8"/>
      <c r="J5" s="8"/>
      <c r="K5" s="8"/>
      <c r="L5" s="8"/>
      <c r="M5" s="8"/>
      <c r="N5" s="8"/>
      <c r="O5" s="8"/>
      <c r="P5" s="8"/>
      <c r="Q5" s="8"/>
      <c r="R5" s="8"/>
      <c r="S5" s="8"/>
      <c r="T5" s="8"/>
      <c r="U5" s="8"/>
      <c r="V5" s="8"/>
    </row>
    <row r="6" spans="1:23" ht="59.5" customHeight="1" x14ac:dyDescent="0.2">
      <c r="A6" s="96" t="s">
        <v>117</v>
      </c>
      <c r="B6" s="16" t="s">
        <v>95</v>
      </c>
      <c r="C6" s="16" t="s">
        <v>131</v>
      </c>
      <c r="D6" s="16" t="s">
        <v>4</v>
      </c>
      <c r="E6" s="16" t="s">
        <v>59</v>
      </c>
      <c r="F6" s="16" t="s">
        <v>145</v>
      </c>
      <c r="G6" s="97" t="s">
        <v>146</v>
      </c>
      <c r="H6" s="8"/>
      <c r="I6" s="8"/>
      <c r="J6" s="8"/>
      <c r="K6" s="8"/>
      <c r="L6" s="8"/>
      <c r="M6" s="8"/>
      <c r="N6" s="8"/>
      <c r="O6" s="8"/>
      <c r="P6" s="8"/>
      <c r="Q6" s="8"/>
      <c r="R6" s="8"/>
      <c r="S6" s="8"/>
      <c r="T6" s="8"/>
      <c r="U6" s="8"/>
      <c r="V6" s="8"/>
      <c r="W6" s="8"/>
    </row>
    <row r="7" spans="1:23" x14ac:dyDescent="0.2">
      <c r="A7" s="55">
        <f>IF(B7&lt;&gt;"",COUNTA($B$7:B7),"")</f>
        <v>1</v>
      </c>
      <c r="B7" s="14" t="s">
        <v>81</v>
      </c>
      <c r="C7" s="14" t="s">
        <v>86</v>
      </c>
      <c r="D7" s="14" t="s">
        <v>0</v>
      </c>
      <c r="E7" s="14" t="s">
        <v>67</v>
      </c>
      <c r="F7" s="14">
        <v>450000</v>
      </c>
      <c r="G7" s="98"/>
      <c r="H7" s="8"/>
      <c r="I7" s="8"/>
      <c r="J7" s="8"/>
      <c r="K7" s="8"/>
      <c r="L7" s="8"/>
      <c r="M7" s="8"/>
      <c r="N7" s="8"/>
      <c r="O7" s="8"/>
      <c r="P7" s="8"/>
      <c r="Q7" s="8"/>
      <c r="R7" s="8"/>
      <c r="S7" s="8"/>
      <c r="T7" s="8"/>
      <c r="U7" s="8"/>
      <c r="V7" s="8"/>
      <c r="W7" s="8"/>
    </row>
    <row r="8" spans="1:23" x14ac:dyDescent="0.2">
      <c r="A8" s="55">
        <f>IF(B8&lt;&gt;"",COUNTA($B$7:B8),"")</f>
        <v>2</v>
      </c>
      <c r="B8" s="14" t="s">
        <v>105</v>
      </c>
      <c r="C8" s="14" t="s">
        <v>86</v>
      </c>
      <c r="D8" s="14" t="s">
        <v>0</v>
      </c>
      <c r="E8" s="14" t="s">
        <v>67</v>
      </c>
      <c r="F8" s="14">
        <v>300000</v>
      </c>
      <c r="G8" s="98">
        <v>30000</v>
      </c>
      <c r="H8" s="8"/>
      <c r="I8" s="8"/>
      <c r="J8" s="8"/>
      <c r="K8" s="8"/>
      <c r="L8" s="8"/>
      <c r="M8" s="8"/>
      <c r="N8" s="8"/>
      <c r="O8" s="8"/>
      <c r="P8" s="8"/>
      <c r="Q8" s="8"/>
      <c r="R8" s="8"/>
      <c r="S8" s="8"/>
      <c r="T8" s="8"/>
      <c r="U8" s="8"/>
      <c r="V8" s="8"/>
      <c r="W8" s="8"/>
    </row>
    <row r="9" spans="1:23" x14ac:dyDescent="0.2">
      <c r="A9" s="55">
        <f>IF(B9&lt;&gt;"",COUNTA($B$7:B9),"")</f>
        <v>3</v>
      </c>
      <c r="B9" s="14" t="s">
        <v>101</v>
      </c>
      <c r="C9" s="14" t="s">
        <v>86</v>
      </c>
      <c r="D9" s="14" t="s">
        <v>0</v>
      </c>
      <c r="E9" s="14" t="s">
        <v>67</v>
      </c>
      <c r="F9" s="14">
        <v>100000</v>
      </c>
      <c r="G9" s="98"/>
      <c r="H9" s="8"/>
      <c r="I9" s="8"/>
      <c r="J9" s="8"/>
      <c r="K9" s="8"/>
      <c r="L9" s="8"/>
      <c r="M9" s="8"/>
      <c r="N9" s="8"/>
      <c r="O9" s="8"/>
      <c r="P9" s="8"/>
      <c r="Q9" s="8"/>
      <c r="R9" s="8"/>
      <c r="S9" s="8"/>
      <c r="T9" s="8"/>
      <c r="U9" s="8"/>
      <c r="V9" s="8"/>
      <c r="W9" s="8"/>
    </row>
    <row r="10" spans="1:23" x14ac:dyDescent="0.2">
      <c r="A10" s="55">
        <f>IF(B10&lt;&gt;"",COUNTA($B$7:B10),"")</f>
        <v>4</v>
      </c>
      <c r="B10" s="14" t="s">
        <v>100</v>
      </c>
      <c r="C10" s="14" t="s">
        <v>86</v>
      </c>
      <c r="D10" s="14" t="s">
        <v>0</v>
      </c>
      <c r="E10" s="14" t="s">
        <v>67</v>
      </c>
      <c r="F10" s="14">
        <v>150000</v>
      </c>
      <c r="G10" s="98">
        <v>50000</v>
      </c>
      <c r="H10" s="8"/>
      <c r="I10" s="8"/>
      <c r="J10" s="8"/>
      <c r="K10" s="8"/>
      <c r="L10" s="8"/>
      <c r="M10" s="8"/>
      <c r="N10" s="8"/>
      <c r="O10" s="8"/>
      <c r="P10" s="8"/>
      <c r="Q10" s="8"/>
      <c r="R10" s="8"/>
      <c r="S10" s="8"/>
      <c r="T10" s="8"/>
      <c r="U10" s="8"/>
      <c r="V10" s="8"/>
      <c r="W10" s="8"/>
    </row>
    <row r="11" spans="1:23" x14ac:dyDescent="0.2">
      <c r="A11" s="55">
        <f>IF(B11&lt;&gt;"",COUNTA($B$7:B11),"")</f>
        <v>5</v>
      </c>
      <c r="B11" s="14" t="s">
        <v>116</v>
      </c>
      <c r="C11" s="14" t="s">
        <v>86</v>
      </c>
      <c r="D11" s="14" t="s">
        <v>1</v>
      </c>
      <c r="E11" s="14" t="s">
        <v>68</v>
      </c>
      <c r="F11" s="14">
        <v>5400</v>
      </c>
      <c r="G11" s="98">
        <v>750</v>
      </c>
      <c r="H11" s="8"/>
      <c r="I11" s="8"/>
      <c r="J11" s="8"/>
      <c r="K11" s="8"/>
      <c r="L11" s="8"/>
      <c r="M11" s="8"/>
      <c r="N11" s="8"/>
      <c r="O11" s="8"/>
      <c r="P11" s="8"/>
      <c r="Q11" s="8"/>
      <c r="R11" s="8"/>
      <c r="S11" s="8"/>
      <c r="T11" s="8"/>
      <c r="U11" s="8"/>
      <c r="V11" s="8"/>
      <c r="W11" s="8"/>
    </row>
    <row r="12" spans="1:23" x14ac:dyDescent="0.2">
      <c r="A12" s="55">
        <f>IF(B12&lt;&gt;"",COUNTA($B$7:B12),"")</f>
        <v>6</v>
      </c>
      <c r="B12" s="14" t="s">
        <v>6</v>
      </c>
      <c r="C12" s="14" t="s">
        <v>86</v>
      </c>
      <c r="D12" s="14" t="s">
        <v>1</v>
      </c>
      <c r="E12" s="14" t="s">
        <v>68</v>
      </c>
      <c r="F12" s="14">
        <v>2000</v>
      </c>
      <c r="G12" s="98"/>
      <c r="H12" s="8"/>
      <c r="I12" s="8"/>
      <c r="J12" s="8"/>
      <c r="K12" s="8"/>
      <c r="L12" s="8"/>
      <c r="M12" s="8"/>
      <c r="N12" s="8"/>
      <c r="O12" s="8"/>
      <c r="P12" s="8"/>
      <c r="Q12" s="8"/>
      <c r="R12" s="8"/>
      <c r="S12" s="8"/>
      <c r="T12" s="8"/>
      <c r="U12" s="8"/>
      <c r="V12" s="8"/>
      <c r="W12" s="8"/>
    </row>
    <row r="13" spans="1:23" x14ac:dyDescent="0.2">
      <c r="A13" s="55">
        <f>IF(B13&lt;&gt;"",COUNTA($B$7:B13),"")</f>
        <v>7</v>
      </c>
      <c r="B13" s="14" t="s">
        <v>80</v>
      </c>
      <c r="C13" s="14" t="s">
        <v>86</v>
      </c>
      <c r="D13" s="14" t="s">
        <v>1</v>
      </c>
      <c r="E13" s="14" t="s">
        <v>68</v>
      </c>
      <c r="F13" s="14">
        <v>1000</v>
      </c>
      <c r="G13" s="98">
        <v>200</v>
      </c>
      <c r="H13" s="8"/>
      <c r="I13" s="8"/>
      <c r="J13" s="8"/>
      <c r="K13" s="8"/>
      <c r="L13" s="8"/>
      <c r="M13" s="8"/>
      <c r="N13" s="8"/>
      <c r="O13" s="8"/>
      <c r="P13" s="8"/>
      <c r="Q13" s="8"/>
      <c r="R13" s="8"/>
      <c r="S13" s="8"/>
      <c r="T13" s="8"/>
      <c r="U13" s="8"/>
      <c r="V13" s="8"/>
      <c r="W13" s="8"/>
    </row>
    <row r="14" spans="1:23" x14ac:dyDescent="0.2">
      <c r="A14" s="55">
        <f>IF(B14&lt;&gt;"",COUNTA($B$7:B14),"")</f>
        <v>8</v>
      </c>
      <c r="B14" s="14" t="s">
        <v>82</v>
      </c>
      <c r="C14" s="14" t="s">
        <v>86</v>
      </c>
      <c r="D14" s="14" t="s">
        <v>66</v>
      </c>
      <c r="E14" s="14" t="s">
        <v>97</v>
      </c>
      <c r="F14" s="14">
        <v>1000</v>
      </c>
      <c r="G14" s="98"/>
      <c r="H14" s="8"/>
      <c r="I14" s="8"/>
      <c r="J14" s="8"/>
      <c r="K14" s="8"/>
      <c r="L14" s="8"/>
      <c r="M14" s="8"/>
      <c r="N14" s="8"/>
      <c r="O14" s="8"/>
      <c r="P14" s="8"/>
      <c r="Q14" s="8"/>
      <c r="R14" s="8"/>
      <c r="S14" s="8"/>
      <c r="T14" s="8"/>
      <c r="U14" s="8"/>
      <c r="V14" s="8"/>
      <c r="W14" s="8"/>
    </row>
    <row r="15" spans="1:23" x14ac:dyDescent="0.2">
      <c r="A15" s="55" t="str">
        <f>IF(B15&lt;&gt;"",COUNTA($B$7:B15),"")</f>
        <v/>
      </c>
      <c r="B15" s="14"/>
      <c r="C15" s="14"/>
      <c r="D15" s="14"/>
      <c r="E15" s="14"/>
      <c r="F15" s="14"/>
      <c r="G15" s="98"/>
      <c r="H15" s="8"/>
      <c r="I15" s="8"/>
      <c r="J15" s="8"/>
      <c r="K15" s="8"/>
      <c r="L15" s="8"/>
      <c r="M15" s="8"/>
      <c r="N15" s="8"/>
      <c r="O15" s="8"/>
      <c r="P15" s="8"/>
      <c r="Q15" s="8"/>
      <c r="R15" s="8"/>
      <c r="S15" s="8"/>
      <c r="T15" s="8"/>
      <c r="U15" s="8"/>
      <c r="V15" s="8"/>
      <c r="W15" s="8"/>
    </row>
    <row r="16" spans="1:23" x14ac:dyDescent="0.2">
      <c r="A16" s="55" t="str">
        <f>IF(B16&lt;&gt;"",COUNTA($B$7:B16),"")</f>
        <v/>
      </c>
      <c r="B16" s="14"/>
      <c r="C16" s="14"/>
      <c r="D16" s="14"/>
      <c r="E16" s="14"/>
      <c r="F16" s="14"/>
      <c r="G16" s="98"/>
      <c r="H16" s="8"/>
      <c r="I16" s="8"/>
      <c r="J16" s="8"/>
      <c r="K16" s="8"/>
      <c r="L16" s="8"/>
      <c r="M16" s="8"/>
      <c r="N16" s="8"/>
      <c r="O16" s="8"/>
      <c r="P16" s="8"/>
      <c r="Q16" s="8"/>
      <c r="R16" s="8"/>
      <c r="S16" s="8"/>
      <c r="T16" s="8"/>
      <c r="U16" s="8"/>
      <c r="V16" s="8"/>
      <c r="W16" s="8"/>
    </row>
    <row r="17" spans="1:23" x14ac:dyDescent="0.2">
      <c r="A17" s="55" t="str">
        <f>IF(B17&lt;&gt;"",COUNTA($B$7:B17),"")</f>
        <v/>
      </c>
      <c r="B17" s="14"/>
      <c r="C17" s="14"/>
      <c r="D17" s="14"/>
      <c r="E17" s="14"/>
      <c r="F17" s="14"/>
      <c r="G17" s="98"/>
      <c r="H17" s="8"/>
      <c r="I17" s="8"/>
      <c r="J17" s="8"/>
      <c r="K17" s="8"/>
      <c r="L17" s="8"/>
      <c r="M17" s="8"/>
      <c r="N17" s="8"/>
      <c r="O17" s="8"/>
      <c r="P17" s="8"/>
      <c r="Q17" s="8"/>
      <c r="R17" s="8"/>
      <c r="S17" s="8"/>
      <c r="T17" s="8"/>
      <c r="U17" s="8"/>
      <c r="V17" s="8"/>
      <c r="W17" s="8"/>
    </row>
    <row r="18" spans="1:23" x14ac:dyDescent="0.2">
      <c r="A18" s="55" t="str">
        <f>IF(B18&lt;&gt;"",COUNTA($B$7:B18),"")</f>
        <v/>
      </c>
      <c r="B18" s="14"/>
      <c r="C18" s="14"/>
      <c r="D18" s="14"/>
      <c r="E18" s="14"/>
      <c r="F18" s="14"/>
      <c r="G18" s="98"/>
      <c r="H18" s="8"/>
      <c r="I18" s="8"/>
      <c r="J18" s="8"/>
      <c r="K18" s="8"/>
      <c r="L18" s="8"/>
      <c r="M18" s="8"/>
      <c r="N18" s="8"/>
      <c r="O18" s="8"/>
      <c r="P18" s="8"/>
      <c r="Q18" s="8"/>
      <c r="R18" s="8"/>
      <c r="S18" s="8"/>
      <c r="T18" s="8"/>
      <c r="U18" s="8"/>
      <c r="V18" s="8"/>
      <c r="W18" s="8"/>
    </row>
    <row r="19" spans="1:23" x14ac:dyDescent="0.2">
      <c r="A19" s="55" t="str">
        <f>IF(B19&lt;&gt;"",COUNTA($B$7:B19),"")</f>
        <v/>
      </c>
      <c r="B19" s="14"/>
      <c r="C19" s="14"/>
      <c r="D19" s="14"/>
      <c r="E19" s="14"/>
      <c r="F19" s="14"/>
      <c r="G19" s="98"/>
      <c r="H19" s="8"/>
      <c r="I19" s="8"/>
      <c r="J19" s="8"/>
      <c r="K19" s="8"/>
      <c r="L19" s="8"/>
      <c r="M19" s="8"/>
      <c r="N19" s="8"/>
      <c r="O19" s="8"/>
      <c r="P19" s="8"/>
      <c r="Q19" s="8"/>
      <c r="R19" s="8"/>
      <c r="S19" s="8"/>
      <c r="T19" s="8"/>
      <c r="U19" s="8"/>
      <c r="V19" s="8"/>
      <c r="W19" s="8"/>
    </row>
    <row r="20" spans="1:23" x14ac:dyDescent="0.2">
      <c r="A20" s="55" t="str">
        <f>IF(B20&lt;&gt;"",COUNTA($B$7:B20),"")</f>
        <v/>
      </c>
      <c r="B20" s="14"/>
      <c r="C20" s="14"/>
      <c r="D20" s="14"/>
      <c r="E20" s="14"/>
      <c r="F20" s="14"/>
      <c r="G20" s="98"/>
      <c r="H20" s="8"/>
      <c r="I20" s="8"/>
      <c r="J20" s="8"/>
      <c r="K20" s="8"/>
      <c r="L20" s="8"/>
      <c r="M20" s="8"/>
      <c r="N20" s="8"/>
      <c r="O20" s="8"/>
      <c r="P20" s="8"/>
      <c r="Q20" s="8"/>
      <c r="R20" s="8"/>
      <c r="S20" s="8"/>
      <c r="T20" s="8"/>
      <c r="U20" s="8"/>
      <c r="V20" s="8"/>
      <c r="W20" s="8"/>
    </row>
    <row r="21" spans="1:23" x14ac:dyDescent="0.2">
      <c r="A21" s="55" t="str">
        <f>IF(B21&lt;&gt;"",COUNTA($B$7:B21),"")</f>
        <v/>
      </c>
      <c r="B21" s="14"/>
      <c r="C21" s="14"/>
      <c r="D21" s="14"/>
      <c r="E21" s="14"/>
      <c r="F21" s="14"/>
      <c r="G21" s="98"/>
      <c r="H21" s="8"/>
      <c r="I21" s="8"/>
      <c r="J21" s="8"/>
      <c r="K21" s="8"/>
      <c r="L21" s="8"/>
      <c r="M21" s="8"/>
      <c r="N21" s="8"/>
      <c r="O21" s="8"/>
      <c r="P21" s="8"/>
      <c r="Q21" s="8"/>
      <c r="R21" s="8"/>
      <c r="S21" s="8"/>
      <c r="T21" s="8"/>
      <c r="U21" s="8"/>
      <c r="V21" s="8"/>
      <c r="W21" s="8"/>
    </row>
    <row r="22" spans="1:23" x14ac:dyDescent="0.2">
      <c r="A22" s="55" t="str">
        <f>IF(B22&lt;&gt;"",COUNTA($B$7:B22),"")</f>
        <v/>
      </c>
      <c r="B22" s="14"/>
      <c r="C22" s="14"/>
      <c r="D22" s="14"/>
      <c r="E22" s="14"/>
      <c r="F22" s="14"/>
      <c r="G22" s="98"/>
      <c r="H22" s="8"/>
      <c r="I22" s="8"/>
      <c r="J22" s="8"/>
      <c r="K22" s="8"/>
      <c r="L22" s="8"/>
      <c r="M22" s="8"/>
      <c r="N22" s="8"/>
      <c r="O22" s="8"/>
      <c r="P22" s="8"/>
      <c r="Q22" s="8"/>
      <c r="R22" s="8"/>
      <c r="S22" s="8"/>
      <c r="T22" s="8"/>
      <c r="U22" s="8"/>
      <c r="V22" s="8"/>
      <c r="W22" s="8"/>
    </row>
    <row r="23" spans="1:23" x14ac:dyDescent="0.2">
      <c r="A23" s="55" t="str">
        <f>IF(B23&lt;&gt;"",COUNTA($B$7:B23),"")</f>
        <v/>
      </c>
      <c r="B23" s="14"/>
      <c r="C23" s="14"/>
      <c r="D23" s="14"/>
      <c r="E23" s="14"/>
      <c r="F23" s="14"/>
      <c r="G23" s="98"/>
      <c r="H23" s="8"/>
      <c r="I23" s="8"/>
      <c r="J23" s="8"/>
      <c r="K23" s="8"/>
      <c r="L23" s="8"/>
      <c r="M23" s="8"/>
      <c r="N23" s="8"/>
      <c r="O23" s="8"/>
      <c r="P23" s="8"/>
      <c r="Q23" s="8"/>
      <c r="R23" s="8"/>
      <c r="S23" s="8"/>
      <c r="T23" s="8"/>
      <c r="U23" s="8"/>
      <c r="V23" s="8"/>
      <c r="W23" s="8"/>
    </row>
    <row r="24" spans="1:23" x14ac:dyDescent="0.2">
      <c r="A24" s="55" t="str">
        <f>IF(B24&lt;&gt;"",COUNTA($B$7:B24),"")</f>
        <v/>
      </c>
      <c r="B24" s="14"/>
      <c r="C24" s="14"/>
      <c r="D24" s="14"/>
      <c r="E24" s="14"/>
      <c r="F24" s="14"/>
      <c r="G24" s="98"/>
      <c r="H24" s="8"/>
      <c r="I24" s="8"/>
      <c r="J24" s="8"/>
      <c r="K24" s="8"/>
      <c r="L24" s="8"/>
      <c r="M24" s="8"/>
      <c r="N24" s="8"/>
      <c r="O24" s="8"/>
      <c r="P24" s="8"/>
      <c r="Q24" s="8"/>
      <c r="R24" s="8"/>
      <c r="S24" s="8"/>
      <c r="T24" s="8"/>
      <c r="U24" s="8"/>
      <c r="V24" s="8"/>
      <c r="W24" s="8"/>
    </row>
    <row r="25" spans="1:23" x14ac:dyDescent="0.2">
      <c r="A25" s="55" t="str">
        <f>IF(B25&lt;&gt;"",COUNTA($B$7:B25),"")</f>
        <v/>
      </c>
      <c r="B25" s="14"/>
      <c r="C25" s="14"/>
      <c r="D25" s="14"/>
      <c r="E25" s="14"/>
      <c r="F25" s="14"/>
      <c r="G25" s="98"/>
      <c r="H25" s="8"/>
      <c r="I25" s="8"/>
      <c r="J25" s="8"/>
      <c r="K25" s="8"/>
      <c r="L25" s="8"/>
      <c r="M25" s="8"/>
      <c r="N25" s="8"/>
      <c r="O25" s="8"/>
      <c r="P25" s="8"/>
      <c r="Q25" s="8"/>
      <c r="R25" s="8"/>
      <c r="S25" s="8"/>
      <c r="T25" s="8"/>
      <c r="U25" s="8"/>
      <c r="V25" s="8"/>
      <c r="W25" s="8"/>
    </row>
    <row r="26" spans="1:23" x14ac:dyDescent="0.2">
      <c r="A26" s="55" t="str">
        <f>IF(B26&lt;&gt;"",COUNTA($B$7:B26),"")</f>
        <v/>
      </c>
      <c r="B26" s="14"/>
      <c r="C26" s="14"/>
      <c r="D26" s="14"/>
      <c r="E26" s="14"/>
      <c r="F26" s="14"/>
      <c r="G26" s="98"/>
      <c r="H26" s="8"/>
      <c r="I26" s="8"/>
      <c r="J26" s="8"/>
      <c r="K26" s="8"/>
      <c r="L26" s="8"/>
      <c r="M26" s="8"/>
      <c r="N26" s="8"/>
      <c r="O26" s="8"/>
      <c r="P26" s="8"/>
      <c r="Q26" s="8"/>
      <c r="R26" s="8"/>
      <c r="S26" s="8"/>
      <c r="T26" s="8"/>
      <c r="U26" s="8"/>
      <c r="V26" s="8"/>
      <c r="W26" s="8"/>
    </row>
    <row r="27" spans="1:23" x14ac:dyDescent="0.2">
      <c r="A27" s="55" t="str">
        <f>IF(B27&lt;&gt;"",COUNTA($B$7:B27),"")</f>
        <v/>
      </c>
      <c r="B27" s="14"/>
      <c r="C27" s="14"/>
      <c r="D27" s="14"/>
      <c r="E27" s="14"/>
      <c r="F27" s="14"/>
      <c r="G27" s="98"/>
      <c r="H27" s="8"/>
      <c r="I27" s="8"/>
      <c r="J27" s="8"/>
      <c r="K27" s="8"/>
      <c r="L27" s="8"/>
      <c r="M27" s="8"/>
      <c r="N27" s="8"/>
      <c r="O27" s="8"/>
      <c r="P27" s="8"/>
      <c r="Q27" s="8"/>
      <c r="R27" s="8"/>
      <c r="S27" s="8"/>
      <c r="T27" s="8"/>
      <c r="U27" s="8"/>
      <c r="V27" s="8"/>
      <c r="W27" s="8"/>
    </row>
    <row r="28" spans="1:23" x14ac:dyDescent="0.2">
      <c r="A28" s="55" t="str">
        <f>IF(B28&lt;&gt;"",COUNTA($B$7:B28),"")</f>
        <v/>
      </c>
      <c r="B28" s="14"/>
      <c r="C28" s="14"/>
      <c r="D28" s="14"/>
      <c r="E28" s="14"/>
      <c r="F28" s="14"/>
      <c r="G28" s="98"/>
      <c r="H28" s="8"/>
      <c r="I28" s="8"/>
      <c r="J28" s="8"/>
      <c r="K28" s="8"/>
      <c r="L28" s="8"/>
      <c r="M28" s="8"/>
      <c r="N28" s="8"/>
      <c r="O28" s="8"/>
      <c r="P28" s="8"/>
      <c r="Q28" s="8"/>
      <c r="R28" s="8"/>
      <c r="S28" s="8"/>
      <c r="T28" s="8"/>
      <c r="U28" s="8"/>
      <c r="V28" s="8"/>
      <c r="W28" s="8"/>
    </row>
    <row r="29" spans="1:23" x14ac:dyDescent="0.2">
      <c r="A29" s="55" t="str">
        <f>IF(B29&lt;&gt;"",COUNTA($B$7:B29),"")</f>
        <v/>
      </c>
      <c r="B29" s="14"/>
      <c r="C29" s="14"/>
      <c r="D29" s="14"/>
      <c r="E29" s="14"/>
      <c r="F29" s="14"/>
      <c r="G29" s="98"/>
      <c r="H29" s="8"/>
      <c r="I29" s="8"/>
      <c r="J29" s="8"/>
      <c r="K29" s="8"/>
      <c r="L29" s="8"/>
      <c r="M29" s="8"/>
      <c r="N29" s="8"/>
      <c r="O29" s="8"/>
      <c r="P29" s="8"/>
      <c r="Q29" s="8"/>
      <c r="R29" s="8"/>
      <c r="S29" s="8"/>
      <c r="T29" s="8"/>
      <c r="U29" s="8"/>
      <c r="V29" s="8"/>
      <c r="W29" s="8"/>
    </row>
    <row r="30" spans="1:23" x14ac:dyDescent="0.2">
      <c r="A30" s="55" t="str">
        <f>IF(B30&lt;&gt;"",COUNTA($B$7:B30),"")</f>
        <v/>
      </c>
      <c r="B30" s="14"/>
      <c r="C30" s="14"/>
      <c r="D30" s="14"/>
      <c r="E30" s="14"/>
      <c r="F30" s="14"/>
      <c r="G30" s="98"/>
      <c r="H30" s="8"/>
      <c r="I30" s="8"/>
      <c r="J30" s="8"/>
      <c r="K30" s="8"/>
      <c r="L30" s="8"/>
      <c r="M30" s="8"/>
      <c r="N30" s="8"/>
      <c r="O30" s="8"/>
      <c r="P30" s="8"/>
      <c r="Q30" s="8"/>
      <c r="R30" s="8"/>
      <c r="S30" s="8"/>
      <c r="T30" s="8"/>
      <c r="U30" s="8"/>
      <c r="V30" s="8"/>
      <c r="W30" s="8"/>
    </row>
    <row r="31" spans="1:23" x14ac:dyDescent="0.2">
      <c r="A31" s="55" t="str">
        <f>IF(B31&lt;&gt;"",COUNTA($B$7:B31),"")</f>
        <v/>
      </c>
      <c r="B31" s="14"/>
      <c r="C31" s="14"/>
      <c r="D31" s="14"/>
      <c r="E31" s="14"/>
      <c r="F31" s="14"/>
      <c r="G31" s="98"/>
      <c r="H31" s="8"/>
      <c r="I31" s="8"/>
      <c r="J31" s="8"/>
      <c r="K31" s="8"/>
      <c r="L31" s="8"/>
      <c r="M31" s="8"/>
      <c r="N31" s="8"/>
      <c r="O31" s="8"/>
      <c r="P31" s="8"/>
      <c r="Q31" s="8"/>
      <c r="R31" s="8"/>
      <c r="S31" s="8"/>
      <c r="T31" s="8"/>
      <c r="U31" s="8"/>
      <c r="V31" s="8"/>
      <c r="W31" s="8"/>
    </row>
    <row r="32" spans="1:23" x14ac:dyDescent="0.2">
      <c r="A32" s="55" t="str">
        <f>IF(B32&lt;&gt;"",COUNTA($B$7:B32),"")</f>
        <v/>
      </c>
      <c r="B32" s="14"/>
      <c r="C32" s="14"/>
      <c r="D32" s="14"/>
      <c r="E32" s="14"/>
      <c r="F32" s="14"/>
      <c r="G32" s="98"/>
      <c r="H32" s="8"/>
      <c r="I32" s="8"/>
      <c r="J32" s="8"/>
      <c r="K32" s="8"/>
      <c r="L32" s="8"/>
      <c r="M32" s="8"/>
      <c r="N32" s="8"/>
      <c r="O32" s="8"/>
      <c r="P32" s="8"/>
      <c r="Q32" s="8"/>
      <c r="R32" s="8"/>
      <c r="S32" s="8"/>
      <c r="T32" s="8"/>
      <c r="U32" s="8"/>
      <c r="V32" s="8"/>
      <c r="W32" s="8"/>
    </row>
    <row r="33" spans="1:23" x14ac:dyDescent="0.2">
      <c r="A33" s="55" t="str">
        <f>IF(B33&lt;&gt;"",COUNTA($B$7:B33),"")</f>
        <v/>
      </c>
      <c r="B33" s="14"/>
      <c r="C33" s="14"/>
      <c r="D33" s="14"/>
      <c r="E33" s="14"/>
      <c r="F33" s="14"/>
      <c r="G33" s="98"/>
      <c r="H33" s="8"/>
      <c r="I33" s="8"/>
      <c r="J33" s="8"/>
      <c r="K33" s="8"/>
      <c r="L33" s="8"/>
      <c r="M33" s="8"/>
      <c r="N33" s="8"/>
      <c r="O33" s="8"/>
      <c r="P33" s="8"/>
      <c r="Q33" s="8"/>
      <c r="R33" s="8"/>
      <c r="S33" s="8"/>
      <c r="T33" s="8"/>
      <c r="U33" s="8"/>
      <c r="V33" s="8"/>
      <c r="W33" s="8"/>
    </row>
    <row r="34" spans="1:23" x14ac:dyDescent="0.2">
      <c r="A34" s="55" t="str">
        <f>IF(B34&lt;&gt;"",COUNTA($B$7:B34),"")</f>
        <v/>
      </c>
      <c r="B34" s="14"/>
      <c r="C34" s="14"/>
      <c r="D34" s="14"/>
      <c r="E34" s="14"/>
      <c r="F34" s="14"/>
      <c r="G34" s="98"/>
      <c r="H34" s="8"/>
      <c r="I34" s="8"/>
      <c r="J34" s="8"/>
      <c r="K34" s="8"/>
      <c r="L34" s="8"/>
      <c r="M34" s="8"/>
      <c r="N34" s="8"/>
      <c r="O34" s="8"/>
      <c r="P34" s="8"/>
      <c r="Q34" s="8"/>
      <c r="R34" s="8"/>
      <c r="S34" s="8"/>
      <c r="T34" s="8"/>
      <c r="U34" s="8"/>
      <c r="V34" s="8"/>
      <c r="W34" s="8"/>
    </row>
    <row r="35" spans="1:23" x14ac:dyDescent="0.2">
      <c r="A35" s="55" t="str">
        <f>IF(B35&lt;&gt;"",COUNTA($B$7:B35),"")</f>
        <v/>
      </c>
      <c r="B35" s="14"/>
      <c r="C35" s="14"/>
      <c r="D35" s="14"/>
      <c r="E35" s="14"/>
      <c r="F35" s="14"/>
      <c r="G35" s="98"/>
      <c r="H35" s="8"/>
      <c r="I35" s="8"/>
      <c r="J35" s="8"/>
      <c r="K35" s="8"/>
      <c r="L35" s="8"/>
      <c r="M35" s="8"/>
      <c r="N35" s="8"/>
      <c r="O35" s="8"/>
      <c r="P35" s="8"/>
      <c r="Q35" s="8"/>
      <c r="R35" s="8"/>
      <c r="S35" s="8"/>
      <c r="T35" s="8"/>
      <c r="U35" s="8"/>
      <c r="V35" s="8"/>
      <c r="W35" s="8"/>
    </row>
    <row r="36" spans="1:23" x14ac:dyDescent="0.2">
      <c r="A36" s="55" t="str">
        <f>IF(B36&lt;&gt;"",COUNTA($B$7:B36),"")</f>
        <v/>
      </c>
      <c r="B36" s="14"/>
      <c r="C36" s="14"/>
      <c r="D36" s="14"/>
      <c r="E36" s="14"/>
      <c r="F36" s="14"/>
      <c r="G36" s="98"/>
      <c r="H36" s="8"/>
      <c r="I36" s="8"/>
      <c r="J36" s="8"/>
      <c r="K36" s="8"/>
      <c r="L36" s="8"/>
      <c r="M36" s="8"/>
      <c r="N36" s="8"/>
      <c r="O36" s="8"/>
      <c r="P36" s="8"/>
      <c r="Q36" s="8"/>
      <c r="R36" s="8"/>
      <c r="S36" s="8"/>
      <c r="T36" s="8"/>
      <c r="U36" s="8"/>
      <c r="V36" s="8"/>
      <c r="W36" s="8"/>
    </row>
    <row r="37" spans="1:23" x14ac:dyDescent="0.2">
      <c r="A37" s="55" t="str">
        <f>IF(B37&lt;&gt;"",COUNTA($B$7:B37),"")</f>
        <v/>
      </c>
      <c r="B37" s="14"/>
      <c r="C37" s="14"/>
      <c r="D37" s="14"/>
      <c r="E37" s="14"/>
      <c r="F37" s="14"/>
      <c r="G37" s="98"/>
      <c r="H37" s="8"/>
      <c r="I37" s="8"/>
      <c r="J37" s="8"/>
      <c r="K37" s="8"/>
      <c r="L37" s="8"/>
      <c r="M37" s="8"/>
      <c r="N37" s="8"/>
      <c r="O37" s="8"/>
      <c r="P37" s="8"/>
      <c r="Q37" s="8"/>
      <c r="R37" s="8"/>
      <c r="S37" s="8"/>
      <c r="T37" s="8"/>
      <c r="U37" s="8"/>
      <c r="V37" s="8"/>
      <c r="W37" s="8"/>
    </row>
    <row r="38" spans="1:23" x14ac:dyDescent="0.2">
      <c r="A38" s="55" t="str">
        <f>IF(B38&lt;&gt;"",COUNTA($B$7:B38),"")</f>
        <v/>
      </c>
      <c r="B38" s="14"/>
      <c r="C38" s="14"/>
      <c r="D38" s="14"/>
      <c r="E38" s="14"/>
      <c r="F38" s="14"/>
      <c r="G38" s="98"/>
      <c r="H38" s="8"/>
      <c r="I38" s="8"/>
      <c r="J38" s="8"/>
      <c r="K38" s="8"/>
      <c r="L38" s="8"/>
      <c r="M38" s="8"/>
      <c r="N38" s="8"/>
      <c r="O38" s="8"/>
      <c r="P38" s="8"/>
      <c r="Q38" s="8"/>
      <c r="R38" s="8"/>
      <c r="S38" s="8"/>
      <c r="T38" s="8"/>
      <c r="U38" s="8"/>
      <c r="V38" s="8"/>
      <c r="W38" s="8"/>
    </row>
    <row r="39" spans="1:23" x14ac:dyDescent="0.2">
      <c r="A39" s="55" t="str">
        <f>IF(B39&lt;&gt;"",COUNTA($B$7:B39),"")</f>
        <v/>
      </c>
      <c r="B39" s="14"/>
      <c r="C39" s="14"/>
      <c r="D39" s="14"/>
      <c r="E39" s="14"/>
      <c r="F39" s="14"/>
      <c r="G39" s="98"/>
      <c r="H39" s="8"/>
      <c r="I39" s="8"/>
      <c r="J39" s="8"/>
      <c r="K39" s="8"/>
      <c r="L39" s="8"/>
      <c r="M39" s="8"/>
      <c r="N39" s="8"/>
      <c r="O39" s="8"/>
      <c r="P39" s="8"/>
      <c r="Q39" s="8"/>
      <c r="R39" s="8"/>
      <c r="S39" s="8"/>
      <c r="T39" s="8"/>
      <c r="U39" s="8"/>
      <c r="V39" s="8"/>
      <c r="W39" s="8"/>
    </row>
    <row r="40" spans="1:23" x14ac:dyDescent="0.2">
      <c r="A40" s="55" t="str">
        <f>IF(B40&lt;&gt;"",COUNTA($B$7:B40),"")</f>
        <v/>
      </c>
      <c r="B40" s="14"/>
      <c r="C40" s="14"/>
      <c r="D40" s="14"/>
      <c r="E40" s="14"/>
      <c r="F40" s="14"/>
      <c r="G40" s="98"/>
      <c r="H40" s="8"/>
      <c r="I40" s="8"/>
      <c r="J40" s="8"/>
      <c r="K40" s="8"/>
      <c r="L40" s="8"/>
      <c r="M40" s="8"/>
      <c r="N40" s="8"/>
      <c r="O40" s="8"/>
      <c r="P40" s="8"/>
      <c r="Q40" s="8"/>
      <c r="R40" s="8"/>
      <c r="S40" s="8"/>
      <c r="T40" s="8"/>
      <c r="U40" s="8"/>
      <c r="V40" s="8"/>
      <c r="W40" s="8"/>
    </row>
    <row r="41" spans="1:23" x14ac:dyDescent="0.2">
      <c r="A41" s="55" t="str">
        <f>IF(B41&lt;&gt;"",COUNTA($B$7:B41),"")</f>
        <v/>
      </c>
      <c r="B41" s="14"/>
      <c r="C41" s="14"/>
      <c r="D41" s="14"/>
      <c r="E41" s="14"/>
      <c r="F41" s="14"/>
      <c r="G41" s="98"/>
      <c r="H41" s="8"/>
      <c r="I41" s="8"/>
      <c r="J41" s="8"/>
      <c r="K41" s="8"/>
      <c r="L41" s="8"/>
      <c r="M41" s="8"/>
      <c r="N41" s="8"/>
      <c r="O41" s="8"/>
      <c r="P41" s="8"/>
      <c r="Q41" s="8"/>
      <c r="R41" s="8"/>
      <c r="S41" s="8"/>
      <c r="T41" s="8"/>
      <c r="U41" s="8"/>
      <c r="V41" s="8"/>
      <c r="W41" s="8"/>
    </row>
    <row r="42" spans="1:23" x14ac:dyDescent="0.2">
      <c r="A42" s="55" t="str">
        <f>IF(B42&lt;&gt;"",COUNTA($B$7:B42),"")</f>
        <v/>
      </c>
      <c r="B42" s="14"/>
      <c r="C42" s="14"/>
      <c r="D42" s="14"/>
      <c r="E42" s="14"/>
      <c r="F42" s="14"/>
      <c r="G42" s="98"/>
      <c r="H42" s="8"/>
      <c r="I42" s="8"/>
      <c r="J42" s="8"/>
      <c r="K42" s="8"/>
      <c r="L42" s="8"/>
      <c r="M42" s="8"/>
      <c r="N42" s="8"/>
      <c r="O42" s="8"/>
      <c r="P42" s="8"/>
      <c r="Q42" s="8"/>
      <c r="R42" s="8"/>
      <c r="S42" s="8"/>
      <c r="T42" s="8"/>
      <c r="U42" s="8"/>
      <c r="V42" s="8"/>
      <c r="W42" s="8"/>
    </row>
    <row r="43" spans="1:23" x14ac:dyDescent="0.2">
      <c r="A43" s="55" t="str">
        <f>IF(B43&lt;&gt;"",COUNTA($B$7:B43),"")</f>
        <v/>
      </c>
      <c r="B43" s="14"/>
      <c r="C43" s="14"/>
      <c r="D43" s="14"/>
      <c r="E43" s="14"/>
      <c r="F43" s="14"/>
      <c r="G43" s="98"/>
      <c r="H43" s="8"/>
      <c r="I43" s="8"/>
      <c r="J43" s="8"/>
      <c r="K43" s="8"/>
      <c r="L43" s="8"/>
      <c r="M43" s="8"/>
      <c r="N43" s="8"/>
      <c r="O43" s="8"/>
      <c r="P43" s="8"/>
      <c r="Q43" s="8"/>
      <c r="R43" s="8"/>
      <c r="S43" s="8"/>
      <c r="T43" s="8"/>
      <c r="U43" s="8"/>
      <c r="V43" s="8"/>
      <c r="W43" s="8"/>
    </row>
    <row r="44" spans="1:23" x14ac:dyDescent="0.2">
      <c r="A44" s="55" t="str">
        <f>IF(B44&lt;&gt;"",COUNTA($B$7:B44),"")</f>
        <v/>
      </c>
      <c r="B44" s="14"/>
      <c r="C44" s="14"/>
      <c r="D44" s="14"/>
      <c r="E44" s="14"/>
      <c r="F44" s="14"/>
      <c r="G44" s="98"/>
      <c r="H44" s="8"/>
      <c r="I44" s="8"/>
      <c r="J44" s="8"/>
      <c r="K44" s="8"/>
      <c r="L44" s="8"/>
      <c r="M44" s="8"/>
      <c r="N44" s="8"/>
      <c r="O44" s="8"/>
      <c r="P44" s="8"/>
      <c r="Q44" s="8"/>
      <c r="R44" s="8"/>
      <c r="S44" s="8"/>
      <c r="T44" s="8"/>
      <c r="U44" s="8"/>
      <c r="V44" s="8"/>
      <c r="W44" s="8"/>
    </row>
    <row r="45" spans="1:23" x14ac:dyDescent="0.2">
      <c r="A45" s="55" t="str">
        <f>IF(B45&lt;&gt;"",COUNTA($B$7:B45),"")</f>
        <v/>
      </c>
      <c r="B45" s="14"/>
      <c r="C45" s="14"/>
      <c r="D45" s="14"/>
      <c r="E45" s="14"/>
      <c r="F45" s="14"/>
      <c r="G45" s="98"/>
      <c r="H45" s="8"/>
      <c r="I45" s="8"/>
      <c r="J45" s="8"/>
      <c r="K45" s="8"/>
      <c r="L45" s="8"/>
      <c r="M45" s="8"/>
      <c r="N45" s="8"/>
      <c r="O45" s="8"/>
      <c r="P45" s="8"/>
      <c r="Q45" s="8"/>
      <c r="R45" s="8"/>
      <c r="S45" s="8"/>
      <c r="T45" s="8"/>
      <c r="U45" s="8"/>
      <c r="V45" s="8"/>
      <c r="W45" s="8"/>
    </row>
    <row r="46" spans="1:23" x14ac:dyDescent="0.2">
      <c r="A46" s="55" t="str">
        <f>IF(B46&lt;&gt;"",COUNTA($B$7:B46),"")</f>
        <v/>
      </c>
      <c r="B46" s="14"/>
      <c r="C46" s="14"/>
      <c r="D46" s="14"/>
      <c r="E46" s="14"/>
      <c r="F46" s="14"/>
      <c r="G46" s="98"/>
      <c r="H46" s="8"/>
      <c r="I46" s="8"/>
      <c r="J46" s="8"/>
      <c r="K46" s="8"/>
      <c r="L46" s="8"/>
      <c r="M46" s="8"/>
      <c r="N46" s="8"/>
      <c r="O46" s="8"/>
      <c r="P46" s="8"/>
      <c r="Q46" s="8"/>
      <c r="R46" s="8"/>
      <c r="S46" s="8"/>
      <c r="T46" s="8"/>
      <c r="U46" s="8"/>
      <c r="V46" s="8"/>
      <c r="W46" s="8"/>
    </row>
    <row r="47" spans="1:23" x14ac:dyDescent="0.2">
      <c r="A47" s="55" t="str">
        <f>IF(B47&lt;&gt;"",COUNTA($B$7:B47),"")</f>
        <v/>
      </c>
      <c r="B47" s="14"/>
      <c r="C47" s="14"/>
      <c r="D47" s="14"/>
      <c r="E47" s="14"/>
      <c r="F47" s="14"/>
      <c r="G47" s="98"/>
      <c r="H47" s="8"/>
      <c r="I47" s="8"/>
      <c r="J47" s="8"/>
      <c r="K47" s="8"/>
      <c r="L47" s="8"/>
      <c r="M47" s="8"/>
      <c r="N47" s="8"/>
      <c r="O47" s="8"/>
      <c r="P47" s="8"/>
      <c r="Q47" s="8"/>
      <c r="R47" s="8"/>
      <c r="S47" s="8"/>
      <c r="T47" s="8"/>
      <c r="U47" s="8"/>
      <c r="V47" s="8"/>
      <c r="W47" s="8"/>
    </row>
    <row r="48" spans="1:23" x14ac:dyDescent="0.2">
      <c r="A48" s="55" t="str">
        <f>IF(B48&lt;&gt;"",COUNTA($B$7:B48),"")</f>
        <v/>
      </c>
      <c r="B48" s="14"/>
      <c r="C48" s="14"/>
      <c r="D48" s="14"/>
      <c r="E48" s="14"/>
      <c r="F48" s="14"/>
      <c r="G48" s="98"/>
      <c r="H48" s="8"/>
      <c r="I48" s="8"/>
      <c r="J48" s="8"/>
      <c r="K48" s="8"/>
      <c r="L48" s="8"/>
      <c r="M48" s="8"/>
      <c r="N48" s="8"/>
      <c r="O48" s="8"/>
      <c r="P48" s="8"/>
      <c r="Q48" s="8"/>
      <c r="R48" s="8"/>
      <c r="S48" s="8"/>
      <c r="T48" s="8"/>
      <c r="U48" s="8"/>
      <c r="V48" s="8"/>
      <c r="W48" s="8"/>
    </row>
    <row r="49" spans="1:23" x14ac:dyDescent="0.2">
      <c r="A49" s="55" t="str">
        <f>IF(B49&lt;&gt;"",COUNTA($B$7:B49),"")</f>
        <v/>
      </c>
      <c r="B49" s="14"/>
      <c r="C49" s="14"/>
      <c r="D49" s="14"/>
      <c r="E49" s="14"/>
      <c r="F49" s="14"/>
      <c r="G49" s="98"/>
      <c r="H49" s="8"/>
      <c r="I49" s="8"/>
      <c r="J49" s="8"/>
      <c r="K49" s="8"/>
      <c r="L49" s="8"/>
      <c r="M49" s="8"/>
      <c r="N49" s="8"/>
      <c r="O49" s="8"/>
      <c r="P49" s="8"/>
      <c r="Q49" s="8"/>
      <c r="R49" s="8"/>
      <c r="S49" s="8"/>
      <c r="T49" s="8"/>
      <c r="U49" s="8"/>
      <c r="V49" s="8"/>
      <c r="W49" s="8"/>
    </row>
    <row r="50" spans="1:23" x14ac:dyDescent="0.2">
      <c r="A50" s="55" t="str">
        <f>IF(B50&lt;&gt;"",COUNTA($B$7:B50),"")</f>
        <v/>
      </c>
      <c r="B50" s="14"/>
      <c r="C50" s="14"/>
      <c r="D50" s="14"/>
      <c r="E50" s="14"/>
      <c r="F50" s="14"/>
      <c r="G50" s="98"/>
      <c r="H50" s="8"/>
      <c r="I50" s="8"/>
      <c r="J50" s="8"/>
      <c r="K50" s="8"/>
      <c r="L50" s="8"/>
      <c r="M50" s="8"/>
      <c r="N50" s="8"/>
      <c r="O50" s="8"/>
      <c r="P50" s="8"/>
      <c r="Q50" s="8"/>
      <c r="R50" s="8"/>
      <c r="S50" s="8"/>
      <c r="T50" s="8"/>
      <c r="U50" s="8"/>
      <c r="V50" s="8"/>
      <c r="W50" s="8"/>
    </row>
    <row r="51" spans="1:23" x14ac:dyDescent="0.2">
      <c r="A51" s="55" t="str">
        <f>IF(B51&lt;&gt;"",COUNTA($B$7:B51),"")</f>
        <v/>
      </c>
      <c r="B51" s="14"/>
      <c r="C51" s="14"/>
      <c r="D51" s="14"/>
      <c r="E51" s="14"/>
      <c r="F51" s="14"/>
      <c r="G51" s="98"/>
      <c r="H51" s="8"/>
      <c r="I51" s="8"/>
      <c r="J51" s="8"/>
      <c r="K51" s="8"/>
      <c r="L51" s="8"/>
      <c r="M51" s="8"/>
      <c r="N51" s="8"/>
      <c r="O51" s="8"/>
      <c r="P51" s="8"/>
      <c r="Q51" s="8"/>
      <c r="R51" s="8"/>
      <c r="S51" s="8"/>
      <c r="T51" s="8"/>
      <c r="U51" s="8"/>
      <c r="V51" s="8"/>
      <c r="W51" s="8"/>
    </row>
    <row r="52" spans="1:23" x14ac:dyDescent="0.2">
      <c r="A52" s="55" t="str">
        <f>IF(B52&lt;&gt;"",COUNTA($B$7:B52),"")</f>
        <v/>
      </c>
      <c r="B52" s="14"/>
      <c r="C52" s="14"/>
      <c r="D52" s="14"/>
      <c r="E52" s="14"/>
      <c r="F52" s="14"/>
      <c r="G52" s="98"/>
      <c r="H52" s="8"/>
      <c r="I52" s="8"/>
      <c r="J52" s="8"/>
      <c r="K52" s="8"/>
      <c r="L52" s="8"/>
      <c r="M52" s="8"/>
      <c r="N52" s="8"/>
      <c r="O52" s="8"/>
      <c r="P52" s="8"/>
      <c r="Q52" s="8"/>
      <c r="R52" s="8"/>
      <c r="S52" s="8"/>
      <c r="T52" s="8"/>
      <c r="U52" s="8"/>
      <c r="V52" s="8"/>
      <c r="W52" s="8"/>
    </row>
    <row r="53" spans="1:23" x14ac:dyDescent="0.2">
      <c r="A53" s="55" t="str">
        <f>IF(B53&lt;&gt;"",COUNTA($B$7:B53),"")</f>
        <v/>
      </c>
      <c r="B53" s="14"/>
      <c r="C53" s="14"/>
      <c r="D53" s="14"/>
      <c r="E53" s="14"/>
      <c r="F53" s="14"/>
      <c r="G53" s="98"/>
      <c r="H53" s="8"/>
      <c r="I53" s="8"/>
      <c r="J53" s="8"/>
      <c r="K53" s="8"/>
      <c r="L53" s="8"/>
      <c r="M53" s="8"/>
      <c r="N53" s="8"/>
      <c r="O53" s="8"/>
      <c r="P53" s="8"/>
      <c r="Q53" s="8"/>
      <c r="R53" s="8"/>
      <c r="S53" s="8"/>
      <c r="T53" s="8"/>
      <c r="U53" s="8"/>
      <c r="V53" s="8"/>
      <c r="W53" s="8"/>
    </row>
    <row r="54" spans="1:23" x14ac:dyDescent="0.2">
      <c r="A54" s="55" t="str">
        <f>IF(B54&lt;&gt;"",COUNTA($B$7:B54),"")</f>
        <v/>
      </c>
      <c r="B54" s="14"/>
      <c r="C54" s="14"/>
      <c r="D54" s="14"/>
      <c r="E54" s="14"/>
      <c r="F54" s="14"/>
      <c r="G54" s="98"/>
      <c r="H54" s="8"/>
      <c r="I54" s="8"/>
      <c r="J54" s="8"/>
      <c r="K54" s="8"/>
      <c r="L54" s="8"/>
      <c r="M54" s="8"/>
      <c r="N54" s="8"/>
      <c r="O54" s="8"/>
      <c r="P54" s="8"/>
      <c r="Q54" s="8"/>
      <c r="R54" s="8"/>
      <c r="S54" s="8"/>
      <c r="T54" s="8"/>
      <c r="U54" s="8"/>
      <c r="V54" s="8"/>
      <c r="W54" s="8"/>
    </row>
    <row r="55" spans="1:23" x14ac:dyDescent="0.2">
      <c r="A55" s="55" t="str">
        <f>IF(B55&lt;&gt;"",COUNTA($B$7:B55),"")</f>
        <v/>
      </c>
      <c r="B55" s="14"/>
      <c r="C55" s="14"/>
      <c r="D55" s="14"/>
      <c r="E55" s="14"/>
      <c r="F55" s="14"/>
      <c r="G55" s="98"/>
      <c r="H55" s="8"/>
      <c r="I55" s="8"/>
      <c r="J55" s="8"/>
      <c r="K55" s="8"/>
      <c r="L55" s="8"/>
      <c r="M55" s="8"/>
      <c r="N55" s="8"/>
      <c r="O55" s="8"/>
      <c r="P55" s="8"/>
      <c r="Q55" s="8"/>
      <c r="R55" s="8"/>
      <c r="S55" s="8"/>
      <c r="T55" s="8"/>
      <c r="U55" s="8"/>
      <c r="V55" s="8"/>
      <c r="W55" s="8"/>
    </row>
    <row r="56" spans="1:23" x14ac:dyDescent="0.2">
      <c r="A56" s="55" t="str">
        <f>IF(B56&lt;&gt;"",COUNTA($B$7:B56),"")</f>
        <v/>
      </c>
      <c r="B56" s="14"/>
      <c r="C56" s="14"/>
      <c r="D56" s="14"/>
      <c r="E56" s="14"/>
      <c r="F56" s="14"/>
      <c r="G56" s="98"/>
      <c r="H56" s="8"/>
      <c r="I56" s="8"/>
      <c r="J56" s="8"/>
      <c r="K56" s="8"/>
      <c r="L56" s="8"/>
      <c r="M56" s="8"/>
      <c r="N56" s="8"/>
      <c r="O56" s="8"/>
      <c r="P56" s="8"/>
      <c r="Q56" s="8"/>
      <c r="R56" s="8"/>
      <c r="S56" s="8"/>
      <c r="T56" s="8"/>
      <c r="U56" s="8"/>
      <c r="V56" s="8"/>
      <c r="W56" s="8"/>
    </row>
    <row r="57" spans="1:23" x14ac:dyDescent="0.2">
      <c r="A57" s="55" t="str">
        <f>IF(B57&lt;&gt;"",COUNTA($B$7:B57),"")</f>
        <v/>
      </c>
      <c r="B57" s="14"/>
      <c r="C57" s="14"/>
      <c r="D57" s="14"/>
      <c r="E57" s="14"/>
      <c r="F57" s="14"/>
      <c r="G57" s="98"/>
      <c r="H57" s="8"/>
      <c r="I57" s="8"/>
      <c r="J57" s="8"/>
      <c r="K57" s="8"/>
      <c r="L57" s="8"/>
      <c r="M57" s="8"/>
      <c r="N57" s="8"/>
      <c r="O57" s="8"/>
      <c r="P57" s="8"/>
      <c r="Q57" s="8"/>
      <c r="R57" s="8"/>
      <c r="S57" s="8"/>
      <c r="T57" s="8"/>
      <c r="U57" s="8"/>
      <c r="V57" s="8"/>
      <c r="W57" s="8"/>
    </row>
    <row r="58" spans="1:23" x14ac:dyDescent="0.2">
      <c r="A58" s="55" t="str">
        <f>IF(B58&lt;&gt;"",COUNTA($B$7:B58),"")</f>
        <v/>
      </c>
      <c r="B58" s="14"/>
      <c r="C58" s="14"/>
      <c r="D58" s="14"/>
      <c r="E58" s="14"/>
      <c r="F58" s="14"/>
      <c r="G58" s="98"/>
      <c r="H58" s="8"/>
      <c r="I58" s="8"/>
      <c r="J58" s="8"/>
      <c r="K58" s="8"/>
      <c r="L58" s="8"/>
      <c r="M58" s="8"/>
      <c r="N58" s="8"/>
      <c r="O58" s="8"/>
      <c r="P58" s="8"/>
      <c r="Q58" s="8"/>
      <c r="R58" s="8"/>
      <c r="S58" s="8"/>
      <c r="T58" s="8"/>
      <c r="U58" s="8"/>
      <c r="V58" s="8"/>
      <c r="W58" s="8"/>
    </row>
    <row r="59" spans="1:23" x14ac:dyDescent="0.2">
      <c r="A59" s="55" t="str">
        <f>IF(B59&lt;&gt;"",COUNTA($B$7:B59),"")</f>
        <v/>
      </c>
      <c r="B59" s="14"/>
      <c r="C59" s="14"/>
      <c r="D59" s="14"/>
      <c r="E59" s="14"/>
      <c r="F59" s="14"/>
      <c r="G59" s="98"/>
      <c r="H59" s="8"/>
      <c r="I59" s="8"/>
      <c r="J59" s="8"/>
      <c r="K59" s="8"/>
      <c r="L59" s="8"/>
      <c r="M59" s="8"/>
      <c r="N59" s="8"/>
      <c r="O59" s="8"/>
      <c r="P59" s="8"/>
      <c r="Q59" s="8"/>
      <c r="R59" s="8"/>
      <c r="S59" s="8"/>
      <c r="T59" s="8"/>
      <c r="U59" s="8"/>
      <c r="V59" s="8"/>
      <c r="W59" s="8"/>
    </row>
    <row r="60" spans="1:23" x14ac:dyDescent="0.2">
      <c r="A60" s="55" t="str">
        <f>IF(B60&lt;&gt;"",COUNTA($B$7:B60),"")</f>
        <v/>
      </c>
      <c r="B60" s="14"/>
      <c r="C60" s="14"/>
      <c r="D60" s="14"/>
      <c r="E60" s="14"/>
      <c r="F60" s="14"/>
      <c r="G60" s="98"/>
      <c r="H60" s="8"/>
      <c r="I60" s="8"/>
      <c r="J60" s="8"/>
      <c r="K60" s="8"/>
      <c r="L60" s="8"/>
      <c r="M60" s="8"/>
      <c r="N60" s="8"/>
      <c r="O60" s="8"/>
      <c r="P60" s="8"/>
      <c r="Q60" s="8"/>
      <c r="R60" s="8"/>
      <c r="S60" s="8"/>
      <c r="T60" s="8"/>
      <c r="U60" s="8"/>
      <c r="V60" s="8"/>
      <c r="W60" s="8"/>
    </row>
    <row r="61" spans="1:23" x14ac:dyDescent="0.2">
      <c r="A61" s="55" t="str">
        <f>IF(B61&lt;&gt;"",COUNTA($B$7:B61),"")</f>
        <v/>
      </c>
      <c r="B61" s="14"/>
      <c r="C61" s="14"/>
      <c r="D61" s="14"/>
      <c r="E61" s="14"/>
      <c r="F61" s="14"/>
      <c r="G61" s="98"/>
      <c r="H61" s="8"/>
      <c r="I61" s="8"/>
      <c r="J61" s="8"/>
      <c r="K61" s="8"/>
      <c r="L61" s="8"/>
      <c r="M61" s="8"/>
      <c r="N61" s="8"/>
      <c r="O61" s="8"/>
      <c r="P61" s="8"/>
      <c r="Q61" s="8"/>
      <c r="R61" s="8"/>
      <c r="S61" s="8"/>
      <c r="T61" s="8"/>
      <c r="U61" s="8"/>
      <c r="V61" s="8"/>
      <c r="W61" s="8"/>
    </row>
    <row r="62" spans="1:23" x14ac:dyDescent="0.2">
      <c r="A62" s="55" t="str">
        <f>IF(B62&lt;&gt;"",COUNTA($B$7:B62),"")</f>
        <v/>
      </c>
      <c r="B62" s="14"/>
      <c r="C62" s="14"/>
      <c r="D62" s="14"/>
      <c r="E62" s="14"/>
      <c r="F62" s="14"/>
      <c r="G62" s="98"/>
      <c r="H62" s="8"/>
      <c r="I62" s="8"/>
      <c r="J62" s="8"/>
      <c r="K62" s="8"/>
      <c r="L62" s="8"/>
      <c r="M62" s="8"/>
      <c r="N62" s="8"/>
      <c r="O62" s="8"/>
      <c r="P62" s="8"/>
      <c r="Q62" s="8"/>
      <c r="R62" s="8"/>
      <c r="S62" s="8"/>
      <c r="T62" s="8"/>
      <c r="U62" s="8"/>
      <c r="V62" s="8"/>
      <c r="W62" s="8"/>
    </row>
    <row r="63" spans="1:23" x14ac:dyDescent="0.2">
      <c r="A63" s="55" t="str">
        <f>IF(B63&lt;&gt;"",COUNTA($B$7:B63),"")</f>
        <v/>
      </c>
      <c r="B63" s="14"/>
      <c r="C63" s="14"/>
      <c r="D63" s="14"/>
      <c r="E63" s="14"/>
      <c r="F63" s="14"/>
      <c r="G63" s="98"/>
      <c r="H63" s="8"/>
      <c r="I63" s="8"/>
      <c r="J63" s="8"/>
      <c r="K63" s="8"/>
      <c r="L63" s="8"/>
      <c r="M63" s="8"/>
      <c r="N63" s="8"/>
      <c r="O63" s="8"/>
      <c r="P63" s="8"/>
      <c r="Q63" s="8"/>
      <c r="R63" s="8"/>
      <c r="S63" s="8"/>
      <c r="T63" s="8"/>
      <c r="U63" s="8"/>
      <c r="V63" s="8"/>
      <c r="W63" s="8"/>
    </row>
    <row r="64" spans="1:23" x14ac:dyDescent="0.2">
      <c r="A64" s="55" t="str">
        <f>IF(B64&lt;&gt;"",COUNTA($B$7:B64),"")</f>
        <v/>
      </c>
      <c r="B64" s="14"/>
      <c r="C64" s="14"/>
      <c r="D64" s="14"/>
      <c r="E64" s="14"/>
      <c r="F64" s="14"/>
      <c r="G64" s="98"/>
      <c r="H64" s="8"/>
      <c r="I64" s="8"/>
      <c r="J64" s="8"/>
      <c r="K64" s="8"/>
      <c r="L64" s="8"/>
      <c r="M64" s="8"/>
      <c r="N64" s="8"/>
      <c r="O64" s="8"/>
      <c r="P64" s="8"/>
      <c r="Q64" s="8"/>
      <c r="R64" s="8"/>
      <c r="S64" s="8"/>
      <c r="T64" s="8"/>
      <c r="U64" s="8"/>
      <c r="V64" s="8"/>
      <c r="W64" s="8"/>
    </row>
    <row r="65" spans="1:23" x14ac:dyDescent="0.2">
      <c r="A65" s="55" t="str">
        <f>IF(B65&lt;&gt;"",COUNTA($B$7:B65),"")</f>
        <v/>
      </c>
      <c r="B65" s="14"/>
      <c r="C65" s="14"/>
      <c r="D65" s="14"/>
      <c r="E65" s="14"/>
      <c r="F65" s="14"/>
      <c r="G65" s="98"/>
      <c r="H65" s="8"/>
      <c r="I65" s="8"/>
      <c r="J65" s="8"/>
      <c r="K65" s="8"/>
      <c r="L65" s="8"/>
      <c r="M65" s="8"/>
      <c r="N65" s="8"/>
      <c r="O65" s="8"/>
      <c r="P65" s="8"/>
      <c r="Q65" s="8"/>
      <c r="R65" s="8"/>
      <c r="S65" s="8"/>
      <c r="T65" s="8"/>
      <c r="U65" s="8"/>
      <c r="V65" s="8"/>
      <c r="W65" s="8"/>
    </row>
    <row r="66" spans="1:23" x14ac:dyDescent="0.2">
      <c r="A66" s="55" t="str">
        <f>IF(B66&lt;&gt;"",COUNTA($B$7:B66),"")</f>
        <v/>
      </c>
      <c r="B66" s="14"/>
      <c r="C66" s="14"/>
      <c r="D66" s="14"/>
      <c r="E66" s="14"/>
      <c r="F66" s="14"/>
      <c r="G66" s="98"/>
      <c r="H66" s="8"/>
      <c r="I66" s="8"/>
      <c r="J66" s="8"/>
      <c r="K66" s="8"/>
      <c r="L66" s="8"/>
      <c r="M66" s="8"/>
      <c r="N66" s="8"/>
      <c r="O66" s="8"/>
      <c r="P66" s="8"/>
      <c r="Q66" s="8"/>
      <c r="R66" s="8"/>
      <c r="S66" s="8"/>
      <c r="T66" s="8"/>
      <c r="U66" s="8"/>
      <c r="V66" s="8"/>
      <c r="W66" s="8"/>
    </row>
    <row r="67" spans="1:23" x14ac:dyDescent="0.2">
      <c r="A67" s="55" t="str">
        <f>IF(B67&lt;&gt;"",COUNTA($B$7:B67),"")</f>
        <v/>
      </c>
      <c r="B67" s="14"/>
      <c r="C67" s="14"/>
      <c r="D67" s="14"/>
      <c r="E67" s="14"/>
      <c r="F67" s="14"/>
      <c r="G67" s="98"/>
      <c r="H67" s="8"/>
      <c r="I67" s="8"/>
      <c r="J67" s="8"/>
      <c r="K67" s="8"/>
      <c r="L67" s="8"/>
      <c r="M67" s="8"/>
      <c r="N67" s="8"/>
      <c r="O67" s="8"/>
      <c r="P67" s="8"/>
      <c r="Q67" s="8"/>
      <c r="R67" s="8"/>
      <c r="S67" s="8"/>
      <c r="T67" s="8"/>
      <c r="U67" s="8"/>
      <c r="V67" s="8"/>
      <c r="W67" s="8"/>
    </row>
    <row r="68" spans="1:23" x14ac:dyDescent="0.2">
      <c r="A68" s="55" t="str">
        <f>IF(B68&lt;&gt;"",COUNTA($B$7:B68),"")</f>
        <v/>
      </c>
      <c r="B68" s="14"/>
      <c r="C68" s="14"/>
      <c r="D68" s="14"/>
      <c r="E68" s="14"/>
      <c r="F68" s="14"/>
      <c r="G68" s="98"/>
      <c r="H68" s="8"/>
      <c r="I68" s="8"/>
      <c r="J68" s="8"/>
      <c r="K68" s="8"/>
      <c r="L68" s="8"/>
      <c r="M68" s="8"/>
      <c r="N68" s="8"/>
      <c r="O68" s="8"/>
      <c r="P68" s="8"/>
      <c r="Q68" s="8"/>
      <c r="R68" s="8"/>
      <c r="S68" s="8"/>
      <c r="T68" s="8"/>
      <c r="U68" s="8"/>
      <c r="V68" s="8"/>
      <c r="W68" s="8"/>
    </row>
    <row r="69" spans="1:23" x14ac:dyDescent="0.2">
      <c r="A69" s="55" t="str">
        <f>IF(B69&lt;&gt;"",COUNTA($B$7:B69),"")</f>
        <v/>
      </c>
      <c r="B69" s="14"/>
      <c r="C69" s="14"/>
      <c r="D69" s="14"/>
      <c r="E69" s="14"/>
      <c r="F69" s="14"/>
      <c r="G69" s="98"/>
      <c r="H69" s="8"/>
      <c r="I69" s="8"/>
      <c r="J69" s="8"/>
      <c r="K69" s="8"/>
      <c r="L69" s="8"/>
      <c r="M69" s="8"/>
      <c r="N69" s="8"/>
      <c r="O69" s="8"/>
      <c r="P69" s="8"/>
      <c r="Q69" s="8"/>
      <c r="R69" s="8"/>
      <c r="S69" s="8"/>
      <c r="T69" s="8"/>
      <c r="U69" s="8"/>
      <c r="V69" s="8"/>
      <c r="W69" s="8"/>
    </row>
    <row r="70" spans="1:23" x14ac:dyDescent="0.2">
      <c r="A70" s="55" t="str">
        <f>IF(B70&lt;&gt;"",COUNTA($B$7:B70),"")</f>
        <v/>
      </c>
      <c r="B70" s="14"/>
      <c r="C70" s="14"/>
      <c r="D70" s="14"/>
      <c r="E70" s="14"/>
      <c r="F70" s="14"/>
      <c r="G70" s="98"/>
      <c r="H70" s="8"/>
      <c r="I70" s="8"/>
      <c r="J70" s="8"/>
      <c r="K70" s="8"/>
      <c r="L70" s="8"/>
      <c r="M70" s="8"/>
      <c r="N70" s="8"/>
      <c r="O70" s="8"/>
      <c r="P70" s="8"/>
      <c r="Q70" s="8"/>
      <c r="R70" s="8"/>
      <c r="S70" s="8"/>
      <c r="T70" s="8"/>
      <c r="U70" s="8"/>
      <c r="V70" s="8"/>
      <c r="W70" s="8"/>
    </row>
    <row r="71" spans="1:23" x14ac:dyDescent="0.2">
      <c r="A71" s="55" t="str">
        <f>IF(B71&lt;&gt;"",COUNTA($B$7:B71),"")</f>
        <v/>
      </c>
      <c r="B71" s="14"/>
      <c r="C71" s="14"/>
      <c r="D71" s="14"/>
      <c r="E71" s="14"/>
      <c r="F71" s="14"/>
      <c r="G71" s="98"/>
      <c r="H71" s="8"/>
      <c r="I71" s="8"/>
      <c r="J71" s="8"/>
      <c r="K71" s="8"/>
      <c r="L71" s="8"/>
      <c r="M71" s="8"/>
      <c r="N71" s="8"/>
      <c r="O71" s="8"/>
      <c r="P71" s="8"/>
      <c r="Q71" s="8"/>
      <c r="R71" s="8"/>
      <c r="S71" s="8"/>
      <c r="T71" s="8"/>
      <c r="U71" s="8"/>
      <c r="V71" s="8"/>
      <c r="W71" s="8"/>
    </row>
    <row r="72" spans="1:23" x14ac:dyDescent="0.2">
      <c r="A72" s="55" t="str">
        <f>IF(B72&lt;&gt;"",COUNTA($B$7:B72),"")</f>
        <v/>
      </c>
      <c r="B72" s="14"/>
      <c r="C72" s="14"/>
      <c r="D72" s="14"/>
      <c r="E72" s="14"/>
      <c r="F72" s="14"/>
      <c r="G72" s="98"/>
      <c r="H72" s="8"/>
      <c r="I72" s="8"/>
      <c r="J72" s="8"/>
      <c r="K72" s="8"/>
      <c r="L72" s="8"/>
      <c r="M72" s="8"/>
      <c r="N72" s="8"/>
      <c r="O72" s="8"/>
      <c r="P72" s="8"/>
      <c r="Q72" s="8"/>
      <c r="R72" s="8"/>
      <c r="S72" s="8"/>
      <c r="T72" s="8"/>
      <c r="U72" s="8"/>
      <c r="V72" s="8"/>
      <c r="W72" s="8"/>
    </row>
    <row r="73" spans="1:23" x14ac:dyDescent="0.2">
      <c r="A73" s="55" t="str">
        <f>IF(B73&lt;&gt;"",COUNTA($B$7:B73),"")</f>
        <v/>
      </c>
      <c r="B73" s="14"/>
      <c r="C73" s="14"/>
      <c r="D73" s="14"/>
      <c r="E73" s="14"/>
      <c r="F73" s="14"/>
      <c r="G73" s="98"/>
      <c r="H73" s="8"/>
      <c r="I73" s="8"/>
      <c r="J73" s="8"/>
      <c r="K73" s="8"/>
      <c r="L73" s="8"/>
      <c r="M73" s="8"/>
      <c r="N73" s="8"/>
      <c r="O73" s="8"/>
      <c r="P73" s="8"/>
      <c r="Q73" s="8"/>
      <c r="R73" s="8"/>
      <c r="S73" s="8"/>
      <c r="T73" s="8"/>
      <c r="U73" s="8"/>
      <c r="V73" s="8"/>
      <c r="W73" s="8"/>
    </row>
    <row r="74" spans="1:23" x14ac:dyDescent="0.2">
      <c r="A74" s="55" t="str">
        <f>IF(B74&lt;&gt;"",COUNTA($B$7:B74),"")</f>
        <v/>
      </c>
      <c r="B74" s="14"/>
      <c r="C74" s="14"/>
      <c r="D74" s="14"/>
      <c r="E74" s="14"/>
      <c r="F74" s="14"/>
      <c r="G74" s="98"/>
      <c r="H74" s="8"/>
      <c r="I74" s="8"/>
      <c r="J74" s="8"/>
      <c r="K74" s="8"/>
      <c r="L74" s="8"/>
      <c r="M74" s="8"/>
      <c r="N74" s="8"/>
      <c r="O74" s="8"/>
      <c r="P74" s="8"/>
      <c r="Q74" s="8"/>
      <c r="R74" s="8"/>
      <c r="S74" s="8"/>
      <c r="T74" s="8"/>
      <c r="U74" s="8"/>
      <c r="V74" s="8"/>
      <c r="W74" s="8"/>
    </row>
    <row r="75" spans="1:23" x14ac:dyDescent="0.2">
      <c r="A75" s="55" t="str">
        <f>IF(B75&lt;&gt;"",COUNTA($B$7:B75),"")</f>
        <v/>
      </c>
      <c r="B75" s="14"/>
      <c r="C75" s="14"/>
      <c r="D75" s="14"/>
      <c r="E75" s="14"/>
      <c r="F75" s="14"/>
      <c r="G75" s="98"/>
      <c r="H75" s="8"/>
      <c r="I75" s="8"/>
      <c r="J75" s="8"/>
      <c r="K75" s="8"/>
      <c r="L75" s="8"/>
      <c r="M75" s="8"/>
      <c r="N75" s="8"/>
      <c r="O75" s="8"/>
      <c r="P75" s="8"/>
      <c r="Q75" s="8"/>
      <c r="R75" s="8"/>
      <c r="S75" s="8"/>
      <c r="T75" s="8"/>
      <c r="U75" s="8"/>
      <c r="V75" s="8"/>
      <c r="W75" s="8"/>
    </row>
    <row r="76" spans="1:23" x14ac:dyDescent="0.2">
      <c r="A76" s="55" t="str">
        <f>IF(B76&lt;&gt;"",COUNTA($B$7:B76),"")</f>
        <v/>
      </c>
      <c r="B76" s="14"/>
      <c r="C76" s="14"/>
      <c r="D76" s="14"/>
      <c r="E76" s="14"/>
      <c r="F76" s="14"/>
      <c r="G76" s="98"/>
      <c r="H76" s="8"/>
      <c r="I76" s="8"/>
      <c r="J76" s="8"/>
      <c r="K76" s="8"/>
      <c r="L76" s="8"/>
      <c r="M76" s="8"/>
      <c r="N76" s="8"/>
      <c r="O76" s="8"/>
      <c r="P76" s="8"/>
      <c r="Q76" s="8"/>
      <c r="R76" s="8"/>
      <c r="S76" s="8"/>
      <c r="T76" s="8"/>
      <c r="U76" s="8"/>
      <c r="V76" s="8"/>
      <c r="W76" s="8"/>
    </row>
    <row r="77" spans="1:23" x14ac:dyDescent="0.2">
      <c r="A77" s="55" t="str">
        <f>IF(B77&lt;&gt;"",COUNTA($B$7:B77),"")</f>
        <v/>
      </c>
      <c r="B77" s="14"/>
      <c r="C77" s="14"/>
      <c r="D77" s="14"/>
      <c r="E77" s="14"/>
      <c r="F77" s="14"/>
      <c r="G77" s="98"/>
      <c r="H77" s="8"/>
      <c r="I77" s="8"/>
      <c r="J77" s="8"/>
      <c r="K77" s="8"/>
      <c r="L77" s="8"/>
      <c r="M77" s="8"/>
      <c r="N77" s="8"/>
      <c r="O77" s="8"/>
      <c r="P77" s="8"/>
      <c r="Q77" s="8"/>
      <c r="R77" s="8"/>
      <c r="S77" s="8"/>
      <c r="T77" s="8"/>
      <c r="U77" s="8"/>
      <c r="V77" s="8"/>
      <c r="W77" s="8"/>
    </row>
    <row r="78" spans="1:23" x14ac:dyDescent="0.2">
      <c r="A78" s="55" t="str">
        <f>IF(B78&lt;&gt;"",COUNTA($B$7:B78),"")</f>
        <v/>
      </c>
      <c r="B78" s="14"/>
      <c r="C78" s="14"/>
      <c r="D78" s="14"/>
      <c r="E78" s="14"/>
      <c r="F78" s="14"/>
      <c r="G78" s="98"/>
      <c r="H78" s="8"/>
      <c r="I78" s="8"/>
      <c r="J78" s="8"/>
      <c r="K78" s="8"/>
      <c r="L78" s="8"/>
      <c r="M78" s="8"/>
      <c r="N78" s="8"/>
      <c r="O78" s="8"/>
      <c r="P78" s="8"/>
      <c r="Q78" s="8"/>
      <c r="R78" s="8"/>
      <c r="S78" s="8"/>
      <c r="T78" s="8"/>
      <c r="U78" s="8"/>
      <c r="V78" s="8"/>
      <c r="W78" s="8"/>
    </row>
    <row r="79" spans="1:23" x14ac:dyDescent="0.2">
      <c r="A79" s="55" t="str">
        <f>IF(B79&lt;&gt;"",COUNTA($B$7:B79),"")</f>
        <v/>
      </c>
      <c r="B79" s="14"/>
      <c r="C79" s="14"/>
      <c r="D79" s="14"/>
      <c r="E79" s="14"/>
      <c r="F79" s="14"/>
      <c r="G79" s="98"/>
      <c r="H79" s="8"/>
      <c r="I79" s="8"/>
      <c r="J79" s="8"/>
      <c r="K79" s="8"/>
      <c r="L79" s="8"/>
      <c r="M79" s="8"/>
      <c r="N79" s="8"/>
      <c r="O79" s="8"/>
      <c r="P79" s="8"/>
      <c r="Q79" s="8"/>
      <c r="R79" s="8"/>
      <c r="S79" s="8"/>
      <c r="T79" s="8"/>
      <c r="U79" s="8"/>
      <c r="V79" s="8"/>
      <c r="W79" s="8"/>
    </row>
    <row r="80" spans="1:23" x14ac:dyDescent="0.2">
      <c r="A80" s="55" t="str">
        <f>IF(B80&lt;&gt;"",COUNTA($B$7:B80),"")</f>
        <v/>
      </c>
      <c r="B80" s="14"/>
      <c r="C80" s="14"/>
      <c r="D80" s="14"/>
      <c r="E80" s="14"/>
      <c r="F80" s="14"/>
      <c r="G80" s="98"/>
      <c r="H80" s="8"/>
      <c r="I80" s="8"/>
      <c r="J80" s="8"/>
      <c r="K80" s="8"/>
      <c r="L80" s="8"/>
      <c r="M80" s="8"/>
      <c r="N80" s="8"/>
      <c r="O80" s="8"/>
      <c r="P80" s="8"/>
      <c r="Q80" s="8"/>
      <c r="R80" s="8"/>
      <c r="S80" s="8"/>
      <c r="T80" s="8"/>
      <c r="U80" s="8"/>
      <c r="V80" s="8"/>
      <c r="W80" s="8"/>
    </row>
    <row r="81" spans="1:23" x14ac:dyDescent="0.2">
      <c r="A81" s="55" t="str">
        <f>IF(B81&lt;&gt;"",COUNTA($B$7:B81),"")</f>
        <v/>
      </c>
      <c r="B81" s="14"/>
      <c r="C81" s="14"/>
      <c r="D81" s="14"/>
      <c r="E81" s="14"/>
      <c r="F81" s="14"/>
      <c r="G81" s="98"/>
      <c r="H81" s="8"/>
      <c r="I81" s="8"/>
      <c r="J81" s="8"/>
      <c r="K81" s="8"/>
      <c r="L81" s="8"/>
      <c r="M81" s="8"/>
      <c r="N81" s="8"/>
      <c r="O81" s="8"/>
      <c r="P81" s="8"/>
      <c r="Q81" s="8"/>
      <c r="R81" s="8"/>
      <c r="S81" s="8"/>
      <c r="T81" s="8"/>
      <c r="U81" s="8"/>
      <c r="V81" s="8"/>
      <c r="W81" s="8"/>
    </row>
    <row r="82" spans="1:23" x14ac:dyDescent="0.2">
      <c r="A82" s="55" t="str">
        <f>IF(B82&lt;&gt;"",COUNTA($B$7:B82),"")</f>
        <v/>
      </c>
      <c r="B82" s="14"/>
      <c r="C82" s="14"/>
      <c r="D82" s="14"/>
      <c r="E82" s="14"/>
      <c r="F82" s="14"/>
      <c r="G82" s="98"/>
      <c r="H82" s="8"/>
      <c r="I82" s="8"/>
      <c r="J82" s="8"/>
      <c r="K82" s="8"/>
      <c r="L82" s="8"/>
      <c r="M82" s="8"/>
      <c r="N82" s="8"/>
      <c r="O82" s="8"/>
      <c r="P82" s="8"/>
      <c r="Q82" s="8"/>
      <c r="R82" s="8"/>
      <c r="S82" s="8"/>
      <c r="T82" s="8"/>
      <c r="U82" s="8"/>
      <c r="V82" s="8"/>
      <c r="W82" s="8"/>
    </row>
    <row r="83" spans="1:23" x14ac:dyDescent="0.2">
      <c r="A83" s="55" t="str">
        <f>IF(B83&lt;&gt;"",COUNTA($B$7:B83),"")</f>
        <v/>
      </c>
      <c r="B83" s="14"/>
      <c r="C83" s="14"/>
      <c r="D83" s="14"/>
      <c r="E83" s="14"/>
      <c r="F83" s="14"/>
      <c r="G83" s="98"/>
      <c r="H83" s="8"/>
      <c r="I83" s="8"/>
      <c r="J83" s="8"/>
      <c r="K83" s="8"/>
      <c r="L83" s="8"/>
      <c r="M83" s="8"/>
      <c r="N83" s="8"/>
      <c r="O83" s="8"/>
      <c r="P83" s="8"/>
      <c r="Q83" s="8"/>
      <c r="R83" s="8"/>
      <c r="S83" s="8"/>
      <c r="T83" s="8"/>
      <c r="U83" s="8"/>
      <c r="V83" s="8"/>
      <c r="W83" s="8"/>
    </row>
    <row r="84" spans="1:23" x14ac:dyDescent="0.2">
      <c r="A84" s="55" t="str">
        <f>IF(B84&lt;&gt;"",COUNTA($B$7:B84),"")</f>
        <v/>
      </c>
      <c r="B84" s="14"/>
      <c r="C84" s="14"/>
      <c r="D84" s="14"/>
      <c r="E84" s="14"/>
      <c r="F84" s="14"/>
      <c r="G84" s="98"/>
      <c r="H84" s="8"/>
      <c r="I84" s="8"/>
      <c r="J84" s="8"/>
      <c r="K84" s="8"/>
      <c r="L84" s="8"/>
      <c r="M84" s="8"/>
      <c r="N84" s="8"/>
      <c r="O84" s="8"/>
      <c r="P84" s="8"/>
      <c r="Q84" s="8"/>
      <c r="R84" s="8"/>
      <c r="S84" s="8"/>
      <c r="T84" s="8"/>
      <c r="U84" s="8"/>
      <c r="V84" s="8"/>
      <c r="W84" s="8"/>
    </row>
    <row r="85" spans="1:23" x14ac:dyDescent="0.2">
      <c r="A85" s="55" t="str">
        <f>IF(B85&lt;&gt;"",COUNTA($B$7:B85),"")</f>
        <v/>
      </c>
      <c r="B85" s="14"/>
      <c r="C85" s="14"/>
      <c r="D85" s="14"/>
      <c r="E85" s="14"/>
      <c r="F85" s="14"/>
      <c r="G85" s="98"/>
      <c r="H85" s="8"/>
      <c r="I85" s="8"/>
      <c r="J85" s="8"/>
      <c r="K85" s="8"/>
      <c r="L85" s="8"/>
      <c r="M85" s="8"/>
      <c r="N85" s="8"/>
      <c r="O85" s="8"/>
      <c r="P85" s="8"/>
      <c r="Q85" s="8"/>
      <c r="R85" s="8"/>
      <c r="S85" s="8"/>
      <c r="T85" s="8"/>
      <c r="U85" s="8"/>
      <c r="V85" s="8"/>
      <c r="W85" s="8"/>
    </row>
    <row r="86" spans="1:23" x14ac:dyDescent="0.2">
      <c r="A86" s="55" t="str">
        <f>IF(B86&lt;&gt;"",COUNTA($B$7:B86),"")</f>
        <v/>
      </c>
      <c r="B86" s="14"/>
      <c r="C86" s="14"/>
      <c r="D86" s="14"/>
      <c r="E86" s="14"/>
      <c r="F86" s="14"/>
      <c r="G86" s="98"/>
      <c r="H86" s="8"/>
      <c r="I86" s="8"/>
      <c r="J86" s="8"/>
      <c r="K86" s="8"/>
      <c r="L86" s="8"/>
      <c r="M86" s="8"/>
      <c r="N86" s="8"/>
      <c r="O86" s="8"/>
      <c r="P86" s="8"/>
      <c r="Q86" s="8"/>
      <c r="R86" s="8"/>
      <c r="S86" s="8"/>
      <c r="T86" s="8"/>
      <c r="U86" s="8"/>
      <c r="V86" s="8"/>
      <c r="W86" s="8"/>
    </row>
    <row r="87" spans="1:23" x14ac:dyDescent="0.2">
      <c r="A87" s="55" t="str">
        <f>IF(B87&lt;&gt;"",COUNTA($B$7:B87),"")</f>
        <v/>
      </c>
      <c r="B87" s="14"/>
      <c r="C87" s="14"/>
      <c r="D87" s="14"/>
      <c r="E87" s="14"/>
      <c r="F87" s="14"/>
      <c r="G87" s="98"/>
      <c r="H87" s="8"/>
      <c r="I87" s="8"/>
      <c r="J87" s="8"/>
      <c r="K87" s="8"/>
      <c r="L87" s="8"/>
      <c r="M87" s="8"/>
      <c r="N87" s="8"/>
      <c r="O87" s="8"/>
      <c r="P87" s="8"/>
      <c r="Q87" s="8"/>
      <c r="R87" s="8"/>
      <c r="S87" s="8"/>
      <c r="T87" s="8"/>
      <c r="U87" s="8"/>
      <c r="V87" s="8"/>
      <c r="W87" s="8"/>
    </row>
    <row r="88" spans="1:23" x14ac:dyDescent="0.2">
      <c r="A88" s="55" t="str">
        <f>IF(B88&lt;&gt;"",COUNTA($B$7:B88),"")</f>
        <v/>
      </c>
      <c r="B88" s="14"/>
      <c r="C88" s="14"/>
      <c r="D88" s="14"/>
      <c r="E88" s="14"/>
      <c r="F88" s="14"/>
      <c r="G88" s="98"/>
      <c r="H88" s="8"/>
      <c r="I88" s="8"/>
      <c r="J88" s="8"/>
      <c r="K88" s="8"/>
      <c r="L88" s="8"/>
      <c r="M88" s="8"/>
      <c r="N88" s="8"/>
      <c r="O88" s="8"/>
      <c r="P88" s="8"/>
      <c r="Q88" s="8"/>
      <c r="R88" s="8"/>
      <c r="S88" s="8"/>
      <c r="T88" s="8"/>
      <c r="U88" s="8"/>
      <c r="V88" s="8"/>
      <c r="W88" s="8"/>
    </row>
    <row r="89" spans="1:23" x14ac:dyDescent="0.2">
      <c r="A89" s="55" t="str">
        <f>IF(B89&lt;&gt;"",COUNTA($B$7:B89),"")</f>
        <v/>
      </c>
      <c r="B89" s="14"/>
      <c r="C89" s="14"/>
      <c r="D89" s="14"/>
      <c r="E89" s="14"/>
      <c r="F89" s="14"/>
      <c r="G89" s="98"/>
      <c r="H89" s="8"/>
      <c r="I89" s="8"/>
      <c r="J89" s="8"/>
      <c r="K89" s="8"/>
      <c r="L89" s="8"/>
      <c r="M89" s="8"/>
      <c r="N89" s="8"/>
      <c r="O89" s="8"/>
      <c r="P89" s="8"/>
      <c r="Q89" s="8"/>
      <c r="R89" s="8"/>
      <c r="S89" s="8"/>
      <c r="T89" s="8"/>
      <c r="U89" s="8"/>
      <c r="V89" s="8"/>
      <c r="W89" s="8"/>
    </row>
    <row r="90" spans="1:23" x14ac:dyDescent="0.2">
      <c r="A90" s="55" t="str">
        <f>IF(B90&lt;&gt;"",COUNTA($B$7:B90),"")</f>
        <v/>
      </c>
      <c r="B90" s="14"/>
      <c r="C90" s="14"/>
      <c r="D90" s="14"/>
      <c r="E90" s="14"/>
      <c r="F90" s="14"/>
      <c r="G90" s="98"/>
      <c r="H90" s="8"/>
      <c r="I90" s="8"/>
      <c r="J90" s="8"/>
      <c r="K90" s="8"/>
      <c r="L90" s="8"/>
      <c r="M90" s="8"/>
      <c r="N90" s="8"/>
      <c r="O90" s="8"/>
      <c r="P90" s="8"/>
      <c r="Q90" s="8"/>
      <c r="R90" s="8"/>
      <c r="S90" s="8"/>
      <c r="T90" s="8"/>
      <c r="U90" s="8"/>
      <c r="V90" s="8"/>
      <c r="W90" s="8"/>
    </row>
    <row r="91" spans="1:23" x14ac:dyDescent="0.2">
      <c r="A91" s="55" t="str">
        <f>IF(B91&lt;&gt;"",COUNTA($B$7:B91),"")</f>
        <v/>
      </c>
      <c r="B91" s="14"/>
      <c r="C91" s="14"/>
      <c r="D91" s="14"/>
      <c r="E91" s="14"/>
      <c r="F91" s="14"/>
      <c r="G91" s="98"/>
      <c r="H91" s="8"/>
      <c r="I91" s="8"/>
      <c r="J91" s="8"/>
      <c r="K91" s="8"/>
      <c r="L91" s="8"/>
      <c r="M91" s="8"/>
      <c r="N91" s="8"/>
      <c r="O91" s="8"/>
      <c r="P91" s="8"/>
      <c r="Q91" s="8"/>
      <c r="R91" s="8"/>
      <c r="S91" s="8"/>
      <c r="T91" s="8"/>
      <c r="U91" s="8"/>
      <c r="V91" s="8"/>
      <c r="W91" s="8"/>
    </row>
    <row r="92" spans="1:23" x14ac:dyDescent="0.2">
      <c r="A92" s="55" t="str">
        <f>IF(B92&lt;&gt;"",COUNTA($B$7:B92),"")</f>
        <v/>
      </c>
      <c r="B92" s="14"/>
      <c r="C92" s="14"/>
      <c r="D92" s="14"/>
      <c r="E92" s="14"/>
      <c r="F92" s="14"/>
      <c r="G92" s="98"/>
      <c r="H92" s="8"/>
      <c r="I92" s="8"/>
      <c r="J92" s="8"/>
      <c r="K92" s="8"/>
      <c r="L92" s="8"/>
      <c r="M92" s="8"/>
      <c r="N92" s="8"/>
      <c r="O92" s="8"/>
      <c r="P92" s="8"/>
      <c r="Q92" s="8"/>
      <c r="R92" s="8"/>
      <c r="S92" s="8"/>
      <c r="T92" s="8"/>
      <c r="U92" s="8"/>
      <c r="V92" s="8"/>
      <c r="W92" s="8"/>
    </row>
    <row r="93" spans="1:23" x14ac:dyDescent="0.2">
      <c r="A93" s="55" t="str">
        <f>IF(B93&lt;&gt;"",COUNTA($B$7:B93),"")</f>
        <v/>
      </c>
      <c r="B93" s="14"/>
      <c r="C93" s="14"/>
      <c r="D93" s="14"/>
      <c r="E93" s="14"/>
      <c r="F93" s="14"/>
      <c r="G93" s="98"/>
      <c r="H93" s="8"/>
      <c r="I93" s="8"/>
      <c r="J93" s="8"/>
      <c r="K93" s="8"/>
      <c r="L93" s="8"/>
      <c r="M93" s="8"/>
      <c r="N93" s="8"/>
      <c r="O93" s="8"/>
      <c r="P93" s="8"/>
      <c r="Q93" s="8"/>
      <c r="R93" s="8"/>
      <c r="S93" s="8"/>
      <c r="T93" s="8"/>
      <c r="U93" s="8"/>
      <c r="V93" s="8"/>
      <c r="W93" s="8"/>
    </row>
    <row r="94" spans="1:23" x14ac:dyDescent="0.2">
      <c r="A94" s="55" t="str">
        <f>IF(B94&lt;&gt;"",COUNTA($B$7:B94),"")</f>
        <v/>
      </c>
      <c r="B94" s="14"/>
      <c r="C94" s="14"/>
      <c r="D94" s="14"/>
      <c r="E94" s="14"/>
      <c r="F94" s="14"/>
      <c r="G94" s="98"/>
      <c r="H94" s="8"/>
      <c r="I94" s="8"/>
      <c r="J94" s="8"/>
      <c r="K94" s="8"/>
      <c r="L94" s="8"/>
      <c r="M94" s="8"/>
      <c r="N94" s="8"/>
      <c r="O94" s="8"/>
      <c r="P94" s="8"/>
      <c r="Q94" s="8"/>
      <c r="R94" s="8"/>
      <c r="S94" s="8"/>
      <c r="T94" s="8"/>
      <c r="U94" s="8"/>
      <c r="V94" s="8"/>
      <c r="W94" s="8"/>
    </row>
    <row r="95" spans="1:23" x14ac:dyDescent="0.2">
      <c r="A95" s="55" t="str">
        <f>IF(B95&lt;&gt;"",COUNTA($B$7:B95),"")</f>
        <v/>
      </c>
      <c r="B95" s="14"/>
      <c r="C95" s="14"/>
      <c r="D95" s="14"/>
      <c r="E95" s="14"/>
      <c r="F95" s="14"/>
      <c r="G95" s="98"/>
      <c r="H95" s="8"/>
      <c r="I95" s="8"/>
      <c r="J95" s="8"/>
      <c r="K95" s="8"/>
      <c r="L95" s="8"/>
      <c r="M95" s="8"/>
      <c r="N95" s="8"/>
      <c r="O95" s="8"/>
      <c r="P95" s="8"/>
      <c r="Q95" s="8"/>
      <c r="R95" s="8"/>
      <c r="S95" s="8"/>
      <c r="T95" s="8"/>
      <c r="U95" s="8"/>
      <c r="V95" s="8"/>
      <c r="W95" s="8"/>
    </row>
    <row r="96" spans="1:23" x14ac:dyDescent="0.2">
      <c r="A96" s="55" t="str">
        <f>IF(B96&lt;&gt;"",COUNTA($B$7:B96),"")</f>
        <v/>
      </c>
      <c r="B96" s="14"/>
      <c r="C96" s="14"/>
      <c r="D96" s="14"/>
      <c r="E96" s="14"/>
      <c r="F96" s="14"/>
      <c r="G96" s="98"/>
      <c r="H96" s="8"/>
      <c r="I96" s="8"/>
      <c r="J96" s="8"/>
      <c r="K96" s="8"/>
      <c r="L96" s="8"/>
      <c r="M96" s="8"/>
      <c r="N96" s="8"/>
      <c r="O96" s="8"/>
      <c r="P96" s="8"/>
      <c r="Q96" s="8"/>
      <c r="R96" s="8"/>
      <c r="S96" s="8"/>
      <c r="T96" s="8"/>
      <c r="U96" s="8"/>
      <c r="V96" s="8"/>
      <c r="W96" s="8"/>
    </row>
    <row r="97" spans="1:23" x14ac:dyDescent="0.2">
      <c r="A97" s="55" t="str">
        <f>IF(B97&lt;&gt;"",COUNTA($B$7:B97),"")</f>
        <v/>
      </c>
      <c r="B97" s="14"/>
      <c r="C97" s="14"/>
      <c r="D97" s="14"/>
      <c r="E97" s="14"/>
      <c r="F97" s="14"/>
      <c r="G97" s="98"/>
      <c r="H97" s="8"/>
      <c r="I97" s="8"/>
      <c r="J97" s="8"/>
      <c r="K97" s="8"/>
      <c r="L97" s="8"/>
      <c r="M97" s="8"/>
      <c r="N97" s="8"/>
      <c r="O97" s="8"/>
      <c r="P97" s="8"/>
      <c r="Q97" s="8"/>
      <c r="R97" s="8"/>
      <c r="S97" s="8"/>
      <c r="T97" s="8"/>
      <c r="U97" s="8"/>
      <c r="V97" s="8"/>
      <c r="W97" s="8"/>
    </row>
    <row r="98" spans="1:23" x14ac:dyDescent="0.2">
      <c r="A98" s="55" t="str">
        <f>IF(B98&lt;&gt;"",COUNTA($B$7:B98),"")</f>
        <v/>
      </c>
      <c r="B98" s="14"/>
      <c r="C98" s="14"/>
      <c r="D98" s="14"/>
      <c r="E98" s="14"/>
      <c r="F98" s="14"/>
      <c r="G98" s="98"/>
      <c r="H98" s="8"/>
      <c r="I98" s="8"/>
      <c r="J98" s="8"/>
      <c r="K98" s="8"/>
      <c r="L98" s="8"/>
      <c r="M98" s="8"/>
      <c r="N98" s="8"/>
      <c r="O98" s="8"/>
      <c r="P98" s="8"/>
      <c r="Q98" s="8"/>
      <c r="R98" s="8"/>
      <c r="S98" s="8"/>
      <c r="T98" s="8"/>
      <c r="U98" s="8"/>
      <c r="V98" s="8"/>
      <c r="W98" s="8"/>
    </row>
    <row r="99" spans="1:23" x14ac:dyDescent="0.2">
      <c r="A99" s="55" t="str">
        <f>IF(B99&lt;&gt;"",COUNTA($B$7:B99),"")</f>
        <v/>
      </c>
      <c r="B99" s="14"/>
      <c r="C99" s="14"/>
      <c r="D99" s="14"/>
      <c r="E99" s="14"/>
      <c r="F99" s="14"/>
      <c r="G99" s="98"/>
      <c r="H99" s="8"/>
      <c r="I99" s="8"/>
      <c r="J99" s="8"/>
      <c r="K99" s="8"/>
      <c r="L99" s="8"/>
      <c r="M99" s="8"/>
      <c r="N99" s="8"/>
      <c r="O99" s="8"/>
      <c r="P99" s="8"/>
      <c r="Q99" s="8"/>
      <c r="R99" s="8"/>
      <c r="S99" s="8"/>
      <c r="T99" s="8"/>
      <c r="U99" s="8"/>
      <c r="V99" s="8"/>
      <c r="W99" s="8"/>
    </row>
    <row r="100" spans="1:23" x14ac:dyDescent="0.2">
      <c r="A100" s="55" t="str">
        <f>IF(B100&lt;&gt;"",COUNTA($B$7:B100),"")</f>
        <v/>
      </c>
      <c r="B100" s="14"/>
      <c r="C100" s="14"/>
      <c r="D100" s="14"/>
      <c r="E100" s="14"/>
      <c r="F100" s="14"/>
      <c r="G100" s="98"/>
      <c r="H100" s="8"/>
      <c r="I100" s="8"/>
      <c r="J100" s="8"/>
      <c r="K100" s="8"/>
      <c r="L100" s="8"/>
      <c r="M100" s="8"/>
      <c r="N100" s="8"/>
      <c r="O100" s="8"/>
      <c r="P100" s="8"/>
      <c r="Q100" s="8"/>
      <c r="R100" s="8"/>
      <c r="S100" s="8"/>
      <c r="T100" s="8"/>
      <c r="U100" s="8"/>
      <c r="V100" s="8"/>
      <c r="W100" s="8"/>
    </row>
    <row r="101" spans="1:23" x14ac:dyDescent="0.2">
      <c r="A101" s="55" t="str">
        <f>IF(B101&lt;&gt;"",COUNTA($B$7:B101),"")</f>
        <v/>
      </c>
      <c r="B101" s="14"/>
      <c r="C101" s="14"/>
      <c r="D101" s="14"/>
      <c r="E101" s="14"/>
      <c r="F101" s="14"/>
      <c r="G101" s="98"/>
      <c r="H101" s="8"/>
      <c r="I101" s="8"/>
      <c r="J101" s="8"/>
      <c r="K101" s="8"/>
      <c r="L101" s="8"/>
      <c r="M101" s="8"/>
      <c r="N101" s="8"/>
      <c r="O101" s="8"/>
      <c r="P101" s="8"/>
      <c r="Q101" s="8"/>
      <c r="R101" s="8"/>
      <c r="S101" s="8"/>
      <c r="T101" s="8"/>
      <c r="U101" s="8"/>
      <c r="V101" s="8"/>
      <c r="W101" s="8"/>
    </row>
    <row r="102" spans="1:23" x14ac:dyDescent="0.2">
      <c r="A102" s="55" t="str">
        <f>IF(B102&lt;&gt;"",COUNTA($B$7:B102),"")</f>
        <v/>
      </c>
      <c r="B102" s="14"/>
      <c r="C102" s="14"/>
      <c r="D102" s="14"/>
      <c r="E102" s="14"/>
      <c r="F102" s="14"/>
      <c r="G102" s="98"/>
      <c r="H102" s="8"/>
      <c r="I102" s="8"/>
      <c r="J102" s="8"/>
      <c r="K102" s="8"/>
      <c r="L102" s="8"/>
      <c r="M102" s="8"/>
      <c r="N102" s="8"/>
      <c r="O102" s="8"/>
      <c r="P102" s="8"/>
      <c r="Q102" s="8"/>
      <c r="R102" s="8"/>
      <c r="S102" s="8"/>
      <c r="T102" s="8"/>
      <c r="U102" s="8"/>
      <c r="V102" s="8"/>
      <c r="W102" s="8"/>
    </row>
    <row r="103" spans="1:23" x14ac:dyDescent="0.2">
      <c r="A103" s="55" t="str">
        <f>IF(B103&lt;&gt;"",COUNTA($B$7:B103),"")</f>
        <v/>
      </c>
      <c r="B103" s="14"/>
      <c r="C103" s="14"/>
      <c r="D103" s="14"/>
      <c r="E103" s="14"/>
      <c r="F103" s="14"/>
      <c r="G103" s="98"/>
      <c r="H103" s="8"/>
      <c r="I103" s="8"/>
      <c r="J103" s="8"/>
      <c r="K103" s="8"/>
      <c r="L103" s="8"/>
      <c r="M103" s="8"/>
      <c r="N103" s="8"/>
      <c r="O103" s="8"/>
      <c r="P103" s="8"/>
      <c r="Q103" s="8"/>
      <c r="R103" s="8"/>
      <c r="S103" s="8"/>
      <c r="T103" s="8"/>
      <c r="U103" s="8"/>
      <c r="V103" s="8"/>
      <c r="W103" s="8"/>
    </row>
    <row r="104" spans="1:23" x14ac:dyDescent="0.2">
      <c r="A104" s="55" t="str">
        <f>IF(B104&lt;&gt;"",COUNTA($B$7:B104),"")</f>
        <v/>
      </c>
      <c r="B104" s="14"/>
      <c r="C104" s="14"/>
      <c r="D104" s="14"/>
      <c r="E104" s="14"/>
      <c r="F104" s="14"/>
      <c r="G104" s="98"/>
      <c r="H104" s="8"/>
      <c r="I104" s="8"/>
      <c r="J104" s="8"/>
      <c r="K104" s="8"/>
      <c r="L104" s="8"/>
      <c r="M104" s="8"/>
      <c r="N104" s="8"/>
      <c r="O104" s="8"/>
      <c r="P104" s="8"/>
      <c r="Q104" s="8"/>
      <c r="R104" s="8"/>
      <c r="S104" s="8"/>
      <c r="T104" s="8"/>
      <c r="U104" s="8"/>
      <c r="V104" s="8"/>
      <c r="W104" s="8"/>
    </row>
    <row r="105" spans="1:23" x14ac:dyDescent="0.2">
      <c r="A105" s="55" t="str">
        <f>IF(B105&lt;&gt;"",COUNTA($B$7:B105),"")</f>
        <v/>
      </c>
      <c r="B105" s="14"/>
      <c r="C105" s="14"/>
      <c r="D105" s="14"/>
      <c r="E105" s="14"/>
      <c r="F105" s="14"/>
      <c r="G105" s="98"/>
      <c r="H105" s="8"/>
      <c r="I105" s="8"/>
      <c r="J105" s="8"/>
      <c r="K105" s="8"/>
      <c r="L105" s="8"/>
      <c r="M105" s="8"/>
      <c r="N105" s="8"/>
      <c r="O105" s="8"/>
      <c r="P105" s="8"/>
      <c r="Q105" s="8"/>
      <c r="R105" s="8"/>
      <c r="S105" s="8"/>
      <c r="T105" s="8"/>
      <c r="U105" s="8"/>
      <c r="V105" s="8"/>
      <c r="W105" s="8"/>
    </row>
    <row r="106" spans="1:23" x14ac:dyDescent="0.2">
      <c r="A106" s="55" t="str">
        <f>IF(B106&lt;&gt;"",COUNTA($B$7:B106),"")</f>
        <v/>
      </c>
      <c r="B106" s="14"/>
      <c r="C106" s="14"/>
      <c r="D106" s="14"/>
      <c r="E106" s="14"/>
      <c r="F106" s="14"/>
      <c r="G106" s="98"/>
      <c r="H106" s="8"/>
      <c r="I106" s="8"/>
      <c r="J106" s="8"/>
      <c r="K106" s="8"/>
      <c r="L106" s="8"/>
      <c r="M106" s="8"/>
      <c r="N106" s="8"/>
      <c r="O106" s="8"/>
      <c r="P106" s="8"/>
      <c r="Q106" s="8"/>
      <c r="R106" s="8"/>
      <c r="S106" s="8"/>
      <c r="T106" s="8"/>
      <c r="U106" s="8"/>
      <c r="V106" s="8"/>
      <c r="W106" s="8"/>
    </row>
    <row r="107" spans="1:23" x14ac:dyDescent="0.2">
      <c r="A107" s="55" t="str">
        <f>IF(B107&lt;&gt;"",COUNTA($B$7:B107),"")</f>
        <v/>
      </c>
      <c r="B107" s="14"/>
      <c r="C107" s="14"/>
      <c r="D107" s="14"/>
      <c r="E107" s="14"/>
      <c r="F107" s="14"/>
      <c r="G107" s="98"/>
      <c r="H107" s="8"/>
      <c r="I107" s="8"/>
      <c r="J107" s="8"/>
      <c r="K107" s="8"/>
      <c r="L107" s="8"/>
      <c r="M107" s="8"/>
      <c r="N107" s="8"/>
      <c r="O107" s="8"/>
      <c r="P107" s="8"/>
      <c r="Q107" s="8"/>
      <c r="R107" s="8"/>
      <c r="S107" s="8"/>
      <c r="T107" s="8"/>
      <c r="U107" s="8"/>
      <c r="V107" s="8"/>
      <c r="W107" s="8"/>
    </row>
    <row r="108" spans="1:23" x14ac:dyDescent="0.2">
      <c r="A108" s="55" t="str">
        <f>IF(B108&lt;&gt;"",COUNTA($B$7:B108),"")</f>
        <v/>
      </c>
      <c r="B108" s="14"/>
      <c r="C108" s="14"/>
      <c r="D108" s="14"/>
      <c r="E108" s="14"/>
      <c r="F108" s="14"/>
      <c r="G108" s="98"/>
      <c r="H108" s="8"/>
      <c r="I108" s="8"/>
      <c r="J108" s="8"/>
      <c r="K108" s="8"/>
      <c r="L108" s="8"/>
      <c r="M108" s="8"/>
      <c r="N108" s="8"/>
      <c r="O108" s="8"/>
      <c r="P108" s="8"/>
      <c r="Q108" s="8"/>
      <c r="R108" s="8"/>
      <c r="S108" s="8"/>
      <c r="T108" s="8"/>
      <c r="U108" s="8"/>
      <c r="V108" s="8"/>
      <c r="W108" s="8"/>
    </row>
    <row r="109" spans="1:23" x14ac:dyDescent="0.2">
      <c r="A109" s="55" t="str">
        <f>IF(B109&lt;&gt;"",COUNTA($B$7:B109),"")</f>
        <v/>
      </c>
      <c r="B109" s="14"/>
      <c r="C109" s="14"/>
      <c r="D109" s="14"/>
      <c r="E109" s="14"/>
      <c r="F109" s="14"/>
      <c r="G109" s="98"/>
      <c r="H109" s="8"/>
      <c r="I109" s="8"/>
      <c r="J109" s="8"/>
      <c r="K109" s="8"/>
      <c r="L109" s="8"/>
      <c r="M109" s="8"/>
      <c r="N109" s="8"/>
      <c r="O109" s="8"/>
      <c r="P109" s="8"/>
      <c r="Q109" s="8"/>
      <c r="R109" s="8"/>
      <c r="S109" s="8"/>
      <c r="T109" s="8"/>
      <c r="U109" s="8"/>
      <c r="V109" s="8"/>
      <c r="W109" s="8"/>
    </row>
    <row r="110" spans="1:23" x14ac:dyDescent="0.2">
      <c r="A110" s="55" t="str">
        <f>IF(B110&lt;&gt;"",COUNTA($B$7:B110),"")</f>
        <v/>
      </c>
      <c r="B110" s="14"/>
      <c r="C110" s="14"/>
      <c r="D110" s="14"/>
      <c r="E110" s="14"/>
      <c r="F110" s="14"/>
      <c r="G110" s="98"/>
      <c r="H110" s="8"/>
      <c r="I110" s="8"/>
      <c r="J110" s="8"/>
      <c r="K110" s="8"/>
      <c r="L110" s="8"/>
      <c r="M110" s="8"/>
      <c r="N110" s="8"/>
      <c r="O110" s="8"/>
      <c r="P110" s="8"/>
      <c r="Q110" s="8"/>
      <c r="R110" s="8"/>
      <c r="S110" s="8"/>
      <c r="T110" s="8"/>
      <c r="U110" s="8"/>
      <c r="V110" s="8"/>
      <c r="W110" s="8"/>
    </row>
    <row r="111" spans="1:23" x14ac:dyDescent="0.2">
      <c r="A111" s="55" t="str">
        <f>IF(B111&lt;&gt;"",COUNTA($B$7:B111),"")</f>
        <v/>
      </c>
      <c r="B111" s="14"/>
      <c r="C111" s="14"/>
      <c r="D111" s="14"/>
      <c r="E111" s="14"/>
      <c r="F111" s="14"/>
      <c r="G111" s="98"/>
      <c r="H111" s="8"/>
      <c r="I111" s="8"/>
      <c r="J111" s="8"/>
      <c r="K111" s="8"/>
      <c r="L111" s="8"/>
      <c r="M111" s="8"/>
      <c r="N111" s="8"/>
      <c r="O111" s="8"/>
      <c r="P111" s="8"/>
      <c r="Q111" s="8"/>
      <c r="R111" s="8"/>
      <c r="S111" s="8"/>
      <c r="T111" s="8"/>
      <c r="U111" s="8"/>
      <c r="V111" s="8"/>
      <c r="W111" s="8"/>
    </row>
    <row r="112" spans="1:23" x14ac:dyDescent="0.2">
      <c r="A112" s="55" t="str">
        <f>IF(B112&lt;&gt;"",COUNTA($B$7:B112),"")</f>
        <v/>
      </c>
      <c r="B112" s="14"/>
      <c r="C112" s="14"/>
      <c r="D112" s="14"/>
      <c r="E112" s="14"/>
      <c r="F112" s="14"/>
      <c r="G112" s="98"/>
      <c r="H112" s="8"/>
      <c r="I112" s="8"/>
      <c r="J112" s="8"/>
      <c r="K112" s="8"/>
      <c r="L112" s="8"/>
      <c r="M112" s="8"/>
      <c r="N112" s="8"/>
      <c r="O112" s="8"/>
      <c r="P112" s="8"/>
      <c r="Q112" s="8"/>
      <c r="R112" s="8"/>
      <c r="S112" s="8"/>
      <c r="T112" s="8"/>
      <c r="U112" s="8"/>
      <c r="V112" s="8"/>
      <c r="W112" s="8"/>
    </row>
    <row r="113" spans="1:23" x14ac:dyDescent="0.2">
      <c r="A113" s="55" t="str">
        <f>IF(B113&lt;&gt;"",COUNTA($B$7:B113),"")</f>
        <v/>
      </c>
      <c r="B113" s="14"/>
      <c r="C113" s="14"/>
      <c r="D113" s="14"/>
      <c r="E113" s="14"/>
      <c r="F113" s="14"/>
      <c r="G113" s="98"/>
      <c r="H113" s="8"/>
      <c r="I113" s="8"/>
      <c r="J113" s="8"/>
      <c r="K113" s="8"/>
      <c r="L113" s="8"/>
      <c r="M113" s="8"/>
      <c r="N113" s="8"/>
      <c r="O113" s="8"/>
      <c r="P113" s="8"/>
      <c r="Q113" s="8"/>
      <c r="R113" s="8"/>
      <c r="S113" s="8"/>
      <c r="T113" s="8"/>
      <c r="U113" s="8"/>
      <c r="V113" s="8"/>
      <c r="W113" s="8"/>
    </row>
    <row r="114" spans="1:23" x14ac:dyDescent="0.2">
      <c r="A114" s="55" t="str">
        <f>IF(B114&lt;&gt;"",COUNTA($B$7:B114),"")</f>
        <v/>
      </c>
      <c r="B114" s="14"/>
      <c r="C114" s="14"/>
      <c r="D114" s="14"/>
      <c r="E114" s="14"/>
      <c r="F114" s="14"/>
      <c r="G114" s="98"/>
      <c r="H114" s="8"/>
      <c r="I114" s="8"/>
      <c r="J114" s="8"/>
      <c r="K114" s="8"/>
      <c r="L114" s="8"/>
      <c r="M114" s="8"/>
      <c r="N114" s="8"/>
      <c r="O114" s="8"/>
      <c r="P114" s="8"/>
      <c r="Q114" s="8"/>
      <c r="R114" s="8"/>
      <c r="S114" s="8"/>
      <c r="T114" s="8"/>
      <c r="U114" s="8"/>
      <c r="V114" s="8"/>
      <c r="W114" s="8"/>
    </row>
    <row r="115" spans="1:23" x14ac:dyDescent="0.2">
      <c r="A115" s="55" t="str">
        <f>IF(B115&lt;&gt;"",COUNTA($B$7:B115),"")</f>
        <v/>
      </c>
      <c r="B115" s="14"/>
      <c r="C115" s="14"/>
      <c r="D115" s="14"/>
      <c r="E115" s="14"/>
      <c r="F115" s="14"/>
      <c r="G115" s="98"/>
      <c r="H115" s="8"/>
      <c r="I115" s="8"/>
      <c r="J115" s="8"/>
      <c r="K115" s="8"/>
      <c r="L115" s="8"/>
      <c r="M115" s="8"/>
      <c r="N115" s="8"/>
      <c r="O115" s="8"/>
      <c r="P115" s="8"/>
      <c r="Q115" s="8"/>
      <c r="R115" s="8"/>
      <c r="S115" s="8"/>
      <c r="T115" s="8"/>
      <c r="U115" s="8"/>
      <c r="V115" s="8"/>
      <c r="W115" s="8"/>
    </row>
    <row r="116" spans="1:23" x14ac:dyDescent="0.2">
      <c r="A116" s="55" t="str">
        <f>IF(B116&lt;&gt;"",COUNTA($B$7:B116),"")</f>
        <v/>
      </c>
      <c r="B116" s="14"/>
      <c r="C116" s="14"/>
      <c r="D116" s="14"/>
      <c r="E116" s="14"/>
      <c r="F116" s="14"/>
      <c r="G116" s="98"/>
      <c r="H116" s="8"/>
      <c r="I116" s="8"/>
      <c r="J116" s="8"/>
      <c r="K116" s="8"/>
      <c r="L116" s="8"/>
      <c r="M116" s="8"/>
      <c r="N116" s="8"/>
      <c r="O116" s="8"/>
      <c r="P116" s="8"/>
      <c r="Q116" s="8"/>
      <c r="R116" s="8"/>
      <c r="S116" s="8"/>
      <c r="T116" s="8"/>
      <c r="U116" s="8"/>
      <c r="V116" s="8"/>
      <c r="W116" s="8"/>
    </row>
    <row r="117" spans="1:23" x14ac:dyDescent="0.2">
      <c r="A117" s="55" t="str">
        <f>IF(B117&lt;&gt;"",COUNTA($B$7:B117),"")</f>
        <v/>
      </c>
      <c r="B117" s="14"/>
      <c r="C117" s="14"/>
      <c r="D117" s="14"/>
      <c r="E117" s="14"/>
      <c r="F117" s="14"/>
      <c r="G117" s="98"/>
      <c r="H117" s="8"/>
      <c r="I117" s="8"/>
      <c r="J117" s="8"/>
      <c r="K117" s="8"/>
      <c r="L117" s="8"/>
      <c r="M117" s="8"/>
      <c r="N117" s="8"/>
      <c r="O117" s="8"/>
      <c r="P117" s="8"/>
      <c r="Q117" s="8"/>
      <c r="R117" s="8"/>
      <c r="S117" s="8"/>
      <c r="T117" s="8"/>
      <c r="U117" s="8"/>
      <c r="V117" s="8"/>
      <c r="W117" s="8"/>
    </row>
    <row r="118" spans="1:23" x14ac:dyDescent="0.2">
      <c r="A118" s="55" t="str">
        <f>IF(B118&lt;&gt;"",COUNTA($B$7:B118),"")</f>
        <v/>
      </c>
      <c r="B118" s="14"/>
      <c r="C118" s="14"/>
      <c r="D118" s="14"/>
      <c r="E118" s="14"/>
      <c r="F118" s="14"/>
      <c r="G118" s="98"/>
      <c r="H118" s="8"/>
      <c r="I118" s="8"/>
      <c r="J118" s="8"/>
      <c r="K118" s="8"/>
      <c r="L118" s="8"/>
      <c r="M118" s="8"/>
      <c r="N118" s="8"/>
      <c r="O118" s="8"/>
      <c r="P118" s="8"/>
      <c r="Q118" s="8"/>
      <c r="R118" s="8"/>
      <c r="S118" s="8"/>
      <c r="T118" s="8"/>
      <c r="U118" s="8"/>
      <c r="V118" s="8"/>
      <c r="W118" s="8"/>
    </row>
    <row r="119" spans="1:23" x14ac:dyDescent="0.2">
      <c r="A119" s="55" t="str">
        <f>IF(B119&lt;&gt;"",COUNTA($B$7:B119),"")</f>
        <v/>
      </c>
      <c r="B119" s="14"/>
      <c r="C119" s="14"/>
      <c r="D119" s="14"/>
      <c r="E119" s="14"/>
      <c r="F119" s="14"/>
      <c r="G119" s="98"/>
      <c r="H119" s="8"/>
      <c r="I119" s="8"/>
      <c r="J119" s="8"/>
      <c r="K119" s="8"/>
      <c r="L119" s="8"/>
      <c r="M119" s="8"/>
      <c r="N119" s="8"/>
      <c r="O119" s="8"/>
      <c r="P119" s="8"/>
      <c r="Q119" s="8"/>
      <c r="R119" s="8"/>
      <c r="S119" s="8"/>
      <c r="T119" s="8"/>
      <c r="U119" s="8"/>
      <c r="V119" s="8"/>
      <c r="W119" s="8"/>
    </row>
    <row r="120" spans="1:23" x14ac:dyDescent="0.2">
      <c r="A120" s="55" t="str">
        <f>IF(B120&lt;&gt;"",COUNTA($B$7:B120),"")</f>
        <v/>
      </c>
      <c r="B120" s="14"/>
      <c r="C120" s="14"/>
      <c r="D120" s="14"/>
      <c r="E120" s="14"/>
      <c r="F120" s="14"/>
      <c r="G120" s="98"/>
      <c r="H120" s="8"/>
      <c r="I120" s="8"/>
      <c r="J120" s="8"/>
      <c r="K120" s="8"/>
      <c r="L120" s="8"/>
      <c r="M120" s="8"/>
      <c r="N120" s="8"/>
      <c r="O120" s="8"/>
      <c r="P120" s="8"/>
      <c r="Q120" s="8"/>
      <c r="R120" s="8"/>
      <c r="S120" s="8"/>
      <c r="T120" s="8"/>
      <c r="U120" s="8"/>
      <c r="V120" s="8"/>
      <c r="W120" s="8"/>
    </row>
    <row r="121" spans="1:23" x14ac:dyDescent="0.2">
      <c r="A121" s="55" t="str">
        <f>IF(B121&lt;&gt;"",COUNTA($B$7:B121),"")</f>
        <v/>
      </c>
      <c r="B121" s="14"/>
      <c r="C121" s="14"/>
      <c r="D121" s="14"/>
      <c r="E121" s="14"/>
      <c r="F121" s="14"/>
      <c r="G121" s="98"/>
      <c r="H121" s="8"/>
      <c r="I121" s="8"/>
      <c r="J121" s="8"/>
      <c r="K121" s="8"/>
      <c r="L121" s="8"/>
      <c r="M121" s="8"/>
      <c r="N121" s="8"/>
      <c r="O121" s="8"/>
      <c r="P121" s="8"/>
      <c r="Q121" s="8"/>
      <c r="R121" s="8"/>
      <c r="S121" s="8"/>
      <c r="T121" s="8"/>
      <c r="U121" s="8"/>
      <c r="V121" s="8"/>
      <c r="W121" s="8"/>
    </row>
    <row r="122" spans="1:23" x14ac:dyDescent="0.2">
      <c r="A122" s="55" t="str">
        <f>IF(B122&lt;&gt;"",COUNTA($B$7:B122),"")</f>
        <v/>
      </c>
      <c r="B122" s="14"/>
      <c r="C122" s="14"/>
      <c r="D122" s="14"/>
      <c r="E122" s="14"/>
      <c r="F122" s="14"/>
      <c r="G122" s="98"/>
      <c r="H122" s="8"/>
      <c r="I122" s="8"/>
      <c r="J122" s="8"/>
      <c r="K122" s="8"/>
      <c r="L122" s="8"/>
      <c r="M122" s="8"/>
      <c r="N122" s="8"/>
      <c r="O122" s="8"/>
      <c r="P122" s="8"/>
      <c r="Q122" s="8"/>
      <c r="R122" s="8"/>
      <c r="S122" s="8"/>
      <c r="T122" s="8"/>
      <c r="U122" s="8"/>
      <c r="V122" s="8"/>
      <c r="W122" s="8"/>
    </row>
    <row r="123" spans="1:23" x14ac:dyDescent="0.2">
      <c r="A123" s="55" t="str">
        <f>IF(B123&lt;&gt;"",COUNTA($B$7:B123),"")</f>
        <v/>
      </c>
      <c r="B123" s="14"/>
      <c r="C123" s="14"/>
      <c r="D123" s="14"/>
      <c r="E123" s="14"/>
      <c r="F123" s="14"/>
      <c r="G123" s="98"/>
      <c r="H123" s="8"/>
      <c r="I123" s="8"/>
      <c r="J123" s="8"/>
      <c r="K123" s="8"/>
      <c r="L123" s="8"/>
      <c r="M123" s="8"/>
      <c r="N123" s="8"/>
      <c r="O123" s="8"/>
      <c r="P123" s="8"/>
      <c r="Q123" s="8"/>
      <c r="R123" s="8"/>
      <c r="S123" s="8"/>
      <c r="T123" s="8"/>
      <c r="U123" s="8"/>
      <c r="V123" s="8"/>
      <c r="W123" s="8"/>
    </row>
    <row r="124" spans="1:23" x14ac:dyDescent="0.2">
      <c r="A124" s="55" t="str">
        <f>IF(B124&lt;&gt;"",COUNTA($B$7:B124),"")</f>
        <v/>
      </c>
      <c r="B124" s="14"/>
      <c r="C124" s="14"/>
      <c r="D124" s="14"/>
      <c r="E124" s="14"/>
      <c r="F124" s="14"/>
      <c r="G124" s="98"/>
      <c r="H124" s="8"/>
      <c r="I124" s="8"/>
      <c r="J124" s="8"/>
      <c r="K124" s="8"/>
      <c r="L124" s="8"/>
      <c r="M124" s="8"/>
      <c r="N124" s="8"/>
      <c r="O124" s="8"/>
      <c r="P124" s="8"/>
      <c r="Q124" s="8"/>
      <c r="R124" s="8"/>
      <c r="S124" s="8"/>
      <c r="T124" s="8"/>
      <c r="U124" s="8"/>
      <c r="V124" s="8"/>
      <c r="W124" s="8"/>
    </row>
    <row r="125" spans="1:23" x14ac:dyDescent="0.2">
      <c r="A125" s="55" t="str">
        <f>IF(B125&lt;&gt;"",COUNTA($B$7:B125),"")</f>
        <v/>
      </c>
      <c r="B125" s="14"/>
      <c r="C125" s="14"/>
      <c r="D125" s="14"/>
      <c r="E125" s="14"/>
      <c r="F125" s="14"/>
      <c r="G125" s="98"/>
      <c r="H125" s="8"/>
      <c r="I125" s="8"/>
      <c r="J125" s="8"/>
      <c r="K125" s="8"/>
      <c r="L125" s="8"/>
      <c r="M125" s="8"/>
      <c r="N125" s="8"/>
      <c r="O125" s="8"/>
      <c r="P125" s="8"/>
      <c r="Q125" s="8"/>
      <c r="R125" s="8"/>
      <c r="S125" s="8"/>
      <c r="T125" s="8"/>
      <c r="U125" s="8"/>
      <c r="V125" s="8"/>
      <c r="W125" s="8"/>
    </row>
    <row r="126" spans="1:23" x14ac:dyDescent="0.2">
      <c r="A126" s="55" t="str">
        <f>IF(B126&lt;&gt;"",COUNTA($B$7:B126),"")</f>
        <v/>
      </c>
      <c r="B126" s="14"/>
      <c r="C126" s="14"/>
      <c r="D126" s="14"/>
      <c r="E126" s="14"/>
      <c r="F126" s="14"/>
      <c r="G126" s="98"/>
      <c r="H126" s="8"/>
      <c r="I126" s="8"/>
      <c r="J126" s="8"/>
      <c r="K126" s="8"/>
      <c r="L126" s="8"/>
      <c r="M126" s="8"/>
      <c r="N126" s="8"/>
      <c r="O126" s="8"/>
      <c r="P126" s="8"/>
      <c r="Q126" s="8"/>
      <c r="R126" s="8"/>
      <c r="S126" s="8"/>
      <c r="T126" s="8"/>
      <c r="U126" s="8"/>
      <c r="V126" s="8"/>
      <c r="W126" s="8"/>
    </row>
    <row r="127" spans="1:23" x14ac:dyDescent="0.2">
      <c r="A127" s="55" t="str">
        <f>IF(B127&lt;&gt;"",COUNTA($B$7:B127),"")</f>
        <v/>
      </c>
      <c r="B127" s="14"/>
      <c r="C127" s="14"/>
      <c r="D127" s="14"/>
      <c r="E127" s="14"/>
      <c r="F127" s="14"/>
      <c r="G127" s="98"/>
      <c r="H127" s="8"/>
      <c r="I127" s="8"/>
      <c r="J127" s="8"/>
      <c r="K127" s="8"/>
      <c r="L127" s="8"/>
      <c r="M127" s="8"/>
      <c r="N127" s="8"/>
      <c r="O127" s="8"/>
      <c r="P127" s="8"/>
      <c r="Q127" s="8"/>
      <c r="R127" s="8"/>
      <c r="S127" s="8"/>
      <c r="T127" s="8"/>
      <c r="U127" s="8"/>
      <c r="V127" s="8"/>
      <c r="W127" s="8"/>
    </row>
    <row r="128" spans="1:23" x14ac:dyDescent="0.2">
      <c r="A128" s="55" t="str">
        <f>IF(B128&lt;&gt;"",COUNTA($B$7:B128),"")</f>
        <v/>
      </c>
      <c r="B128" s="14"/>
      <c r="C128" s="14"/>
      <c r="D128" s="14"/>
      <c r="E128" s="14"/>
      <c r="F128" s="14"/>
      <c r="G128" s="98"/>
      <c r="H128" s="8"/>
      <c r="I128" s="8"/>
      <c r="J128" s="8"/>
      <c r="K128" s="8"/>
      <c r="L128" s="8"/>
      <c r="M128" s="8"/>
      <c r="N128" s="8"/>
      <c r="O128" s="8"/>
      <c r="P128" s="8"/>
      <c r="Q128" s="8"/>
      <c r="R128" s="8"/>
      <c r="S128" s="8"/>
      <c r="T128" s="8"/>
      <c r="U128" s="8"/>
      <c r="V128" s="8"/>
      <c r="W128" s="8"/>
    </row>
    <row r="129" spans="1:23" x14ac:dyDescent="0.2">
      <c r="A129" s="55" t="str">
        <f>IF(B129&lt;&gt;"",COUNTA($B$7:B129),"")</f>
        <v/>
      </c>
      <c r="B129" s="14"/>
      <c r="C129" s="14"/>
      <c r="D129" s="14"/>
      <c r="E129" s="14"/>
      <c r="F129" s="14"/>
      <c r="G129" s="98"/>
      <c r="H129" s="8"/>
      <c r="I129" s="8"/>
      <c r="J129" s="8"/>
      <c r="K129" s="8"/>
      <c r="L129" s="8"/>
      <c r="M129" s="8"/>
      <c r="N129" s="8"/>
      <c r="O129" s="8"/>
      <c r="P129" s="8"/>
      <c r="Q129" s="8"/>
      <c r="R129" s="8"/>
      <c r="S129" s="8"/>
      <c r="T129" s="8"/>
      <c r="U129" s="8"/>
      <c r="V129" s="8"/>
      <c r="W129" s="8"/>
    </row>
    <row r="130" spans="1:23" x14ac:dyDescent="0.2">
      <c r="A130" s="55" t="str">
        <f>IF(B130&lt;&gt;"",COUNTA($B$7:B130),"")</f>
        <v/>
      </c>
      <c r="B130" s="14"/>
      <c r="C130" s="14"/>
      <c r="D130" s="14"/>
      <c r="E130" s="14"/>
      <c r="F130" s="14"/>
      <c r="G130" s="98"/>
      <c r="H130" s="8"/>
      <c r="I130" s="8"/>
      <c r="J130" s="8"/>
      <c r="K130" s="8"/>
      <c r="L130" s="8"/>
      <c r="M130" s="8"/>
      <c r="N130" s="8"/>
      <c r="O130" s="8"/>
      <c r="P130" s="8"/>
      <c r="Q130" s="8"/>
      <c r="R130" s="8"/>
      <c r="S130" s="8"/>
      <c r="T130" s="8"/>
      <c r="U130" s="8"/>
      <c r="V130" s="8"/>
      <c r="W130" s="8"/>
    </row>
    <row r="131" spans="1:23" x14ac:dyDescent="0.2">
      <c r="A131" s="55" t="str">
        <f>IF(B131&lt;&gt;"",COUNTA($B$7:B131),"")</f>
        <v/>
      </c>
      <c r="B131" s="14"/>
      <c r="C131" s="14"/>
      <c r="D131" s="14"/>
      <c r="E131" s="14"/>
      <c r="F131" s="14"/>
      <c r="G131" s="98"/>
      <c r="H131" s="8"/>
      <c r="I131" s="8"/>
      <c r="J131" s="8"/>
      <c r="K131" s="8"/>
      <c r="L131" s="8"/>
      <c r="M131" s="8"/>
      <c r="N131" s="8"/>
      <c r="O131" s="8"/>
      <c r="P131" s="8"/>
      <c r="Q131" s="8"/>
      <c r="R131" s="8"/>
      <c r="S131" s="8"/>
      <c r="T131" s="8"/>
      <c r="U131" s="8"/>
      <c r="V131" s="8"/>
      <c r="W131" s="8"/>
    </row>
    <row r="132" spans="1:23" x14ac:dyDescent="0.2">
      <c r="A132" s="55" t="str">
        <f>IF(B132&lt;&gt;"",COUNTA($B$7:B132),"")</f>
        <v/>
      </c>
      <c r="B132" s="14"/>
      <c r="C132" s="14"/>
      <c r="D132" s="14"/>
      <c r="E132" s="14"/>
      <c r="F132" s="14"/>
      <c r="G132" s="98"/>
      <c r="H132" s="8"/>
      <c r="I132" s="8"/>
      <c r="J132" s="8"/>
      <c r="K132" s="8"/>
      <c r="L132" s="8"/>
      <c r="M132" s="8"/>
      <c r="N132" s="8"/>
      <c r="O132" s="8"/>
      <c r="P132" s="8"/>
      <c r="Q132" s="8"/>
      <c r="R132" s="8"/>
      <c r="S132" s="8"/>
      <c r="T132" s="8"/>
      <c r="U132" s="8"/>
      <c r="V132" s="8"/>
      <c r="W132" s="8"/>
    </row>
    <row r="133" spans="1:23" x14ac:dyDescent="0.2">
      <c r="A133" s="55" t="str">
        <f>IF(B133&lt;&gt;"",COUNTA($B$7:B133),"")</f>
        <v/>
      </c>
      <c r="B133" s="14"/>
      <c r="C133" s="14"/>
      <c r="D133" s="14"/>
      <c r="E133" s="14"/>
      <c r="F133" s="14"/>
      <c r="G133" s="98"/>
      <c r="H133" s="8"/>
      <c r="I133" s="8"/>
      <c r="J133" s="8"/>
      <c r="K133" s="8"/>
      <c r="L133" s="8"/>
      <c r="M133" s="8"/>
      <c r="N133" s="8"/>
      <c r="O133" s="8"/>
      <c r="P133" s="8"/>
      <c r="Q133" s="8"/>
      <c r="R133" s="8"/>
      <c r="S133" s="8"/>
      <c r="T133" s="8"/>
      <c r="U133" s="8"/>
      <c r="V133" s="8"/>
      <c r="W133" s="8"/>
    </row>
    <row r="134" spans="1:23" x14ac:dyDescent="0.2">
      <c r="A134" s="55" t="str">
        <f>IF(B134&lt;&gt;"",COUNTA($B$7:B134),"")</f>
        <v/>
      </c>
      <c r="B134" s="14"/>
      <c r="C134" s="14"/>
      <c r="D134" s="14"/>
      <c r="E134" s="14"/>
      <c r="F134" s="14"/>
      <c r="G134" s="98"/>
      <c r="H134" s="8"/>
      <c r="I134" s="8"/>
      <c r="J134" s="8"/>
      <c r="K134" s="8"/>
      <c r="L134" s="8"/>
      <c r="M134" s="8"/>
      <c r="N134" s="8"/>
      <c r="O134" s="8"/>
      <c r="P134" s="8"/>
      <c r="Q134" s="8"/>
      <c r="R134" s="8"/>
      <c r="S134" s="8"/>
      <c r="T134" s="8"/>
      <c r="U134" s="8"/>
      <c r="V134" s="8"/>
      <c r="W134" s="8"/>
    </row>
    <row r="135" spans="1:23" x14ac:dyDescent="0.2">
      <c r="A135" s="55" t="str">
        <f>IF(B135&lt;&gt;"",COUNTA($B$7:B135),"")</f>
        <v/>
      </c>
      <c r="B135" s="14"/>
      <c r="C135" s="14"/>
      <c r="D135" s="14"/>
      <c r="E135" s="14"/>
      <c r="F135" s="14"/>
      <c r="G135" s="98"/>
      <c r="H135" s="8"/>
      <c r="I135" s="8"/>
      <c r="J135" s="8"/>
      <c r="K135" s="8"/>
      <c r="L135" s="8"/>
      <c r="M135" s="8"/>
      <c r="N135" s="8"/>
      <c r="O135" s="8"/>
      <c r="P135" s="8"/>
      <c r="Q135" s="8"/>
      <c r="R135" s="8"/>
      <c r="S135" s="8"/>
      <c r="T135" s="8"/>
      <c r="U135" s="8"/>
      <c r="V135" s="8"/>
      <c r="W135" s="8"/>
    </row>
    <row r="136" spans="1:23" x14ac:dyDescent="0.2">
      <c r="A136" s="55" t="str">
        <f>IF(B136&lt;&gt;"",COUNTA($B$7:B136),"")</f>
        <v/>
      </c>
      <c r="B136" s="14"/>
      <c r="C136" s="14"/>
      <c r="D136" s="14"/>
      <c r="E136" s="14"/>
      <c r="F136" s="14"/>
      <c r="G136" s="98"/>
      <c r="H136" s="8"/>
      <c r="I136" s="8"/>
      <c r="J136" s="8"/>
      <c r="K136" s="8"/>
      <c r="L136" s="8"/>
      <c r="M136" s="8"/>
      <c r="N136" s="8"/>
      <c r="O136" s="8"/>
      <c r="P136" s="8"/>
      <c r="Q136" s="8"/>
      <c r="R136" s="8"/>
      <c r="S136" s="8"/>
      <c r="T136" s="8"/>
      <c r="U136" s="8"/>
      <c r="V136" s="8"/>
      <c r="W136" s="8"/>
    </row>
    <row r="137" spans="1:23" x14ac:dyDescent="0.2">
      <c r="A137" s="55" t="str">
        <f>IF(B137&lt;&gt;"",COUNTA($B$7:B137),"")</f>
        <v/>
      </c>
      <c r="B137" s="14"/>
      <c r="C137" s="14"/>
      <c r="D137" s="14"/>
      <c r="E137" s="14"/>
      <c r="F137" s="14"/>
      <c r="G137" s="98"/>
      <c r="H137" s="8"/>
      <c r="I137" s="8"/>
      <c r="J137" s="8"/>
      <c r="K137" s="8"/>
      <c r="L137" s="8"/>
      <c r="M137" s="8"/>
      <c r="N137" s="8"/>
      <c r="O137" s="8"/>
      <c r="P137" s="8"/>
      <c r="Q137" s="8"/>
      <c r="R137" s="8"/>
      <c r="S137" s="8"/>
      <c r="T137" s="8"/>
      <c r="U137" s="8"/>
      <c r="V137" s="8"/>
      <c r="W137" s="8"/>
    </row>
    <row r="138" spans="1:23" x14ac:dyDescent="0.2">
      <c r="A138" s="55" t="str">
        <f>IF(B138&lt;&gt;"",COUNTA($B$7:B138),"")</f>
        <v/>
      </c>
      <c r="B138" s="14"/>
      <c r="C138" s="14"/>
      <c r="D138" s="14"/>
      <c r="E138" s="14"/>
      <c r="F138" s="14"/>
      <c r="G138" s="98"/>
      <c r="H138" s="8"/>
      <c r="I138" s="8"/>
      <c r="J138" s="8"/>
      <c r="K138" s="8"/>
      <c r="L138" s="8"/>
      <c r="M138" s="8"/>
      <c r="N138" s="8"/>
      <c r="O138" s="8"/>
      <c r="P138" s="8"/>
      <c r="Q138" s="8"/>
      <c r="R138" s="8"/>
      <c r="S138" s="8"/>
      <c r="T138" s="8"/>
      <c r="U138" s="8"/>
      <c r="V138" s="8"/>
      <c r="W138" s="8"/>
    </row>
    <row r="139" spans="1:23" x14ac:dyDescent="0.2">
      <c r="A139" s="55" t="str">
        <f>IF(B139&lt;&gt;"",COUNTA($B$7:B139),"")</f>
        <v/>
      </c>
      <c r="B139" s="14"/>
      <c r="C139" s="14"/>
      <c r="D139" s="14"/>
      <c r="E139" s="14"/>
      <c r="F139" s="14"/>
      <c r="G139" s="98"/>
      <c r="H139" s="8"/>
      <c r="I139" s="8"/>
      <c r="J139" s="8"/>
      <c r="K139" s="8"/>
      <c r="L139" s="8"/>
      <c r="M139" s="8"/>
      <c r="N139" s="8"/>
      <c r="O139" s="8"/>
      <c r="P139" s="8"/>
      <c r="Q139" s="8"/>
      <c r="R139" s="8"/>
      <c r="S139" s="8"/>
      <c r="T139" s="8"/>
      <c r="U139" s="8"/>
      <c r="V139" s="8"/>
      <c r="W139" s="8"/>
    </row>
    <row r="140" spans="1:23" x14ac:dyDescent="0.2">
      <c r="A140" s="55" t="str">
        <f>IF(B140&lt;&gt;"",COUNTA($B$7:B140),"")</f>
        <v/>
      </c>
      <c r="B140" s="14"/>
      <c r="C140" s="14"/>
      <c r="D140" s="14"/>
      <c r="E140" s="14"/>
      <c r="F140" s="14"/>
      <c r="G140" s="98"/>
      <c r="H140" s="8"/>
      <c r="I140" s="8"/>
      <c r="J140" s="8"/>
      <c r="K140" s="8"/>
      <c r="L140" s="8"/>
      <c r="M140" s="8"/>
      <c r="N140" s="8"/>
      <c r="O140" s="8"/>
      <c r="P140" s="8"/>
      <c r="Q140" s="8"/>
      <c r="R140" s="8"/>
      <c r="S140" s="8"/>
      <c r="T140" s="8"/>
      <c r="U140" s="8"/>
      <c r="V140" s="8"/>
      <c r="W140" s="8"/>
    </row>
    <row r="141" spans="1:23" x14ac:dyDescent="0.2">
      <c r="A141" s="55" t="str">
        <f>IF(B141&lt;&gt;"",COUNTA($B$7:B141),"")</f>
        <v/>
      </c>
      <c r="B141" s="14"/>
      <c r="C141" s="14"/>
      <c r="D141" s="14"/>
      <c r="E141" s="14"/>
      <c r="F141" s="14"/>
      <c r="G141" s="98"/>
      <c r="H141" s="8"/>
      <c r="I141" s="8"/>
      <c r="J141" s="8"/>
      <c r="K141" s="8"/>
      <c r="L141" s="8"/>
      <c r="M141" s="8"/>
      <c r="N141" s="8"/>
      <c r="O141" s="8"/>
      <c r="P141" s="8"/>
      <c r="Q141" s="8"/>
      <c r="R141" s="8"/>
      <c r="S141" s="8"/>
      <c r="T141" s="8"/>
      <c r="U141" s="8"/>
      <c r="V141" s="8"/>
      <c r="W141" s="8"/>
    </row>
    <row r="142" spans="1:23" x14ac:dyDescent="0.2">
      <c r="A142" s="55" t="str">
        <f>IF(B142&lt;&gt;"",COUNTA($B$7:B142),"")</f>
        <v/>
      </c>
      <c r="B142" s="14"/>
      <c r="C142" s="14"/>
      <c r="D142" s="14"/>
      <c r="E142" s="14"/>
      <c r="F142" s="14"/>
      <c r="G142" s="98"/>
      <c r="H142" s="8"/>
      <c r="I142" s="8"/>
      <c r="J142" s="8"/>
      <c r="K142" s="8"/>
      <c r="L142" s="8"/>
      <c r="M142" s="8"/>
      <c r="N142" s="8"/>
      <c r="O142" s="8"/>
      <c r="P142" s="8"/>
      <c r="Q142" s="8"/>
      <c r="R142" s="8"/>
      <c r="S142" s="8"/>
      <c r="T142" s="8"/>
      <c r="U142" s="8"/>
      <c r="V142" s="8"/>
      <c r="W142" s="8"/>
    </row>
    <row r="143" spans="1:23" x14ac:dyDescent="0.2">
      <c r="A143" s="55" t="str">
        <f>IF(B143&lt;&gt;"",COUNTA($B$7:B143),"")</f>
        <v/>
      </c>
      <c r="B143" s="14"/>
      <c r="C143" s="14"/>
      <c r="D143" s="14"/>
      <c r="E143" s="14"/>
      <c r="F143" s="14"/>
      <c r="G143" s="98"/>
      <c r="H143" s="8"/>
      <c r="I143" s="8"/>
      <c r="J143" s="8"/>
      <c r="K143" s="8"/>
      <c r="L143" s="8"/>
      <c r="M143" s="8"/>
      <c r="N143" s="8"/>
      <c r="O143" s="8"/>
      <c r="P143" s="8"/>
      <c r="Q143" s="8"/>
      <c r="R143" s="8"/>
      <c r="S143" s="8"/>
      <c r="T143" s="8"/>
      <c r="U143" s="8"/>
      <c r="V143" s="8"/>
      <c r="W143" s="8"/>
    </row>
    <row r="144" spans="1:23" x14ac:dyDescent="0.2">
      <c r="A144" s="55" t="str">
        <f>IF(B144&lt;&gt;"",COUNTA($B$7:B144),"")</f>
        <v/>
      </c>
      <c r="B144" s="14"/>
      <c r="C144" s="14"/>
      <c r="D144" s="14"/>
      <c r="E144" s="14"/>
      <c r="F144" s="14"/>
      <c r="G144" s="98"/>
      <c r="H144" s="8"/>
      <c r="I144" s="8"/>
      <c r="J144" s="8"/>
      <c r="K144" s="8"/>
      <c r="L144" s="8"/>
      <c r="M144" s="8"/>
      <c r="N144" s="8"/>
      <c r="O144" s="8"/>
      <c r="P144" s="8"/>
      <c r="Q144" s="8"/>
      <c r="R144" s="8"/>
      <c r="S144" s="8"/>
      <c r="T144" s="8"/>
      <c r="U144" s="8"/>
      <c r="V144" s="8"/>
      <c r="W144" s="8"/>
    </row>
    <row r="145" spans="1:23" x14ac:dyDescent="0.2">
      <c r="A145" s="55" t="str">
        <f>IF(B145&lt;&gt;"",COUNTA($B$7:B145),"")</f>
        <v/>
      </c>
      <c r="B145" s="14"/>
      <c r="C145" s="14"/>
      <c r="D145" s="14"/>
      <c r="E145" s="14"/>
      <c r="F145" s="14"/>
      <c r="G145" s="98"/>
      <c r="H145" s="8"/>
      <c r="I145" s="8"/>
      <c r="J145" s="8"/>
      <c r="K145" s="8"/>
      <c r="L145" s="8"/>
      <c r="M145" s="8"/>
      <c r="N145" s="8"/>
      <c r="O145" s="8"/>
      <c r="P145" s="8"/>
      <c r="Q145" s="8"/>
      <c r="R145" s="8"/>
      <c r="S145" s="8"/>
      <c r="T145" s="8"/>
      <c r="U145" s="8"/>
      <c r="V145" s="8"/>
      <c r="W145" s="8"/>
    </row>
    <row r="146" spans="1:23" x14ac:dyDescent="0.2">
      <c r="A146" s="55" t="str">
        <f>IF(B146&lt;&gt;"",COUNTA($B$7:B146),"")</f>
        <v/>
      </c>
      <c r="B146" s="14"/>
      <c r="C146" s="14"/>
      <c r="D146" s="14"/>
      <c r="E146" s="14"/>
      <c r="F146" s="14"/>
      <c r="G146" s="98"/>
      <c r="H146" s="8"/>
      <c r="I146" s="8"/>
      <c r="J146" s="8"/>
      <c r="K146" s="8"/>
      <c r="L146" s="8"/>
      <c r="M146" s="8"/>
      <c r="N146" s="8"/>
      <c r="O146" s="8"/>
      <c r="P146" s="8"/>
      <c r="Q146" s="8"/>
      <c r="R146" s="8"/>
      <c r="S146" s="8"/>
      <c r="T146" s="8"/>
      <c r="U146" s="8"/>
      <c r="V146" s="8"/>
      <c r="W146" s="8"/>
    </row>
    <row r="147" spans="1:23" x14ac:dyDescent="0.2">
      <c r="A147" s="55" t="str">
        <f>IF(B147&lt;&gt;"",COUNTA($B$7:B147),"")</f>
        <v/>
      </c>
      <c r="B147" s="14"/>
      <c r="C147" s="14"/>
      <c r="D147" s="14"/>
      <c r="E147" s="14"/>
      <c r="F147" s="14"/>
      <c r="G147" s="98"/>
      <c r="H147" s="8"/>
      <c r="I147" s="8"/>
      <c r="J147" s="8"/>
      <c r="K147" s="8"/>
      <c r="L147" s="8"/>
      <c r="M147" s="8"/>
      <c r="N147" s="8"/>
      <c r="O147" s="8"/>
      <c r="P147" s="8"/>
      <c r="Q147" s="8"/>
      <c r="R147" s="8"/>
      <c r="S147" s="8"/>
      <c r="T147" s="8"/>
      <c r="U147" s="8"/>
      <c r="V147" s="8"/>
      <c r="W147" s="8"/>
    </row>
    <row r="148" spans="1:23" x14ac:dyDescent="0.2">
      <c r="A148" s="55" t="str">
        <f>IF(B148&lt;&gt;"",COUNTA($B$7:B148),"")</f>
        <v/>
      </c>
      <c r="B148" s="14"/>
      <c r="C148" s="14"/>
      <c r="D148" s="14"/>
      <c r="E148" s="14"/>
      <c r="F148" s="14"/>
      <c r="G148" s="98"/>
      <c r="H148" s="8"/>
      <c r="I148" s="8"/>
      <c r="J148" s="8"/>
      <c r="K148" s="8"/>
      <c r="L148" s="8"/>
      <c r="M148" s="8"/>
      <c r="N148" s="8"/>
      <c r="O148" s="8"/>
      <c r="P148" s="8"/>
      <c r="Q148" s="8"/>
      <c r="R148" s="8"/>
      <c r="S148" s="8"/>
      <c r="T148" s="8"/>
      <c r="U148" s="8"/>
      <c r="V148" s="8"/>
      <c r="W148" s="8"/>
    </row>
    <row r="149" spans="1:23" x14ac:dyDescent="0.2">
      <c r="A149" s="55" t="str">
        <f>IF(B149&lt;&gt;"",COUNTA($B$7:B149),"")</f>
        <v/>
      </c>
      <c r="B149" s="14"/>
      <c r="C149" s="14"/>
      <c r="D149" s="14"/>
      <c r="E149" s="14"/>
      <c r="F149" s="14"/>
      <c r="G149" s="98"/>
      <c r="H149" s="8"/>
      <c r="I149" s="8"/>
      <c r="J149" s="8"/>
      <c r="K149" s="8"/>
      <c r="L149" s="8"/>
      <c r="M149" s="8"/>
      <c r="N149" s="8"/>
      <c r="O149" s="8"/>
      <c r="P149" s="8"/>
      <c r="Q149" s="8"/>
      <c r="R149" s="8"/>
      <c r="S149" s="8"/>
      <c r="T149" s="8"/>
      <c r="U149" s="8"/>
      <c r="V149" s="8"/>
      <c r="W149" s="8"/>
    </row>
    <row r="150" spans="1:23" x14ac:dyDescent="0.2">
      <c r="A150" s="55" t="str">
        <f>IF(B150&lt;&gt;"",COUNTA($B$7:B150),"")</f>
        <v/>
      </c>
      <c r="B150" s="14"/>
      <c r="C150" s="14"/>
      <c r="D150" s="14"/>
      <c r="E150" s="14"/>
      <c r="F150" s="14"/>
      <c r="G150" s="98"/>
      <c r="H150" s="8"/>
      <c r="I150" s="8"/>
      <c r="J150" s="8"/>
      <c r="K150" s="8"/>
      <c r="L150" s="8"/>
      <c r="M150" s="8"/>
      <c r="N150" s="8"/>
      <c r="O150" s="8"/>
      <c r="P150" s="8"/>
      <c r="Q150" s="8"/>
      <c r="R150" s="8"/>
      <c r="S150" s="8"/>
      <c r="T150" s="8"/>
      <c r="U150" s="8"/>
      <c r="V150" s="8"/>
      <c r="W150" s="8"/>
    </row>
    <row r="151" spans="1:23" x14ac:dyDescent="0.2">
      <c r="A151" s="55" t="str">
        <f>IF(B151&lt;&gt;"",COUNTA($B$7:B151),"")</f>
        <v/>
      </c>
      <c r="B151" s="14"/>
      <c r="C151" s="14"/>
      <c r="D151" s="14"/>
      <c r="E151" s="14"/>
      <c r="F151" s="14"/>
      <c r="G151" s="98"/>
      <c r="H151" s="8"/>
      <c r="I151" s="8"/>
      <c r="J151" s="8"/>
      <c r="K151" s="8"/>
      <c r="L151" s="8"/>
      <c r="M151" s="8"/>
      <c r="N151" s="8"/>
      <c r="O151" s="8"/>
      <c r="P151" s="8"/>
      <c r="Q151" s="8"/>
      <c r="R151" s="8"/>
      <c r="S151" s="8"/>
      <c r="T151" s="8"/>
      <c r="U151" s="8"/>
      <c r="V151" s="8"/>
      <c r="W151" s="8"/>
    </row>
    <row r="152" spans="1:23" x14ac:dyDescent="0.2">
      <c r="A152" s="55" t="str">
        <f>IF(B152&lt;&gt;"",COUNTA($B$7:B152),"")</f>
        <v/>
      </c>
      <c r="B152" s="14"/>
      <c r="C152" s="14"/>
      <c r="D152" s="14"/>
      <c r="E152" s="14"/>
      <c r="F152" s="14"/>
      <c r="G152" s="98"/>
      <c r="H152" s="8"/>
      <c r="I152" s="8"/>
      <c r="J152" s="8"/>
      <c r="K152" s="8"/>
      <c r="L152" s="8"/>
      <c r="M152" s="8"/>
      <c r="N152" s="8"/>
      <c r="O152" s="8"/>
      <c r="P152" s="8"/>
      <c r="Q152" s="8"/>
      <c r="R152" s="8"/>
      <c r="S152" s="8"/>
      <c r="T152" s="8"/>
      <c r="U152" s="8"/>
      <c r="V152" s="8"/>
      <c r="W152" s="8"/>
    </row>
    <row r="153" spans="1:23" x14ac:dyDescent="0.2">
      <c r="A153" s="55" t="str">
        <f>IF(B153&lt;&gt;"",COUNTA($B$7:B153),"")</f>
        <v/>
      </c>
      <c r="B153" s="14"/>
      <c r="C153" s="14"/>
      <c r="D153" s="14"/>
      <c r="E153" s="14"/>
      <c r="F153" s="14"/>
      <c r="G153" s="98"/>
      <c r="H153" s="8"/>
      <c r="I153" s="8"/>
      <c r="J153" s="8"/>
      <c r="K153" s="8"/>
      <c r="L153" s="8"/>
      <c r="M153" s="8"/>
      <c r="N153" s="8"/>
      <c r="O153" s="8"/>
      <c r="P153" s="8"/>
      <c r="Q153" s="8"/>
      <c r="R153" s="8"/>
      <c r="S153" s="8"/>
      <c r="T153" s="8"/>
      <c r="U153" s="8"/>
      <c r="V153" s="8"/>
      <c r="W153" s="8"/>
    </row>
    <row r="154" spans="1:23" x14ac:dyDescent="0.2">
      <c r="A154" s="55" t="str">
        <f>IF(B154&lt;&gt;"",COUNTA($B$7:B154),"")</f>
        <v/>
      </c>
      <c r="B154" s="14"/>
      <c r="C154" s="14"/>
      <c r="D154" s="14"/>
      <c r="E154" s="14"/>
      <c r="F154" s="14"/>
      <c r="G154" s="98"/>
      <c r="H154" s="8"/>
      <c r="I154" s="8"/>
      <c r="J154" s="8"/>
      <c r="K154" s="8"/>
      <c r="L154" s="8"/>
      <c r="M154" s="8"/>
      <c r="N154" s="8"/>
      <c r="O154" s="8"/>
      <c r="P154" s="8"/>
      <c r="Q154" s="8"/>
      <c r="R154" s="8"/>
      <c r="S154" s="8"/>
      <c r="T154" s="8"/>
      <c r="U154" s="8"/>
      <c r="V154" s="8"/>
      <c r="W154" s="8"/>
    </row>
    <row r="155" spans="1:23" x14ac:dyDescent="0.2">
      <c r="A155" s="55" t="str">
        <f>IF(B155&lt;&gt;"",COUNTA($B$7:B155),"")</f>
        <v/>
      </c>
      <c r="B155" s="14"/>
      <c r="C155" s="14"/>
      <c r="D155" s="14"/>
      <c r="E155" s="14"/>
      <c r="F155" s="14"/>
      <c r="G155" s="98"/>
      <c r="H155" s="8"/>
      <c r="I155" s="8"/>
      <c r="J155" s="8"/>
      <c r="K155" s="8"/>
      <c r="L155" s="8"/>
      <c r="M155" s="8"/>
      <c r="N155" s="8"/>
      <c r="O155" s="8"/>
      <c r="P155" s="8"/>
      <c r="Q155" s="8"/>
      <c r="R155" s="8"/>
      <c r="S155" s="8"/>
      <c r="T155" s="8"/>
      <c r="U155" s="8"/>
      <c r="V155" s="8"/>
      <c r="W155" s="8"/>
    </row>
    <row r="156" spans="1:23" x14ac:dyDescent="0.2">
      <c r="A156" s="55" t="str">
        <f>IF(B156&lt;&gt;"",COUNTA($B$7:B156),"")</f>
        <v/>
      </c>
      <c r="B156" s="14"/>
      <c r="C156" s="14"/>
      <c r="D156" s="14"/>
      <c r="E156" s="14"/>
      <c r="F156" s="14"/>
      <c r="G156" s="98"/>
      <c r="H156" s="8"/>
      <c r="I156" s="8"/>
      <c r="J156" s="8"/>
      <c r="K156" s="8"/>
      <c r="L156" s="8"/>
      <c r="M156" s="8"/>
      <c r="N156" s="8"/>
      <c r="O156" s="8"/>
      <c r="P156" s="8"/>
      <c r="Q156" s="8"/>
      <c r="R156" s="8"/>
      <c r="S156" s="8"/>
      <c r="T156" s="8"/>
      <c r="U156" s="8"/>
      <c r="V156" s="8"/>
      <c r="W156" s="8"/>
    </row>
    <row r="157" spans="1:23" x14ac:dyDescent="0.2">
      <c r="A157" s="55" t="str">
        <f>IF(B157&lt;&gt;"",COUNTA($B$7:B157),"")</f>
        <v/>
      </c>
      <c r="B157" s="14"/>
      <c r="C157" s="14"/>
      <c r="D157" s="14"/>
      <c r="E157" s="14"/>
      <c r="F157" s="14"/>
      <c r="G157" s="98"/>
      <c r="H157" s="8"/>
      <c r="I157" s="8"/>
      <c r="J157" s="8"/>
      <c r="K157" s="8"/>
      <c r="L157" s="8"/>
      <c r="M157" s="8"/>
      <c r="N157" s="8"/>
      <c r="O157" s="8"/>
      <c r="P157" s="8"/>
      <c r="Q157" s="8"/>
      <c r="R157" s="8"/>
      <c r="S157" s="8"/>
      <c r="T157" s="8"/>
      <c r="U157" s="8"/>
      <c r="V157" s="8"/>
      <c r="W157" s="8"/>
    </row>
    <row r="158" spans="1:23" x14ac:dyDescent="0.2">
      <c r="A158" s="55" t="str">
        <f>IF(B158&lt;&gt;"",COUNTA($B$7:B158),"")</f>
        <v/>
      </c>
      <c r="B158" s="14"/>
      <c r="C158" s="14"/>
      <c r="D158" s="14"/>
      <c r="E158" s="14"/>
      <c r="F158" s="14"/>
      <c r="G158" s="98"/>
      <c r="H158" s="8"/>
      <c r="I158" s="8"/>
      <c r="J158" s="8"/>
      <c r="K158" s="8"/>
      <c r="L158" s="8"/>
      <c r="M158" s="8"/>
      <c r="N158" s="8"/>
      <c r="O158" s="8"/>
      <c r="P158" s="8"/>
      <c r="Q158" s="8"/>
      <c r="R158" s="8"/>
      <c r="S158" s="8"/>
      <c r="T158" s="8"/>
      <c r="U158" s="8"/>
      <c r="V158" s="8"/>
      <c r="W158" s="8"/>
    </row>
    <row r="159" spans="1:23" x14ac:dyDescent="0.2">
      <c r="A159" s="55" t="str">
        <f>IF(B159&lt;&gt;"",COUNTA($B$7:B159),"")</f>
        <v/>
      </c>
      <c r="B159" s="14"/>
      <c r="C159" s="14"/>
      <c r="D159" s="14"/>
      <c r="E159" s="14"/>
      <c r="F159" s="14"/>
      <c r="G159" s="98"/>
      <c r="H159" s="8"/>
      <c r="I159" s="8"/>
      <c r="J159" s="8"/>
      <c r="K159" s="8"/>
      <c r="L159" s="8"/>
      <c r="M159" s="8"/>
      <c r="N159" s="8"/>
      <c r="O159" s="8"/>
      <c r="P159" s="8"/>
      <c r="Q159" s="8"/>
      <c r="R159" s="8"/>
      <c r="S159" s="8"/>
      <c r="T159" s="8"/>
      <c r="U159" s="8"/>
      <c r="V159" s="8"/>
      <c r="W159" s="8"/>
    </row>
    <row r="160" spans="1:23" x14ac:dyDescent="0.2">
      <c r="A160" s="55" t="str">
        <f>IF(B160&lt;&gt;"",COUNTA($B$7:B160),"")</f>
        <v/>
      </c>
      <c r="B160" s="14"/>
      <c r="C160" s="14"/>
      <c r="D160" s="14"/>
      <c r="E160" s="14"/>
      <c r="F160" s="14"/>
      <c r="G160" s="98"/>
      <c r="H160" s="8"/>
      <c r="I160" s="8"/>
      <c r="J160" s="8"/>
      <c r="K160" s="8"/>
      <c r="L160" s="8"/>
      <c r="M160" s="8"/>
      <c r="N160" s="8"/>
      <c r="O160" s="8"/>
      <c r="P160" s="8"/>
      <c r="Q160" s="8"/>
      <c r="R160" s="8"/>
      <c r="S160" s="8"/>
      <c r="T160" s="8"/>
      <c r="U160" s="8"/>
      <c r="V160" s="8"/>
      <c r="W160" s="8"/>
    </row>
    <row r="161" spans="1:23" x14ac:dyDescent="0.2">
      <c r="A161" s="55" t="str">
        <f>IF(B161&lt;&gt;"",COUNTA($B$7:B161),"")</f>
        <v/>
      </c>
      <c r="B161" s="14"/>
      <c r="C161" s="14"/>
      <c r="D161" s="14"/>
      <c r="E161" s="14"/>
      <c r="F161" s="14"/>
      <c r="G161" s="98"/>
      <c r="H161" s="8"/>
      <c r="I161" s="8"/>
      <c r="J161" s="8"/>
      <c r="K161" s="8"/>
      <c r="L161" s="8"/>
      <c r="M161" s="8"/>
      <c r="N161" s="8"/>
      <c r="O161" s="8"/>
      <c r="P161" s="8"/>
      <c r="Q161" s="8"/>
      <c r="R161" s="8"/>
      <c r="S161" s="8"/>
      <c r="T161" s="8"/>
      <c r="U161" s="8"/>
      <c r="V161" s="8"/>
      <c r="W161" s="8"/>
    </row>
    <row r="162" spans="1:23" x14ac:dyDescent="0.2">
      <c r="A162" s="55" t="str">
        <f>IF(B162&lt;&gt;"",COUNTA($B$7:B162),"")</f>
        <v/>
      </c>
      <c r="B162" s="14"/>
      <c r="C162" s="14"/>
      <c r="D162" s="14"/>
      <c r="E162" s="14"/>
      <c r="F162" s="14"/>
      <c r="G162" s="98"/>
      <c r="H162" s="8"/>
      <c r="I162" s="8"/>
      <c r="J162" s="8"/>
      <c r="K162" s="8"/>
      <c r="L162" s="8"/>
      <c r="M162" s="8"/>
      <c r="N162" s="8"/>
      <c r="O162" s="8"/>
      <c r="P162" s="8"/>
      <c r="Q162" s="8"/>
      <c r="R162" s="8"/>
      <c r="S162" s="8"/>
      <c r="T162" s="8"/>
      <c r="U162" s="8"/>
      <c r="V162" s="8"/>
      <c r="W162" s="8"/>
    </row>
    <row r="163" spans="1:23" x14ac:dyDescent="0.2">
      <c r="A163" s="55" t="str">
        <f>IF(B163&lt;&gt;"",COUNTA($B$7:B163),"")</f>
        <v/>
      </c>
      <c r="B163" s="14"/>
      <c r="C163" s="14"/>
      <c r="D163" s="14"/>
      <c r="E163" s="14"/>
      <c r="F163" s="14"/>
      <c r="G163" s="98"/>
      <c r="H163" s="8"/>
      <c r="I163" s="8"/>
      <c r="J163" s="8"/>
      <c r="K163" s="8"/>
      <c r="L163" s="8"/>
      <c r="M163" s="8"/>
      <c r="N163" s="8"/>
      <c r="O163" s="8"/>
      <c r="P163" s="8"/>
      <c r="Q163" s="8"/>
      <c r="R163" s="8"/>
      <c r="S163" s="8"/>
      <c r="T163" s="8"/>
      <c r="U163" s="8"/>
      <c r="V163" s="8"/>
      <c r="W163" s="8"/>
    </row>
    <row r="164" spans="1:23" x14ac:dyDescent="0.2">
      <c r="A164" s="55" t="str">
        <f>IF(B164&lt;&gt;"",COUNTA($B$7:B164),"")</f>
        <v/>
      </c>
      <c r="B164" s="14"/>
      <c r="C164" s="14"/>
      <c r="D164" s="14"/>
      <c r="E164" s="14"/>
      <c r="F164" s="14"/>
      <c r="G164" s="98"/>
      <c r="H164" s="8"/>
      <c r="I164" s="8"/>
      <c r="J164" s="8"/>
      <c r="K164" s="8"/>
      <c r="L164" s="8"/>
      <c r="M164" s="8"/>
      <c r="N164" s="8"/>
      <c r="O164" s="8"/>
      <c r="P164" s="8"/>
      <c r="Q164" s="8"/>
      <c r="R164" s="8"/>
      <c r="S164" s="8"/>
      <c r="T164" s="8"/>
      <c r="U164" s="8"/>
      <c r="V164" s="8"/>
      <c r="W164" s="8"/>
    </row>
    <row r="165" spans="1:23" x14ac:dyDescent="0.2">
      <c r="A165" s="55" t="str">
        <f>IF(B165&lt;&gt;"",COUNTA($B$7:B165),"")</f>
        <v/>
      </c>
      <c r="B165" s="14"/>
      <c r="C165" s="14"/>
      <c r="D165" s="14"/>
      <c r="E165" s="14"/>
      <c r="F165" s="14"/>
      <c r="G165" s="98"/>
      <c r="H165" s="8"/>
      <c r="I165" s="8"/>
      <c r="J165" s="8"/>
      <c r="K165" s="8"/>
      <c r="L165" s="8"/>
      <c r="M165" s="8"/>
      <c r="N165" s="8"/>
      <c r="O165" s="8"/>
      <c r="P165" s="8"/>
      <c r="Q165" s="8"/>
      <c r="R165" s="8"/>
      <c r="S165" s="8"/>
      <c r="T165" s="8"/>
      <c r="U165" s="8"/>
      <c r="V165" s="8"/>
      <c r="W165" s="8"/>
    </row>
    <row r="166" spans="1:23" x14ac:dyDescent="0.2">
      <c r="A166" s="55" t="str">
        <f>IF(B166&lt;&gt;"",COUNTA($B$7:B166),"")</f>
        <v/>
      </c>
      <c r="B166" s="14"/>
      <c r="C166" s="14"/>
      <c r="D166" s="14"/>
      <c r="E166" s="14"/>
      <c r="F166" s="14"/>
      <c r="G166" s="98"/>
      <c r="H166" s="8"/>
      <c r="I166" s="8"/>
      <c r="J166" s="8"/>
      <c r="K166" s="8"/>
      <c r="L166" s="8"/>
      <c r="M166" s="8"/>
      <c r="N166" s="8"/>
      <c r="O166" s="8"/>
      <c r="P166" s="8"/>
      <c r="Q166" s="8"/>
      <c r="R166" s="8"/>
      <c r="S166" s="8"/>
      <c r="T166" s="8"/>
      <c r="U166" s="8"/>
      <c r="V166" s="8"/>
      <c r="W166" s="8"/>
    </row>
    <row r="167" spans="1:23" x14ac:dyDescent="0.2">
      <c r="A167" s="55" t="str">
        <f>IF(B167&lt;&gt;"",COUNTA($B$7:B167),"")</f>
        <v/>
      </c>
      <c r="B167" s="14"/>
      <c r="C167" s="14"/>
      <c r="D167" s="14"/>
      <c r="E167" s="14"/>
      <c r="F167" s="14"/>
      <c r="G167" s="98"/>
      <c r="H167" s="8"/>
      <c r="I167" s="8"/>
      <c r="J167" s="8"/>
      <c r="K167" s="8"/>
      <c r="L167" s="8"/>
      <c r="M167" s="8"/>
      <c r="N167" s="8"/>
      <c r="O167" s="8"/>
      <c r="P167" s="8"/>
      <c r="Q167" s="8"/>
      <c r="R167" s="8"/>
      <c r="S167" s="8"/>
      <c r="T167" s="8"/>
      <c r="U167" s="8"/>
      <c r="V167" s="8"/>
      <c r="W167" s="8"/>
    </row>
    <row r="168" spans="1:23" x14ac:dyDescent="0.2">
      <c r="A168" s="55" t="str">
        <f>IF(B168&lt;&gt;"",COUNTA($B$7:B168),"")</f>
        <v/>
      </c>
      <c r="B168" s="14"/>
      <c r="C168" s="14"/>
      <c r="D168" s="14"/>
      <c r="E168" s="14"/>
      <c r="F168" s="14"/>
      <c r="G168" s="98"/>
      <c r="H168" s="8"/>
      <c r="I168" s="8"/>
      <c r="J168" s="8"/>
      <c r="K168" s="8"/>
      <c r="L168" s="8"/>
      <c r="M168" s="8"/>
      <c r="N168" s="8"/>
      <c r="O168" s="8"/>
      <c r="P168" s="8"/>
      <c r="Q168" s="8"/>
      <c r="R168" s="8"/>
      <c r="S168" s="8"/>
      <c r="T168" s="8"/>
      <c r="U168" s="8"/>
      <c r="V168" s="8"/>
      <c r="W168" s="8"/>
    </row>
    <row r="169" spans="1:23" x14ac:dyDescent="0.2">
      <c r="A169" s="55" t="str">
        <f>IF(B169&lt;&gt;"",COUNTA($B$7:B169),"")</f>
        <v/>
      </c>
      <c r="B169" s="14"/>
      <c r="C169" s="14"/>
      <c r="D169" s="14"/>
      <c r="E169" s="14"/>
      <c r="F169" s="14"/>
      <c r="G169" s="98"/>
      <c r="H169" s="8"/>
      <c r="I169" s="8"/>
      <c r="J169" s="8"/>
      <c r="K169" s="8"/>
      <c r="L169" s="8"/>
      <c r="M169" s="8"/>
      <c r="N169" s="8"/>
      <c r="O169" s="8"/>
      <c r="P169" s="8"/>
      <c r="Q169" s="8"/>
      <c r="R169" s="8"/>
      <c r="S169" s="8"/>
      <c r="T169" s="8"/>
      <c r="U169" s="8"/>
      <c r="V169" s="8"/>
      <c r="W169" s="8"/>
    </row>
    <row r="170" spans="1:23" x14ac:dyDescent="0.2">
      <c r="A170" s="55" t="str">
        <f>IF(B170&lt;&gt;"",COUNTA($B$7:B170),"")</f>
        <v/>
      </c>
      <c r="B170" s="14"/>
      <c r="C170" s="14"/>
      <c r="D170" s="14"/>
      <c r="E170" s="14"/>
      <c r="F170" s="14"/>
      <c r="G170" s="98"/>
      <c r="H170" s="8"/>
      <c r="I170" s="8"/>
      <c r="J170" s="8"/>
      <c r="K170" s="8"/>
      <c r="L170" s="8"/>
      <c r="M170" s="8"/>
      <c r="N170" s="8"/>
      <c r="O170" s="8"/>
      <c r="P170" s="8"/>
      <c r="Q170" s="8"/>
      <c r="R170" s="8"/>
      <c r="S170" s="8"/>
      <c r="T170" s="8"/>
      <c r="U170" s="8"/>
      <c r="V170" s="8"/>
      <c r="W170" s="8"/>
    </row>
    <row r="171" spans="1:23" x14ac:dyDescent="0.2">
      <c r="A171" s="55" t="str">
        <f>IF(B171&lt;&gt;"",COUNTA($B$7:B171),"")</f>
        <v/>
      </c>
      <c r="B171" s="14"/>
      <c r="C171" s="14"/>
      <c r="D171" s="14"/>
      <c r="E171" s="14"/>
      <c r="F171" s="14"/>
      <c r="G171" s="98"/>
      <c r="H171" s="8"/>
      <c r="I171" s="8"/>
      <c r="J171" s="8"/>
      <c r="K171" s="8"/>
      <c r="L171" s="8"/>
      <c r="M171" s="8"/>
      <c r="N171" s="8"/>
      <c r="O171" s="8"/>
      <c r="P171" s="8"/>
      <c r="Q171" s="8"/>
      <c r="R171" s="8"/>
      <c r="S171" s="8"/>
      <c r="T171" s="8"/>
      <c r="U171" s="8"/>
      <c r="V171" s="8"/>
      <c r="W171" s="8"/>
    </row>
    <row r="172" spans="1:23" x14ac:dyDescent="0.2">
      <c r="A172" s="55" t="str">
        <f>IF(B172&lt;&gt;"",COUNTA($B$7:B172),"")</f>
        <v/>
      </c>
      <c r="B172" s="14"/>
      <c r="C172" s="14"/>
      <c r="D172" s="14"/>
      <c r="E172" s="14"/>
      <c r="F172" s="14"/>
      <c r="G172" s="98"/>
      <c r="H172" s="8"/>
      <c r="I172" s="8"/>
      <c r="J172" s="8"/>
      <c r="K172" s="8"/>
      <c r="L172" s="8"/>
      <c r="M172" s="8"/>
      <c r="N172" s="8"/>
      <c r="O172" s="8"/>
      <c r="P172" s="8"/>
      <c r="Q172" s="8"/>
      <c r="R172" s="8"/>
      <c r="S172" s="8"/>
      <c r="T172" s="8"/>
      <c r="U172" s="8"/>
      <c r="V172" s="8"/>
      <c r="W172" s="8"/>
    </row>
    <row r="173" spans="1:23" x14ac:dyDescent="0.2">
      <c r="A173" s="55" t="str">
        <f>IF(B173&lt;&gt;"",COUNTA($B$7:B173),"")</f>
        <v/>
      </c>
      <c r="B173" s="14"/>
      <c r="C173" s="14"/>
      <c r="D173" s="14"/>
      <c r="E173" s="14"/>
      <c r="F173" s="14"/>
      <c r="G173" s="98"/>
      <c r="H173" s="8"/>
      <c r="I173" s="8"/>
      <c r="J173" s="8"/>
      <c r="K173" s="8"/>
      <c r="L173" s="8"/>
      <c r="M173" s="8"/>
      <c r="N173" s="8"/>
      <c r="O173" s="8"/>
      <c r="P173" s="8"/>
      <c r="Q173" s="8"/>
      <c r="R173" s="8"/>
      <c r="S173" s="8"/>
      <c r="T173" s="8"/>
      <c r="U173" s="8"/>
      <c r="V173" s="8"/>
      <c r="W173" s="8"/>
    </row>
    <row r="174" spans="1:23" x14ac:dyDescent="0.2">
      <c r="A174" s="55" t="str">
        <f>IF(B174&lt;&gt;"",COUNTA($B$7:B174),"")</f>
        <v/>
      </c>
      <c r="B174" s="14"/>
      <c r="C174" s="14"/>
      <c r="D174" s="14"/>
      <c r="E174" s="14"/>
      <c r="F174" s="14"/>
      <c r="G174" s="98"/>
      <c r="H174" s="8"/>
      <c r="I174" s="8"/>
      <c r="J174" s="8"/>
      <c r="K174" s="8"/>
      <c r="L174" s="8"/>
      <c r="M174" s="8"/>
      <c r="N174" s="8"/>
      <c r="O174" s="8"/>
      <c r="P174" s="8"/>
      <c r="Q174" s="8"/>
      <c r="R174" s="8"/>
      <c r="S174" s="8"/>
      <c r="T174" s="8"/>
      <c r="U174" s="8"/>
      <c r="V174" s="8"/>
      <c r="W174" s="8"/>
    </row>
    <row r="175" spans="1:23" x14ac:dyDescent="0.2">
      <c r="A175" s="55" t="str">
        <f>IF(B175&lt;&gt;"",COUNTA($B$7:B175),"")</f>
        <v/>
      </c>
      <c r="B175" s="14"/>
      <c r="C175" s="14"/>
      <c r="D175" s="14"/>
      <c r="E175" s="14"/>
      <c r="F175" s="14"/>
      <c r="G175" s="98"/>
      <c r="H175" s="8"/>
      <c r="I175" s="8"/>
      <c r="J175" s="8"/>
      <c r="K175" s="8"/>
      <c r="L175" s="8"/>
      <c r="M175" s="8"/>
      <c r="N175" s="8"/>
      <c r="O175" s="8"/>
      <c r="P175" s="8"/>
      <c r="Q175" s="8"/>
      <c r="R175" s="8"/>
      <c r="S175" s="8"/>
      <c r="T175" s="8"/>
      <c r="U175" s="8"/>
      <c r="V175" s="8"/>
      <c r="W175" s="8"/>
    </row>
    <row r="176" spans="1:23" x14ac:dyDescent="0.2">
      <c r="A176" s="55" t="str">
        <f>IF(B176&lt;&gt;"",COUNTA($B$7:B176),"")</f>
        <v/>
      </c>
      <c r="B176" s="14"/>
      <c r="C176" s="14"/>
      <c r="D176" s="14"/>
      <c r="E176" s="14"/>
      <c r="F176" s="14"/>
      <c r="G176" s="98"/>
      <c r="H176" s="8"/>
      <c r="I176" s="8"/>
      <c r="J176" s="8"/>
      <c r="K176" s="8"/>
      <c r="L176" s="8"/>
      <c r="M176" s="8"/>
      <c r="N176" s="8"/>
      <c r="O176" s="8"/>
      <c r="P176" s="8"/>
      <c r="Q176" s="8"/>
      <c r="R176" s="8"/>
      <c r="S176" s="8"/>
      <c r="T176" s="8"/>
      <c r="U176" s="8"/>
      <c r="V176" s="8"/>
      <c r="W176" s="8"/>
    </row>
    <row r="177" spans="1:23" x14ac:dyDescent="0.2">
      <c r="A177" s="55" t="str">
        <f>IF(B177&lt;&gt;"",COUNTA($B$7:B177),"")</f>
        <v/>
      </c>
      <c r="B177" s="14"/>
      <c r="C177" s="14"/>
      <c r="D177" s="14"/>
      <c r="E177" s="14"/>
      <c r="F177" s="14"/>
      <c r="G177" s="98"/>
      <c r="H177" s="8"/>
      <c r="I177" s="8"/>
      <c r="J177" s="8"/>
      <c r="K177" s="8"/>
      <c r="L177" s="8"/>
      <c r="M177" s="8"/>
      <c r="N177" s="8"/>
      <c r="O177" s="8"/>
      <c r="P177" s="8"/>
      <c r="Q177" s="8"/>
      <c r="R177" s="8"/>
      <c r="S177" s="8"/>
      <c r="T177" s="8"/>
      <c r="U177" s="8"/>
      <c r="V177" s="8"/>
      <c r="W177" s="8"/>
    </row>
    <row r="178" spans="1:23" x14ac:dyDescent="0.2">
      <c r="A178" s="55" t="str">
        <f>IF(B178&lt;&gt;"",COUNTA($B$7:B178),"")</f>
        <v/>
      </c>
      <c r="B178" s="14"/>
      <c r="C178" s="14"/>
      <c r="D178" s="14"/>
      <c r="E178" s="14"/>
      <c r="F178" s="14"/>
      <c r="G178" s="98"/>
      <c r="H178" s="8"/>
      <c r="I178" s="8"/>
      <c r="J178" s="8"/>
      <c r="K178" s="8"/>
      <c r="L178" s="8"/>
      <c r="M178" s="8"/>
      <c r="N178" s="8"/>
      <c r="O178" s="8"/>
      <c r="P178" s="8"/>
      <c r="Q178" s="8"/>
      <c r="R178" s="8"/>
      <c r="S178" s="8"/>
      <c r="T178" s="8"/>
      <c r="U178" s="8"/>
      <c r="V178" s="8"/>
      <c r="W178" s="8"/>
    </row>
    <row r="179" spans="1:23" x14ac:dyDescent="0.2">
      <c r="A179" s="55" t="str">
        <f>IF(B179&lt;&gt;"",COUNTA($B$7:B179),"")</f>
        <v/>
      </c>
      <c r="B179" s="14"/>
      <c r="C179" s="14"/>
      <c r="D179" s="14"/>
      <c r="E179" s="14"/>
      <c r="F179" s="14"/>
      <c r="G179" s="98"/>
      <c r="H179" s="8"/>
      <c r="I179" s="8"/>
      <c r="J179" s="8"/>
      <c r="K179" s="8"/>
      <c r="L179" s="8"/>
      <c r="M179" s="8"/>
      <c r="N179" s="8"/>
      <c r="O179" s="8"/>
      <c r="P179" s="8"/>
      <c r="Q179" s="8"/>
      <c r="R179" s="8"/>
      <c r="S179" s="8"/>
      <c r="T179" s="8"/>
      <c r="U179" s="8"/>
      <c r="V179" s="8"/>
      <c r="W179" s="8"/>
    </row>
    <row r="180" spans="1:23" x14ac:dyDescent="0.2">
      <c r="A180" s="55" t="str">
        <f>IF(B180&lt;&gt;"",COUNTA($B$7:B180),"")</f>
        <v/>
      </c>
      <c r="B180" s="14"/>
      <c r="C180" s="14"/>
      <c r="D180" s="14"/>
      <c r="E180" s="14"/>
      <c r="F180" s="14"/>
      <c r="G180" s="98"/>
      <c r="H180" s="8"/>
      <c r="I180" s="8"/>
      <c r="J180" s="8"/>
      <c r="K180" s="8"/>
      <c r="L180" s="8"/>
      <c r="M180" s="8"/>
      <c r="N180" s="8"/>
      <c r="O180" s="8"/>
      <c r="P180" s="8"/>
      <c r="Q180" s="8"/>
      <c r="R180" s="8"/>
      <c r="S180" s="8"/>
      <c r="T180" s="8"/>
      <c r="U180" s="8"/>
      <c r="V180" s="8"/>
      <c r="W180" s="8"/>
    </row>
    <row r="181" spans="1:23" x14ac:dyDescent="0.2">
      <c r="A181" s="55" t="str">
        <f>IF(B181&lt;&gt;"",COUNTA($B$7:B181),"")</f>
        <v/>
      </c>
      <c r="B181" s="14"/>
      <c r="C181" s="14"/>
      <c r="D181" s="14"/>
      <c r="E181" s="14"/>
      <c r="F181" s="14"/>
      <c r="G181" s="98"/>
      <c r="H181" s="8"/>
      <c r="I181" s="8"/>
      <c r="J181" s="8"/>
      <c r="K181" s="8"/>
      <c r="L181" s="8"/>
      <c r="M181" s="8"/>
      <c r="N181" s="8"/>
      <c r="O181" s="8"/>
      <c r="P181" s="8"/>
      <c r="Q181" s="8"/>
      <c r="R181" s="8"/>
      <c r="S181" s="8"/>
      <c r="T181" s="8"/>
      <c r="U181" s="8"/>
      <c r="V181" s="8"/>
      <c r="W181" s="8"/>
    </row>
    <row r="182" spans="1:23" x14ac:dyDescent="0.2">
      <c r="A182" s="55" t="str">
        <f>IF(B182&lt;&gt;"",COUNTA($B$7:B182),"")</f>
        <v/>
      </c>
      <c r="B182" s="14"/>
      <c r="C182" s="14"/>
      <c r="D182" s="14"/>
      <c r="E182" s="14"/>
      <c r="F182" s="14"/>
      <c r="G182" s="98"/>
      <c r="H182" s="8"/>
      <c r="I182" s="8"/>
      <c r="J182" s="8"/>
      <c r="K182" s="8"/>
      <c r="L182" s="8"/>
      <c r="M182" s="8"/>
      <c r="N182" s="8"/>
      <c r="O182" s="8"/>
      <c r="P182" s="8"/>
      <c r="Q182" s="8"/>
      <c r="R182" s="8"/>
      <c r="S182" s="8"/>
      <c r="T182" s="8"/>
      <c r="U182" s="8"/>
      <c r="V182" s="8"/>
      <c r="W182" s="8"/>
    </row>
    <row r="183" spans="1:23" x14ac:dyDescent="0.2">
      <c r="A183" s="55" t="str">
        <f>IF(B183&lt;&gt;"",COUNTA($B$7:B183),"")</f>
        <v/>
      </c>
      <c r="B183" s="14"/>
      <c r="C183" s="14"/>
      <c r="D183" s="14"/>
      <c r="E183" s="14"/>
      <c r="F183" s="14"/>
      <c r="G183" s="98"/>
      <c r="H183" s="8"/>
      <c r="I183" s="8"/>
      <c r="J183" s="8"/>
      <c r="K183" s="8"/>
      <c r="L183" s="8"/>
      <c r="M183" s="8"/>
      <c r="N183" s="8"/>
      <c r="O183" s="8"/>
      <c r="P183" s="8"/>
      <c r="Q183" s="8"/>
      <c r="R183" s="8"/>
      <c r="S183" s="8"/>
      <c r="T183" s="8"/>
      <c r="U183" s="8"/>
      <c r="V183" s="8"/>
      <c r="W183" s="8"/>
    </row>
    <row r="184" spans="1:23" x14ac:dyDescent="0.2">
      <c r="A184" s="55" t="str">
        <f>IF(B184&lt;&gt;"",COUNTA($B$7:B184),"")</f>
        <v/>
      </c>
      <c r="B184" s="14"/>
      <c r="C184" s="14"/>
      <c r="D184" s="14"/>
      <c r="E184" s="14"/>
      <c r="F184" s="14"/>
      <c r="G184" s="98"/>
      <c r="H184" s="8"/>
      <c r="I184" s="8"/>
      <c r="J184" s="8"/>
      <c r="K184" s="8"/>
      <c r="L184" s="8"/>
      <c r="M184" s="8"/>
      <c r="N184" s="8"/>
      <c r="O184" s="8"/>
      <c r="P184" s="8"/>
      <c r="Q184" s="8"/>
      <c r="R184" s="8"/>
      <c r="S184" s="8"/>
      <c r="T184" s="8"/>
      <c r="U184" s="8"/>
      <c r="V184" s="8"/>
      <c r="W184" s="8"/>
    </row>
    <row r="185" spans="1:23" x14ac:dyDescent="0.2">
      <c r="A185" s="55" t="str">
        <f>IF(B185&lt;&gt;"",COUNTA($B$7:B185),"")</f>
        <v/>
      </c>
      <c r="B185" s="14"/>
      <c r="C185" s="14"/>
      <c r="D185" s="14"/>
      <c r="E185" s="14"/>
      <c r="F185" s="14"/>
      <c r="G185" s="98"/>
      <c r="H185" s="8"/>
      <c r="I185" s="8"/>
      <c r="J185" s="8"/>
      <c r="K185" s="8"/>
      <c r="L185" s="8"/>
      <c r="M185" s="8"/>
      <c r="N185" s="8"/>
      <c r="O185" s="8"/>
      <c r="P185" s="8"/>
      <c r="Q185" s="8"/>
      <c r="R185" s="8"/>
      <c r="S185" s="8"/>
      <c r="T185" s="8"/>
      <c r="U185" s="8"/>
      <c r="V185" s="8"/>
      <c r="W185" s="8"/>
    </row>
    <row r="186" spans="1:23" x14ac:dyDescent="0.2">
      <c r="A186" s="55" t="str">
        <f>IF(B186&lt;&gt;"",COUNTA($B$7:B186),"")</f>
        <v/>
      </c>
      <c r="B186" s="14"/>
      <c r="C186" s="14"/>
      <c r="D186" s="14"/>
      <c r="E186" s="14"/>
      <c r="F186" s="14"/>
      <c r="G186" s="98"/>
      <c r="H186" s="8"/>
      <c r="I186" s="8"/>
      <c r="J186" s="8"/>
      <c r="K186" s="8"/>
      <c r="L186" s="8"/>
      <c r="M186" s="8"/>
      <c r="N186" s="8"/>
      <c r="O186" s="8"/>
      <c r="P186" s="8"/>
      <c r="Q186" s="8"/>
      <c r="R186" s="8"/>
      <c r="S186" s="8"/>
      <c r="T186" s="8"/>
      <c r="U186" s="8"/>
      <c r="V186" s="8"/>
      <c r="W186" s="8"/>
    </row>
    <row r="187" spans="1:23" x14ac:dyDescent="0.2">
      <c r="A187" s="55" t="str">
        <f>IF(B187&lt;&gt;"",COUNTA($B$7:B187),"")</f>
        <v/>
      </c>
      <c r="B187" s="14"/>
      <c r="C187" s="14"/>
      <c r="D187" s="14"/>
      <c r="E187" s="14"/>
      <c r="F187" s="14"/>
      <c r="G187" s="98"/>
      <c r="H187" s="8"/>
      <c r="I187" s="8"/>
      <c r="J187" s="8"/>
      <c r="K187" s="8"/>
      <c r="L187" s="8"/>
      <c r="M187" s="8"/>
      <c r="N187" s="8"/>
      <c r="O187" s="8"/>
      <c r="P187" s="8"/>
      <c r="Q187" s="8"/>
      <c r="R187" s="8"/>
      <c r="S187" s="8"/>
      <c r="T187" s="8"/>
      <c r="U187" s="8"/>
      <c r="V187" s="8"/>
      <c r="W187" s="8"/>
    </row>
    <row r="188" spans="1:23" x14ac:dyDescent="0.2">
      <c r="A188" s="55" t="str">
        <f>IF(B188&lt;&gt;"",COUNTA($B$7:B188),"")</f>
        <v/>
      </c>
      <c r="B188" s="14"/>
      <c r="C188" s="14"/>
      <c r="D188" s="14"/>
      <c r="E188" s="14"/>
      <c r="F188" s="14"/>
      <c r="G188" s="98"/>
      <c r="H188" s="8"/>
      <c r="I188" s="8"/>
      <c r="J188" s="8"/>
      <c r="K188" s="8"/>
      <c r="L188" s="8"/>
      <c r="M188" s="8"/>
      <c r="N188" s="8"/>
      <c r="O188" s="8"/>
      <c r="P188" s="8"/>
      <c r="Q188" s="8"/>
      <c r="R188" s="8"/>
      <c r="S188" s="8"/>
      <c r="T188" s="8"/>
      <c r="U188" s="8"/>
      <c r="V188" s="8"/>
      <c r="W188" s="8"/>
    </row>
    <row r="189" spans="1:23" ht="16" thickBot="1" x14ac:dyDescent="0.25">
      <c r="A189" s="57" t="str">
        <f>IF(B189&lt;&gt;"",COUNTA($B$7:B189),"")</f>
        <v/>
      </c>
      <c r="B189" s="99"/>
      <c r="C189" s="99"/>
      <c r="D189" s="99"/>
      <c r="E189" s="99"/>
      <c r="F189" s="99"/>
      <c r="G189" s="100"/>
      <c r="H189" s="8"/>
      <c r="I189" s="8"/>
      <c r="J189" s="8"/>
      <c r="K189" s="8"/>
      <c r="L189" s="8"/>
      <c r="M189" s="8"/>
      <c r="N189" s="8"/>
      <c r="O189" s="8"/>
      <c r="P189" s="8"/>
      <c r="Q189" s="8"/>
      <c r="R189" s="8"/>
      <c r="S189" s="8"/>
      <c r="T189" s="8"/>
      <c r="U189" s="8"/>
      <c r="V189" s="8"/>
      <c r="W189" s="8"/>
    </row>
    <row r="190" spans="1:23" x14ac:dyDescent="0.2">
      <c r="A190" s="8"/>
      <c r="B190" s="8"/>
      <c r="C190" s="8"/>
      <c r="D190" s="8"/>
      <c r="E190" s="8"/>
      <c r="F190" s="8"/>
      <c r="G190" s="8"/>
      <c r="H190" s="8"/>
      <c r="I190" s="8"/>
      <c r="J190" s="8"/>
      <c r="K190" s="8"/>
      <c r="L190" s="8"/>
      <c r="M190" s="8"/>
      <c r="N190" s="8"/>
      <c r="O190" s="8"/>
      <c r="P190" s="8"/>
      <c r="Q190" s="8"/>
      <c r="R190" s="8"/>
      <c r="S190" s="8"/>
      <c r="T190" s="8"/>
      <c r="U190" s="8"/>
      <c r="V190" s="8"/>
    </row>
    <row r="191" spans="1:23" x14ac:dyDescent="0.2">
      <c r="A191" s="8"/>
      <c r="B191" s="8"/>
      <c r="C191" s="8"/>
      <c r="D191" s="8"/>
      <c r="E191" s="8"/>
      <c r="F191" s="8"/>
      <c r="G191" s="8"/>
      <c r="H191" s="8"/>
      <c r="I191" s="8"/>
      <c r="J191" s="8"/>
      <c r="K191" s="8"/>
      <c r="L191" s="8"/>
      <c r="M191" s="8"/>
      <c r="N191" s="8"/>
      <c r="O191" s="8"/>
      <c r="P191" s="8"/>
      <c r="Q191" s="8"/>
      <c r="R191" s="8"/>
      <c r="S191" s="8"/>
      <c r="T191" s="8"/>
      <c r="U191" s="8"/>
      <c r="V191" s="8"/>
    </row>
    <row r="192" spans="1:23" x14ac:dyDescent="0.2">
      <c r="A192" s="8"/>
      <c r="B192" s="8"/>
      <c r="C192" s="8"/>
      <c r="D192" s="8"/>
      <c r="E192" s="8"/>
      <c r="F192" s="8"/>
      <c r="G192" s="8"/>
      <c r="H192" s="8"/>
      <c r="I192" s="8"/>
      <c r="J192" s="8"/>
      <c r="K192" s="8"/>
      <c r="L192" s="8"/>
      <c r="M192" s="8"/>
      <c r="N192" s="8"/>
      <c r="O192" s="8"/>
      <c r="P192" s="8"/>
      <c r="Q192" s="8"/>
      <c r="R192" s="8"/>
      <c r="S192" s="8"/>
      <c r="T192" s="8"/>
      <c r="U192" s="8"/>
      <c r="V192" s="8"/>
    </row>
    <row r="193" spans="1:22" x14ac:dyDescent="0.2">
      <c r="A193" s="8"/>
      <c r="B193" s="8"/>
      <c r="C193" s="8"/>
      <c r="D193" s="8"/>
      <c r="E193" s="8"/>
      <c r="F193" s="8"/>
      <c r="G193" s="8"/>
      <c r="H193" s="8"/>
      <c r="I193" s="8"/>
      <c r="J193" s="8"/>
      <c r="K193" s="8"/>
      <c r="L193" s="8"/>
      <c r="M193" s="8"/>
      <c r="N193" s="8"/>
      <c r="O193" s="8"/>
      <c r="P193" s="8"/>
      <c r="Q193" s="8"/>
      <c r="R193" s="8"/>
      <c r="S193" s="8"/>
      <c r="T193" s="8"/>
      <c r="U193" s="8"/>
      <c r="V193" s="8"/>
    </row>
    <row r="194" spans="1:22" x14ac:dyDescent="0.2">
      <c r="A194" s="8"/>
      <c r="B194" s="8"/>
      <c r="C194" s="8"/>
      <c r="D194" s="8"/>
      <c r="E194" s="8"/>
      <c r="F194" s="8"/>
      <c r="G194" s="8"/>
      <c r="H194" s="8"/>
      <c r="I194" s="8"/>
      <c r="J194" s="8"/>
      <c r="K194" s="8"/>
      <c r="L194" s="8"/>
      <c r="M194" s="8"/>
      <c r="N194" s="8"/>
      <c r="O194" s="8"/>
      <c r="P194" s="8"/>
      <c r="Q194" s="8"/>
      <c r="R194" s="8"/>
      <c r="S194" s="8"/>
      <c r="T194" s="8"/>
      <c r="U194" s="8"/>
      <c r="V194" s="8"/>
    </row>
    <row r="195" spans="1:22" x14ac:dyDescent="0.2">
      <c r="A195" s="8"/>
      <c r="B195" s="8"/>
      <c r="C195" s="8"/>
      <c r="D195" s="8"/>
      <c r="E195" s="8"/>
      <c r="F195" s="8"/>
      <c r="G195" s="8"/>
      <c r="H195" s="8"/>
      <c r="I195" s="8"/>
      <c r="J195" s="8"/>
      <c r="K195" s="8"/>
      <c r="L195" s="8"/>
      <c r="M195" s="8"/>
      <c r="N195" s="8"/>
      <c r="O195" s="8"/>
      <c r="P195" s="8"/>
      <c r="Q195" s="8"/>
      <c r="R195" s="8"/>
      <c r="S195" s="8"/>
      <c r="T195" s="8"/>
      <c r="U195" s="8"/>
      <c r="V195" s="8"/>
    </row>
    <row r="196" spans="1:22" x14ac:dyDescent="0.2">
      <c r="A196" s="8"/>
      <c r="B196" s="8"/>
      <c r="C196" s="8"/>
      <c r="D196" s="8"/>
      <c r="E196" s="8"/>
      <c r="F196" s="8"/>
      <c r="G196" s="8"/>
      <c r="H196" s="8"/>
      <c r="I196" s="8"/>
      <c r="J196" s="8"/>
      <c r="K196" s="8"/>
      <c r="L196" s="8"/>
      <c r="M196" s="8"/>
      <c r="N196" s="8"/>
      <c r="O196" s="8"/>
      <c r="P196" s="8"/>
      <c r="Q196" s="8"/>
      <c r="R196" s="8"/>
      <c r="S196" s="8"/>
      <c r="T196" s="8"/>
      <c r="U196" s="8"/>
      <c r="V196" s="8"/>
    </row>
    <row r="197" spans="1:22" x14ac:dyDescent="0.2">
      <c r="A197" s="8"/>
      <c r="B197" s="8"/>
      <c r="C197" s="8"/>
      <c r="D197" s="8"/>
      <c r="E197" s="8"/>
      <c r="F197" s="8"/>
      <c r="G197" s="8"/>
      <c r="H197" s="8"/>
      <c r="I197" s="8"/>
      <c r="J197" s="8"/>
      <c r="K197" s="8"/>
      <c r="L197" s="8"/>
      <c r="M197" s="8"/>
      <c r="N197" s="8"/>
      <c r="O197" s="8"/>
      <c r="P197" s="8"/>
      <c r="Q197" s="8"/>
      <c r="R197" s="8"/>
      <c r="S197" s="8"/>
      <c r="T197" s="8"/>
      <c r="U197" s="8"/>
      <c r="V197" s="8"/>
    </row>
    <row r="198" spans="1:22" x14ac:dyDescent="0.2">
      <c r="A198" s="8"/>
      <c r="B198" s="8"/>
      <c r="C198" s="8"/>
      <c r="D198" s="8"/>
      <c r="E198" s="8"/>
      <c r="F198" s="8"/>
      <c r="G198" s="8"/>
      <c r="H198" s="8"/>
      <c r="I198" s="8"/>
      <c r="J198" s="8"/>
      <c r="K198" s="8"/>
      <c r="L198" s="8"/>
      <c r="M198" s="8"/>
      <c r="N198" s="8"/>
      <c r="O198" s="8"/>
      <c r="P198" s="8"/>
      <c r="Q198" s="8"/>
      <c r="R198" s="8"/>
      <c r="S198" s="8"/>
      <c r="T198" s="8"/>
      <c r="U198" s="8"/>
      <c r="V198" s="8"/>
    </row>
    <row r="199" spans="1:22" x14ac:dyDescent="0.2">
      <c r="A199" s="8"/>
      <c r="B199" s="8"/>
      <c r="C199" s="8"/>
      <c r="D199" s="8"/>
      <c r="E199" s="8"/>
      <c r="F199" s="8"/>
      <c r="G199" s="8"/>
      <c r="H199" s="8"/>
      <c r="I199" s="8"/>
      <c r="J199" s="8"/>
      <c r="K199" s="8"/>
      <c r="L199" s="8"/>
      <c r="M199" s="8"/>
      <c r="N199" s="8"/>
      <c r="O199" s="8"/>
      <c r="P199" s="8"/>
      <c r="Q199" s="8"/>
      <c r="R199" s="8"/>
      <c r="S199" s="8"/>
      <c r="T199" s="8"/>
      <c r="U199" s="8"/>
      <c r="V199" s="8"/>
    </row>
    <row r="200" spans="1:22" x14ac:dyDescent="0.2">
      <c r="A200" s="8"/>
      <c r="B200" s="8"/>
      <c r="C200" s="8"/>
      <c r="D200" s="8"/>
      <c r="E200" s="8"/>
      <c r="F200" s="8"/>
      <c r="G200" s="8"/>
      <c r="H200" s="8"/>
      <c r="I200" s="8"/>
      <c r="J200" s="8"/>
      <c r="K200" s="8"/>
      <c r="L200" s="8"/>
      <c r="M200" s="8"/>
      <c r="N200" s="8"/>
      <c r="O200" s="8"/>
      <c r="P200" s="8"/>
      <c r="Q200" s="8"/>
      <c r="R200" s="8"/>
      <c r="S200" s="8"/>
      <c r="T200" s="8"/>
      <c r="U200" s="8"/>
      <c r="V200" s="8"/>
    </row>
    <row r="201" spans="1:22" x14ac:dyDescent="0.2">
      <c r="A201" s="8"/>
      <c r="B201" s="8"/>
      <c r="C201" s="8"/>
      <c r="D201" s="8"/>
      <c r="E201" s="8"/>
      <c r="F201" s="8"/>
      <c r="G201" s="8"/>
      <c r="H201" s="8"/>
      <c r="I201" s="8"/>
      <c r="J201" s="8"/>
      <c r="K201" s="8"/>
      <c r="L201" s="8"/>
      <c r="M201" s="8"/>
      <c r="N201" s="8"/>
      <c r="O201" s="8"/>
      <c r="P201" s="8"/>
      <c r="Q201" s="8"/>
      <c r="R201" s="8"/>
      <c r="S201" s="8"/>
      <c r="T201" s="8"/>
      <c r="U201" s="8"/>
      <c r="V201" s="8"/>
    </row>
    <row r="202" spans="1:22" x14ac:dyDescent="0.2">
      <c r="A202" s="8"/>
      <c r="B202" s="8"/>
      <c r="C202" s="8"/>
      <c r="D202" s="8"/>
      <c r="E202" s="8"/>
      <c r="F202" s="8"/>
      <c r="G202" s="8"/>
      <c r="H202" s="8"/>
      <c r="I202" s="8"/>
      <c r="J202" s="8"/>
      <c r="K202" s="8"/>
      <c r="L202" s="8"/>
      <c r="M202" s="8"/>
      <c r="N202" s="8"/>
      <c r="O202" s="8"/>
      <c r="P202" s="8"/>
      <c r="Q202" s="8"/>
      <c r="R202" s="8"/>
      <c r="S202" s="8"/>
      <c r="T202" s="8"/>
      <c r="U202" s="8"/>
      <c r="V202" s="8"/>
    </row>
    <row r="203" spans="1:22" x14ac:dyDescent="0.2">
      <c r="A203" s="8"/>
      <c r="B203" s="8"/>
      <c r="C203" s="8"/>
      <c r="D203" s="8"/>
      <c r="E203" s="8"/>
      <c r="F203" s="8"/>
      <c r="G203" s="8"/>
      <c r="H203" s="8"/>
      <c r="I203" s="8"/>
      <c r="J203" s="8"/>
      <c r="K203" s="8"/>
      <c r="L203" s="8"/>
      <c r="M203" s="8"/>
      <c r="N203" s="8"/>
      <c r="O203" s="8"/>
      <c r="P203" s="8"/>
      <c r="Q203" s="8"/>
      <c r="R203" s="8"/>
      <c r="S203" s="8"/>
      <c r="T203" s="8"/>
      <c r="U203" s="8"/>
      <c r="V203" s="8"/>
    </row>
    <row r="204" spans="1:22" x14ac:dyDescent="0.2">
      <c r="A204" s="8"/>
      <c r="B204" s="8"/>
      <c r="C204" s="8"/>
      <c r="D204" s="8"/>
      <c r="E204" s="8"/>
      <c r="F204" s="8"/>
      <c r="G204" s="8"/>
      <c r="H204" s="8"/>
      <c r="I204" s="8"/>
      <c r="J204" s="8"/>
      <c r="K204" s="8"/>
      <c r="L204" s="8"/>
      <c r="M204" s="8"/>
      <c r="N204" s="8"/>
      <c r="O204" s="8"/>
      <c r="P204" s="8"/>
      <c r="Q204" s="8"/>
      <c r="R204" s="8"/>
      <c r="S204" s="8"/>
      <c r="T204" s="8"/>
      <c r="U204" s="8"/>
      <c r="V204" s="8"/>
    </row>
    <row r="205" spans="1:22" x14ac:dyDescent="0.2">
      <c r="A205" s="8"/>
      <c r="B205" s="8"/>
      <c r="C205" s="8"/>
      <c r="D205" s="8"/>
      <c r="E205" s="8"/>
      <c r="F205" s="8"/>
      <c r="G205" s="8"/>
      <c r="H205" s="8"/>
      <c r="I205" s="8"/>
      <c r="J205" s="8"/>
      <c r="K205" s="8"/>
      <c r="L205" s="8"/>
      <c r="M205" s="8"/>
      <c r="N205" s="8"/>
      <c r="O205" s="8"/>
      <c r="P205" s="8"/>
      <c r="Q205" s="8"/>
      <c r="R205" s="8"/>
      <c r="S205" s="8"/>
      <c r="T205" s="8"/>
      <c r="U205" s="8"/>
      <c r="V205" s="8"/>
    </row>
    <row r="206" spans="1:22" x14ac:dyDescent="0.2">
      <c r="A206" s="8"/>
      <c r="B206" s="8"/>
      <c r="C206" s="8"/>
      <c r="D206" s="8"/>
      <c r="E206" s="8"/>
      <c r="F206" s="8"/>
      <c r="G206" s="8"/>
      <c r="H206" s="8"/>
      <c r="I206" s="8"/>
      <c r="J206" s="8"/>
      <c r="K206" s="8"/>
      <c r="L206" s="8"/>
      <c r="M206" s="8"/>
      <c r="N206" s="8"/>
      <c r="O206" s="8"/>
      <c r="P206" s="8"/>
      <c r="Q206" s="8"/>
      <c r="R206" s="8"/>
      <c r="S206" s="8"/>
      <c r="T206" s="8"/>
      <c r="U206" s="8"/>
      <c r="V206" s="8"/>
    </row>
    <row r="207" spans="1:22" x14ac:dyDescent="0.2">
      <c r="A207" s="8"/>
      <c r="B207" s="8"/>
      <c r="C207" s="8"/>
      <c r="D207" s="8"/>
      <c r="E207" s="8"/>
      <c r="F207" s="8"/>
      <c r="G207" s="8"/>
      <c r="H207" s="8"/>
      <c r="I207" s="8"/>
      <c r="J207" s="8"/>
      <c r="K207" s="8"/>
      <c r="L207" s="8"/>
      <c r="M207" s="8"/>
      <c r="N207" s="8"/>
      <c r="O207" s="8"/>
      <c r="P207" s="8"/>
      <c r="Q207" s="8"/>
      <c r="R207" s="8"/>
      <c r="S207" s="8"/>
      <c r="T207" s="8"/>
      <c r="U207" s="8"/>
      <c r="V207" s="8"/>
    </row>
    <row r="208" spans="1:22" x14ac:dyDescent="0.2">
      <c r="A208" s="8"/>
      <c r="B208" s="8"/>
      <c r="C208" s="8"/>
      <c r="D208" s="8"/>
      <c r="E208" s="8"/>
      <c r="F208" s="8"/>
      <c r="G208" s="8"/>
      <c r="H208" s="8"/>
      <c r="I208" s="8"/>
      <c r="J208" s="8"/>
      <c r="K208" s="8"/>
      <c r="L208" s="8"/>
      <c r="M208" s="8"/>
      <c r="N208" s="8"/>
      <c r="O208" s="8"/>
      <c r="P208" s="8"/>
      <c r="Q208" s="8"/>
      <c r="R208" s="8"/>
      <c r="S208" s="8"/>
      <c r="T208" s="8"/>
      <c r="U208" s="8"/>
      <c r="V208" s="8"/>
    </row>
    <row r="209" spans="1:22" x14ac:dyDescent="0.2">
      <c r="A209" s="8"/>
      <c r="B209" s="8"/>
      <c r="C209" s="8"/>
      <c r="D209" s="8"/>
      <c r="E209" s="8"/>
      <c r="F209" s="8"/>
      <c r="G209" s="8"/>
      <c r="H209" s="8"/>
      <c r="I209" s="8"/>
      <c r="J209" s="8"/>
      <c r="K209" s="8"/>
      <c r="L209" s="8"/>
      <c r="M209" s="8"/>
      <c r="N209" s="8"/>
      <c r="O209" s="8"/>
      <c r="P209" s="8"/>
      <c r="Q209" s="8"/>
      <c r="R209" s="8"/>
      <c r="S209" s="8"/>
      <c r="T209" s="8"/>
      <c r="U209" s="8"/>
      <c r="V209" s="8"/>
    </row>
    <row r="210" spans="1:22" x14ac:dyDescent="0.2">
      <c r="A210" s="8"/>
      <c r="B210" s="8"/>
      <c r="C210" s="8"/>
      <c r="D210" s="8"/>
      <c r="E210" s="8"/>
      <c r="F210" s="8"/>
      <c r="G210" s="8"/>
      <c r="H210" s="8"/>
      <c r="I210" s="8"/>
      <c r="J210" s="8"/>
      <c r="K210" s="8"/>
      <c r="L210" s="8"/>
      <c r="M210" s="8"/>
      <c r="N210" s="8"/>
      <c r="O210" s="8"/>
      <c r="P210" s="8"/>
      <c r="Q210" s="8"/>
      <c r="R210" s="8"/>
      <c r="S210" s="8"/>
      <c r="T210" s="8"/>
      <c r="U210" s="8"/>
      <c r="V210" s="8"/>
    </row>
    <row r="211" spans="1:22" x14ac:dyDescent="0.2">
      <c r="A211" s="8"/>
      <c r="B211" s="8"/>
      <c r="C211" s="8"/>
      <c r="D211" s="8"/>
      <c r="E211" s="8"/>
      <c r="F211" s="8"/>
      <c r="G211" s="8"/>
      <c r="H211" s="8"/>
      <c r="I211" s="8"/>
      <c r="J211" s="8"/>
      <c r="K211" s="8"/>
      <c r="L211" s="8"/>
      <c r="M211" s="8"/>
      <c r="N211" s="8"/>
      <c r="O211" s="8"/>
      <c r="P211" s="8"/>
      <c r="Q211" s="8"/>
      <c r="R211" s="8"/>
      <c r="S211" s="8"/>
      <c r="T211" s="8"/>
      <c r="U211" s="8"/>
      <c r="V211" s="8"/>
    </row>
    <row r="212" spans="1:22" x14ac:dyDescent="0.2">
      <c r="A212" s="8"/>
      <c r="B212" s="8"/>
      <c r="C212" s="8"/>
      <c r="D212" s="8"/>
      <c r="E212" s="8"/>
      <c r="F212" s="8"/>
      <c r="G212" s="8"/>
      <c r="H212" s="8"/>
      <c r="I212" s="8"/>
      <c r="J212" s="8"/>
      <c r="K212" s="8"/>
      <c r="L212" s="8"/>
      <c r="M212" s="8"/>
      <c r="N212" s="8"/>
      <c r="O212" s="8"/>
      <c r="P212" s="8"/>
      <c r="Q212" s="8"/>
      <c r="R212" s="8"/>
      <c r="S212" s="8"/>
      <c r="T212" s="8"/>
      <c r="U212" s="8"/>
      <c r="V212" s="8"/>
    </row>
    <row r="213" spans="1:22" x14ac:dyDescent="0.2">
      <c r="A213" s="8"/>
      <c r="B213" s="8"/>
      <c r="C213" s="8"/>
      <c r="D213" s="8"/>
      <c r="E213" s="8"/>
      <c r="F213" s="8"/>
      <c r="G213" s="8"/>
      <c r="H213" s="8"/>
      <c r="I213" s="8"/>
      <c r="J213" s="8"/>
      <c r="K213" s="8"/>
      <c r="L213" s="8"/>
      <c r="M213" s="8"/>
      <c r="N213" s="8"/>
      <c r="O213" s="8"/>
      <c r="P213" s="8"/>
      <c r="Q213" s="8"/>
      <c r="R213" s="8"/>
      <c r="S213" s="8"/>
      <c r="T213" s="8"/>
      <c r="U213" s="8"/>
      <c r="V213" s="8"/>
    </row>
    <row r="214" spans="1:22" x14ac:dyDescent="0.2">
      <c r="A214" s="8"/>
      <c r="B214" s="8"/>
      <c r="C214" s="8"/>
      <c r="D214" s="8"/>
      <c r="E214" s="8"/>
      <c r="F214" s="8"/>
      <c r="G214" s="8"/>
      <c r="H214" s="8"/>
      <c r="I214" s="8"/>
      <c r="J214" s="8"/>
      <c r="K214" s="8"/>
      <c r="L214" s="8"/>
      <c r="M214" s="8"/>
      <c r="N214" s="8"/>
      <c r="O214" s="8"/>
      <c r="P214" s="8"/>
      <c r="Q214" s="8"/>
      <c r="R214" s="8"/>
      <c r="S214" s="8"/>
      <c r="T214" s="8"/>
      <c r="U214" s="8"/>
      <c r="V214" s="8"/>
    </row>
    <row r="215" spans="1:22" x14ac:dyDescent="0.2">
      <c r="A215" s="8"/>
      <c r="B215" s="8"/>
      <c r="C215" s="8"/>
      <c r="D215" s="8"/>
      <c r="E215" s="8"/>
      <c r="F215" s="8"/>
      <c r="G215" s="8"/>
      <c r="H215" s="8"/>
      <c r="I215" s="8"/>
      <c r="J215" s="8"/>
      <c r="K215" s="8"/>
      <c r="L215" s="8"/>
      <c r="M215" s="8"/>
      <c r="N215" s="8"/>
      <c r="O215" s="8"/>
      <c r="P215" s="8"/>
      <c r="Q215" s="8"/>
      <c r="R215" s="8"/>
      <c r="S215" s="8"/>
      <c r="T215" s="8"/>
      <c r="U215" s="8"/>
      <c r="V215" s="8"/>
    </row>
    <row r="216" spans="1:22" x14ac:dyDescent="0.2">
      <c r="A216" s="8"/>
      <c r="B216" s="8"/>
      <c r="C216" s="8"/>
      <c r="D216" s="8"/>
      <c r="E216" s="8"/>
      <c r="F216" s="8"/>
      <c r="G216" s="8"/>
      <c r="H216" s="8"/>
      <c r="I216" s="8"/>
      <c r="J216" s="8"/>
      <c r="K216" s="8"/>
      <c r="L216" s="8"/>
      <c r="M216" s="8"/>
      <c r="N216" s="8"/>
      <c r="O216" s="8"/>
      <c r="P216" s="8"/>
      <c r="Q216" s="8"/>
      <c r="R216" s="8"/>
      <c r="S216" s="8"/>
      <c r="T216" s="8"/>
      <c r="U216" s="8"/>
      <c r="V216" s="8"/>
    </row>
    <row r="217" spans="1:22" x14ac:dyDescent="0.2">
      <c r="A217" s="8"/>
      <c r="B217" s="8"/>
      <c r="C217" s="8"/>
      <c r="D217" s="8"/>
      <c r="E217" s="8"/>
      <c r="F217" s="8"/>
      <c r="G217" s="8"/>
      <c r="H217" s="8"/>
      <c r="I217" s="8"/>
      <c r="J217" s="8"/>
      <c r="K217" s="8"/>
      <c r="L217" s="8"/>
      <c r="M217" s="8"/>
      <c r="N217" s="8"/>
      <c r="O217" s="8"/>
      <c r="P217" s="8"/>
      <c r="Q217" s="8"/>
      <c r="R217" s="8"/>
      <c r="S217" s="8"/>
      <c r="T217" s="8"/>
      <c r="U217" s="8"/>
      <c r="V217" s="8"/>
    </row>
    <row r="218" spans="1:22" x14ac:dyDescent="0.2">
      <c r="A218" s="8"/>
      <c r="B218" s="8"/>
      <c r="C218" s="8"/>
      <c r="D218" s="8"/>
      <c r="E218" s="8"/>
      <c r="F218" s="8"/>
      <c r="G218" s="8"/>
      <c r="H218" s="8"/>
      <c r="I218" s="8"/>
      <c r="J218" s="8"/>
      <c r="K218" s="8"/>
      <c r="L218" s="8"/>
      <c r="M218" s="8"/>
      <c r="N218" s="8"/>
      <c r="O218" s="8"/>
      <c r="P218" s="8"/>
      <c r="Q218" s="8"/>
      <c r="R218" s="8"/>
      <c r="S218" s="8"/>
      <c r="T218" s="8"/>
      <c r="U218" s="8"/>
      <c r="V218" s="8"/>
    </row>
    <row r="219" spans="1:22" x14ac:dyDescent="0.2">
      <c r="A219" s="8"/>
      <c r="B219" s="8"/>
      <c r="C219" s="8"/>
      <c r="D219" s="8"/>
      <c r="E219" s="8"/>
      <c r="F219" s="8"/>
      <c r="G219" s="8"/>
      <c r="H219" s="8"/>
      <c r="I219" s="8"/>
      <c r="J219" s="8"/>
      <c r="K219" s="8"/>
      <c r="L219" s="8"/>
      <c r="M219" s="8"/>
      <c r="N219" s="8"/>
      <c r="O219" s="8"/>
      <c r="P219" s="8"/>
      <c r="Q219" s="8"/>
      <c r="R219" s="8"/>
      <c r="S219" s="8"/>
      <c r="T219" s="8"/>
      <c r="U219" s="8"/>
      <c r="V219" s="8"/>
    </row>
    <row r="220" spans="1:22" x14ac:dyDescent="0.2">
      <c r="A220" s="8"/>
      <c r="B220" s="8"/>
      <c r="C220" s="8"/>
      <c r="D220" s="8"/>
      <c r="E220" s="8"/>
      <c r="F220" s="8"/>
      <c r="G220" s="8"/>
      <c r="H220" s="8"/>
      <c r="I220" s="8"/>
      <c r="J220" s="8"/>
      <c r="K220" s="8"/>
      <c r="L220" s="8"/>
      <c r="M220" s="8"/>
      <c r="N220" s="8"/>
      <c r="O220" s="8"/>
      <c r="P220" s="8"/>
      <c r="Q220" s="8"/>
      <c r="R220" s="8"/>
      <c r="S220" s="8"/>
      <c r="T220" s="8"/>
      <c r="U220" s="8"/>
      <c r="V220" s="8"/>
    </row>
    <row r="221" spans="1:22" x14ac:dyDescent="0.2">
      <c r="A221" s="8"/>
      <c r="B221" s="8"/>
      <c r="C221" s="8"/>
      <c r="D221" s="8"/>
      <c r="E221" s="8"/>
      <c r="F221" s="8"/>
      <c r="G221" s="8"/>
      <c r="H221" s="8"/>
      <c r="I221" s="8"/>
      <c r="J221" s="8"/>
      <c r="K221" s="8"/>
      <c r="L221" s="8"/>
      <c r="M221" s="8"/>
      <c r="N221" s="8"/>
      <c r="O221" s="8"/>
      <c r="P221" s="8"/>
      <c r="Q221" s="8"/>
      <c r="R221" s="8"/>
      <c r="S221" s="8"/>
      <c r="T221" s="8"/>
      <c r="U221" s="8"/>
      <c r="V221" s="8"/>
    </row>
    <row r="222" spans="1:22" x14ac:dyDescent="0.2">
      <c r="A222" s="8"/>
      <c r="B222" s="8"/>
      <c r="C222" s="8"/>
      <c r="D222" s="8"/>
      <c r="E222" s="8"/>
      <c r="F222" s="8"/>
      <c r="G222" s="8"/>
      <c r="H222" s="8"/>
      <c r="I222" s="8"/>
      <c r="J222" s="8"/>
      <c r="K222" s="8"/>
      <c r="L222" s="8"/>
      <c r="M222" s="8"/>
      <c r="N222" s="8"/>
      <c r="O222" s="8"/>
      <c r="P222" s="8"/>
      <c r="Q222" s="8"/>
      <c r="R222" s="8"/>
      <c r="S222" s="8"/>
      <c r="T222" s="8"/>
      <c r="U222" s="8"/>
      <c r="V222" s="8"/>
    </row>
    <row r="223" spans="1:22" x14ac:dyDescent="0.2">
      <c r="A223" s="8"/>
      <c r="B223" s="8"/>
      <c r="C223" s="8"/>
      <c r="D223" s="8"/>
      <c r="E223" s="8"/>
      <c r="F223" s="8"/>
      <c r="G223" s="8"/>
      <c r="H223" s="8"/>
      <c r="I223" s="8"/>
      <c r="J223" s="8"/>
      <c r="K223" s="8"/>
      <c r="L223" s="8"/>
      <c r="M223" s="8"/>
      <c r="N223" s="8"/>
      <c r="O223" s="8"/>
      <c r="P223" s="8"/>
      <c r="Q223" s="8"/>
      <c r="R223" s="8"/>
      <c r="S223" s="8"/>
      <c r="T223" s="8"/>
      <c r="U223" s="8"/>
      <c r="V223" s="8"/>
    </row>
    <row r="224" spans="1:22" x14ac:dyDescent="0.2">
      <c r="A224" s="8"/>
      <c r="B224" s="8"/>
      <c r="C224" s="8"/>
      <c r="D224" s="8"/>
      <c r="E224" s="8"/>
      <c r="F224" s="8"/>
      <c r="G224" s="8"/>
      <c r="H224" s="8"/>
      <c r="I224" s="8"/>
      <c r="J224" s="8"/>
      <c r="K224" s="8"/>
      <c r="L224" s="8"/>
      <c r="M224" s="8"/>
      <c r="N224" s="8"/>
      <c r="O224" s="8"/>
      <c r="P224" s="8"/>
      <c r="Q224" s="8"/>
      <c r="R224" s="8"/>
      <c r="S224" s="8"/>
      <c r="T224" s="8"/>
      <c r="U224" s="8"/>
      <c r="V224" s="8"/>
    </row>
    <row r="225" spans="1:22" x14ac:dyDescent="0.2">
      <c r="A225" s="8"/>
      <c r="B225" s="8"/>
      <c r="C225" s="8"/>
      <c r="D225" s="8"/>
      <c r="E225" s="8"/>
      <c r="F225" s="8"/>
      <c r="G225" s="8"/>
      <c r="H225" s="8"/>
      <c r="I225" s="8"/>
      <c r="J225" s="8"/>
      <c r="K225" s="8"/>
      <c r="L225" s="8"/>
      <c r="M225" s="8"/>
      <c r="N225" s="8"/>
      <c r="O225" s="8"/>
      <c r="P225" s="8"/>
      <c r="Q225" s="8"/>
      <c r="R225" s="8"/>
      <c r="S225" s="8"/>
      <c r="T225" s="8"/>
      <c r="U225" s="8"/>
      <c r="V225" s="8"/>
    </row>
    <row r="226" spans="1:22" x14ac:dyDescent="0.2">
      <c r="A226" s="8"/>
      <c r="B226" s="8"/>
      <c r="C226" s="8"/>
      <c r="D226" s="8"/>
      <c r="E226" s="8"/>
      <c r="F226" s="8"/>
      <c r="G226" s="8"/>
      <c r="H226" s="8"/>
      <c r="I226" s="8"/>
      <c r="J226" s="8"/>
      <c r="K226" s="8"/>
      <c r="L226" s="8"/>
      <c r="M226" s="8"/>
      <c r="N226" s="8"/>
      <c r="O226" s="8"/>
      <c r="P226" s="8"/>
      <c r="Q226" s="8"/>
      <c r="R226" s="8"/>
      <c r="S226" s="8"/>
      <c r="T226" s="8"/>
      <c r="U226" s="8"/>
      <c r="V226" s="8"/>
    </row>
    <row r="227" spans="1:22" x14ac:dyDescent="0.2">
      <c r="A227" s="8"/>
      <c r="B227" s="8"/>
      <c r="C227" s="8"/>
      <c r="D227" s="8"/>
      <c r="E227" s="8"/>
      <c r="F227" s="8"/>
      <c r="G227" s="8"/>
      <c r="H227" s="8"/>
      <c r="I227" s="8"/>
      <c r="J227" s="8"/>
      <c r="K227" s="8"/>
      <c r="L227" s="8"/>
      <c r="M227" s="8"/>
      <c r="N227" s="8"/>
      <c r="O227" s="8"/>
      <c r="P227" s="8"/>
      <c r="Q227" s="8"/>
      <c r="R227" s="8"/>
      <c r="S227" s="8"/>
      <c r="T227" s="8"/>
      <c r="U227" s="8"/>
      <c r="V227" s="8"/>
    </row>
    <row r="228" spans="1:22" x14ac:dyDescent="0.2">
      <c r="A228" s="8"/>
      <c r="B228" s="8"/>
      <c r="C228" s="8"/>
      <c r="D228" s="8"/>
      <c r="E228" s="8"/>
      <c r="F228" s="8"/>
      <c r="G228" s="8"/>
      <c r="H228" s="8"/>
      <c r="I228" s="8"/>
      <c r="J228" s="8"/>
      <c r="K228" s="8"/>
      <c r="L228" s="8"/>
      <c r="M228" s="8"/>
      <c r="N228" s="8"/>
      <c r="O228" s="8"/>
      <c r="P228" s="8"/>
      <c r="Q228" s="8"/>
      <c r="R228" s="8"/>
      <c r="S228" s="8"/>
      <c r="T228" s="8"/>
      <c r="U228" s="8"/>
      <c r="V228" s="8"/>
    </row>
    <row r="229" spans="1:22" x14ac:dyDescent="0.2">
      <c r="A229" s="8"/>
      <c r="B229" s="8"/>
      <c r="C229" s="8"/>
      <c r="D229" s="8"/>
      <c r="E229" s="8"/>
      <c r="F229" s="8"/>
      <c r="G229" s="8"/>
      <c r="H229" s="8"/>
      <c r="I229" s="8"/>
      <c r="J229" s="8"/>
      <c r="K229" s="8"/>
      <c r="L229" s="8"/>
      <c r="M229" s="8"/>
      <c r="N229" s="8"/>
      <c r="O229" s="8"/>
      <c r="P229" s="8"/>
      <c r="Q229" s="8"/>
      <c r="R229" s="8"/>
      <c r="S229" s="8"/>
      <c r="T229" s="8"/>
      <c r="U229" s="8"/>
      <c r="V229" s="8"/>
    </row>
    <row r="230" spans="1:22" x14ac:dyDescent="0.2">
      <c r="A230" s="8"/>
      <c r="B230" s="8"/>
      <c r="C230" s="8"/>
      <c r="D230" s="8"/>
      <c r="E230" s="8"/>
      <c r="F230" s="8"/>
      <c r="G230" s="8"/>
      <c r="H230" s="8"/>
      <c r="I230" s="8"/>
      <c r="J230" s="8"/>
      <c r="K230" s="8"/>
      <c r="L230" s="8"/>
      <c r="M230" s="8"/>
      <c r="N230" s="8"/>
      <c r="O230" s="8"/>
      <c r="P230" s="8"/>
      <c r="Q230" s="8"/>
      <c r="R230" s="8"/>
      <c r="S230" s="8"/>
      <c r="T230" s="8"/>
      <c r="U230" s="8"/>
      <c r="V230" s="8"/>
    </row>
    <row r="231" spans="1:22" x14ac:dyDescent="0.2">
      <c r="A231" s="8"/>
      <c r="B231" s="8"/>
      <c r="C231" s="8"/>
      <c r="D231" s="8"/>
      <c r="E231" s="8"/>
      <c r="F231" s="8"/>
      <c r="G231" s="8"/>
      <c r="H231" s="8"/>
      <c r="I231" s="8"/>
      <c r="J231" s="8"/>
      <c r="K231" s="8"/>
      <c r="L231" s="8"/>
      <c r="M231" s="8"/>
      <c r="N231" s="8"/>
      <c r="O231" s="8"/>
      <c r="P231" s="8"/>
      <c r="Q231" s="8"/>
      <c r="R231" s="8"/>
      <c r="S231" s="8"/>
      <c r="T231" s="8"/>
      <c r="U231" s="8"/>
      <c r="V231" s="8"/>
    </row>
    <row r="232" spans="1:22" x14ac:dyDescent="0.2">
      <c r="A232" s="8"/>
      <c r="B232" s="8"/>
      <c r="C232" s="8"/>
      <c r="D232" s="8"/>
      <c r="E232" s="8"/>
      <c r="F232" s="8"/>
      <c r="G232" s="8"/>
      <c r="H232" s="8"/>
      <c r="I232" s="8"/>
      <c r="J232" s="8"/>
      <c r="K232" s="8"/>
      <c r="L232" s="8"/>
      <c r="M232" s="8"/>
      <c r="N232" s="8"/>
      <c r="O232" s="8"/>
      <c r="P232" s="8"/>
      <c r="Q232" s="8"/>
      <c r="R232" s="8"/>
      <c r="S232" s="8"/>
      <c r="T232" s="8"/>
      <c r="U232" s="8"/>
      <c r="V232" s="8"/>
    </row>
    <row r="233" spans="1:22" x14ac:dyDescent="0.2">
      <c r="A233" s="8"/>
      <c r="B233" s="8"/>
      <c r="C233" s="8"/>
      <c r="D233" s="8"/>
      <c r="E233" s="8"/>
      <c r="F233" s="8"/>
      <c r="G233" s="8"/>
      <c r="H233" s="8"/>
      <c r="I233" s="8"/>
      <c r="J233" s="8"/>
      <c r="K233" s="8"/>
      <c r="L233" s="8"/>
      <c r="M233" s="8"/>
      <c r="N233" s="8"/>
      <c r="O233" s="8"/>
      <c r="P233" s="8"/>
      <c r="Q233" s="8"/>
      <c r="R233" s="8"/>
      <c r="S233" s="8"/>
      <c r="T233" s="8"/>
      <c r="U233" s="8"/>
      <c r="V233" s="8"/>
    </row>
    <row r="234" spans="1:22" x14ac:dyDescent="0.2">
      <c r="A234" s="8"/>
      <c r="B234" s="8"/>
      <c r="C234" s="8"/>
      <c r="D234" s="8"/>
      <c r="E234" s="8"/>
      <c r="F234" s="8"/>
      <c r="G234" s="8"/>
      <c r="H234" s="8"/>
      <c r="I234" s="8"/>
      <c r="J234" s="8"/>
      <c r="K234" s="8"/>
      <c r="L234" s="8"/>
      <c r="M234" s="8"/>
      <c r="N234" s="8"/>
      <c r="O234" s="8"/>
      <c r="P234" s="8"/>
      <c r="Q234" s="8"/>
      <c r="R234" s="8"/>
      <c r="S234" s="8"/>
      <c r="T234" s="8"/>
      <c r="U234" s="8"/>
      <c r="V234" s="8"/>
    </row>
    <row r="235" spans="1:22" x14ac:dyDescent="0.2">
      <c r="A235" s="8"/>
      <c r="B235" s="8"/>
      <c r="C235" s="8"/>
      <c r="D235" s="8"/>
      <c r="E235" s="8"/>
      <c r="F235" s="8"/>
      <c r="G235" s="8"/>
      <c r="H235" s="8"/>
      <c r="I235" s="8"/>
      <c r="J235" s="8"/>
      <c r="K235" s="8"/>
      <c r="L235" s="8"/>
      <c r="M235" s="8"/>
      <c r="N235" s="8"/>
      <c r="O235" s="8"/>
      <c r="P235" s="8"/>
      <c r="Q235" s="8"/>
      <c r="R235" s="8"/>
      <c r="S235" s="8"/>
      <c r="T235" s="8"/>
      <c r="U235" s="8"/>
      <c r="V235" s="8"/>
    </row>
    <row r="236" spans="1:22" x14ac:dyDescent="0.2">
      <c r="A236" s="8"/>
      <c r="B236" s="8"/>
      <c r="C236" s="8"/>
      <c r="D236" s="8"/>
      <c r="E236" s="8"/>
      <c r="F236" s="8"/>
      <c r="G236" s="8"/>
      <c r="H236" s="8"/>
      <c r="I236" s="8"/>
      <c r="J236" s="8"/>
      <c r="K236" s="8"/>
      <c r="L236" s="8"/>
      <c r="M236" s="8"/>
      <c r="N236" s="8"/>
      <c r="O236" s="8"/>
      <c r="P236" s="8"/>
      <c r="Q236" s="8"/>
      <c r="R236" s="8"/>
      <c r="S236" s="8"/>
      <c r="T236" s="8"/>
      <c r="U236" s="8"/>
      <c r="V236" s="8"/>
    </row>
    <row r="237" spans="1:22" x14ac:dyDescent="0.2">
      <c r="A237" s="8"/>
      <c r="B237" s="8"/>
      <c r="C237" s="8"/>
      <c r="D237" s="8"/>
      <c r="E237" s="8"/>
      <c r="F237" s="8"/>
      <c r="G237" s="8"/>
      <c r="H237" s="8"/>
      <c r="I237" s="8"/>
      <c r="J237" s="8"/>
      <c r="K237" s="8"/>
      <c r="L237" s="8"/>
      <c r="M237" s="8"/>
      <c r="N237" s="8"/>
      <c r="O237" s="8"/>
      <c r="P237" s="8"/>
      <c r="Q237" s="8"/>
      <c r="R237" s="8"/>
      <c r="S237" s="8"/>
      <c r="T237" s="8"/>
      <c r="U237" s="8"/>
      <c r="V237" s="8"/>
    </row>
    <row r="238" spans="1:22" x14ac:dyDescent="0.2">
      <c r="A238" s="8"/>
      <c r="B238" s="8"/>
      <c r="C238" s="8"/>
      <c r="D238" s="8"/>
      <c r="E238" s="8"/>
      <c r="F238" s="8"/>
      <c r="G238" s="8"/>
      <c r="H238" s="8"/>
      <c r="I238" s="8"/>
      <c r="J238" s="8"/>
      <c r="K238" s="8"/>
      <c r="L238" s="8"/>
      <c r="M238" s="8"/>
      <c r="N238" s="8"/>
      <c r="O238" s="8"/>
      <c r="P238" s="8"/>
      <c r="Q238" s="8"/>
      <c r="R238" s="8"/>
      <c r="S238" s="8"/>
      <c r="T238" s="8"/>
      <c r="U238" s="8"/>
      <c r="V238" s="8"/>
    </row>
    <row r="239" spans="1:22" x14ac:dyDescent="0.2">
      <c r="A239" s="8"/>
      <c r="B239" s="8"/>
      <c r="C239" s="8"/>
      <c r="D239" s="8"/>
      <c r="E239" s="8"/>
      <c r="F239" s="8"/>
      <c r="G239" s="8"/>
      <c r="H239" s="8"/>
      <c r="I239" s="8"/>
      <c r="J239" s="8"/>
      <c r="K239" s="8"/>
      <c r="L239" s="8"/>
      <c r="M239" s="8"/>
      <c r="N239" s="8"/>
      <c r="O239" s="8"/>
      <c r="P239" s="8"/>
      <c r="Q239" s="8"/>
      <c r="R239" s="8"/>
      <c r="S239" s="8"/>
      <c r="T239" s="8"/>
      <c r="U239" s="8"/>
      <c r="V239" s="8"/>
    </row>
    <row r="240" spans="1:22" x14ac:dyDescent="0.2">
      <c r="A240" s="8"/>
      <c r="B240" s="8"/>
      <c r="C240" s="8"/>
      <c r="D240" s="8"/>
      <c r="E240" s="8"/>
      <c r="F240" s="8"/>
      <c r="G240" s="8"/>
      <c r="H240" s="8"/>
      <c r="I240" s="8"/>
      <c r="J240" s="8"/>
      <c r="K240" s="8"/>
      <c r="L240" s="8"/>
      <c r="M240" s="8"/>
      <c r="N240" s="8"/>
      <c r="O240" s="8"/>
      <c r="P240" s="8"/>
      <c r="Q240" s="8"/>
      <c r="R240" s="8"/>
      <c r="S240" s="8"/>
      <c r="T240" s="8"/>
      <c r="U240" s="8"/>
      <c r="V240" s="8"/>
    </row>
    <row r="241" spans="1:22" x14ac:dyDescent="0.2">
      <c r="A241" s="8"/>
      <c r="B241" s="8"/>
      <c r="C241" s="8"/>
      <c r="D241" s="8"/>
      <c r="E241" s="8"/>
      <c r="F241" s="8"/>
      <c r="G241" s="8"/>
      <c r="H241" s="8"/>
      <c r="I241" s="8"/>
      <c r="J241" s="8"/>
      <c r="K241" s="8"/>
      <c r="L241" s="8"/>
      <c r="M241" s="8"/>
      <c r="N241" s="8"/>
      <c r="O241" s="8"/>
      <c r="P241" s="8"/>
      <c r="Q241" s="8"/>
      <c r="R241" s="8"/>
      <c r="S241" s="8"/>
      <c r="T241" s="8"/>
      <c r="U241" s="8"/>
      <c r="V241" s="8"/>
    </row>
    <row r="242" spans="1:22" x14ac:dyDescent="0.2">
      <c r="A242" s="8"/>
      <c r="B242" s="8"/>
      <c r="C242" s="8"/>
      <c r="D242" s="8"/>
      <c r="E242" s="8"/>
      <c r="F242" s="8"/>
      <c r="G242" s="8"/>
      <c r="H242" s="8"/>
      <c r="I242" s="8"/>
      <c r="J242" s="8"/>
      <c r="K242" s="8"/>
      <c r="L242" s="8"/>
      <c r="M242" s="8"/>
      <c r="N242" s="8"/>
      <c r="O242" s="8"/>
      <c r="P242" s="8"/>
      <c r="Q242" s="8"/>
      <c r="R242" s="8"/>
      <c r="S242" s="8"/>
      <c r="T242" s="8"/>
      <c r="U242" s="8"/>
      <c r="V242" s="8"/>
    </row>
    <row r="243" spans="1:22" x14ac:dyDescent="0.2">
      <c r="A243" s="8"/>
      <c r="B243" s="8"/>
      <c r="C243" s="8"/>
      <c r="D243" s="8"/>
      <c r="E243" s="8"/>
      <c r="F243" s="8"/>
      <c r="G243" s="8"/>
      <c r="H243" s="8"/>
      <c r="I243" s="8"/>
      <c r="J243" s="8"/>
      <c r="K243" s="8"/>
      <c r="L243" s="8"/>
      <c r="M243" s="8"/>
      <c r="N243" s="8"/>
      <c r="O243" s="8"/>
      <c r="P243" s="8"/>
      <c r="Q243" s="8"/>
      <c r="R243" s="8"/>
      <c r="S243" s="8"/>
      <c r="T243" s="8"/>
      <c r="U243" s="8"/>
      <c r="V243" s="8"/>
    </row>
    <row r="244" spans="1:22" x14ac:dyDescent="0.2">
      <c r="A244" s="8"/>
      <c r="B244" s="8"/>
      <c r="C244" s="8"/>
      <c r="D244" s="8"/>
      <c r="E244" s="8"/>
      <c r="F244" s="8"/>
      <c r="G244" s="8"/>
      <c r="H244" s="8"/>
      <c r="I244" s="8"/>
      <c r="J244" s="8"/>
      <c r="K244" s="8"/>
      <c r="L244" s="8"/>
      <c r="M244" s="8"/>
      <c r="N244" s="8"/>
      <c r="O244" s="8"/>
      <c r="P244" s="8"/>
      <c r="Q244" s="8"/>
      <c r="R244" s="8"/>
      <c r="S244" s="8"/>
      <c r="T244" s="8"/>
      <c r="U244" s="8"/>
      <c r="V244" s="8"/>
    </row>
    <row r="245" spans="1:22" x14ac:dyDescent="0.2">
      <c r="A245" s="8"/>
      <c r="B245" s="8"/>
      <c r="C245" s="8"/>
      <c r="D245" s="8"/>
      <c r="E245" s="8"/>
      <c r="F245" s="8"/>
      <c r="G245" s="8"/>
      <c r="H245" s="8"/>
      <c r="I245" s="8"/>
      <c r="J245" s="8"/>
      <c r="K245" s="8"/>
      <c r="L245" s="8"/>
      <c r="M245" s="8"/>
      <c r="N245" s="8"/>
      <c r="O245" s="8"/>
      <c r="P245" s="8"/>
      <c r="Q245" s="8"/>
      <c r="R245" s="8"/>
      <c r="S245" s="8"/>
      <c r="T245" s="8"/>
      <c r="U245" s="8"/>
      <c r="V245" s="8"/>
    </row>
    <row r="246" spans="1:22" x14ac:dyDescent="0.2">
      <c r="A246" s="8"/>
      <c r="B246" s="8"/>
      <c r="C246" s="8"/>
      <c r="D246" s="8"/>
      <c r="E246" s="8"/>
      <c r="F246" s="8"/>
      <c r="G246" s="8"/>
      <c r="H246" s="8"/>
      <c r="I246" s="8"/>
      <c r="J246" s="8"/>
      <c r="K246" s="8"/>
      <c r="L246" s="8"/>
      <c r="M246" s="8"/>
      <c r="N246" s="8"/>
      <c r="O246" s="8"/>
      <c r="P246" s="8"/>
      <c r="Q246" s="8"/>
      <c r="R246" s="8"/>
      <c r="S246" s="8"/>
      <c r="T246" s="8"/>
      <c r="U246" s="8"/>
      <c r="V246" s="8"/>
    </row>
    <row r="247" spans="1:22" x14ac:dyDescent="0.2">
      <c r="A247" s="8"/>
      <c r="B247" s="8"/>
      <c r="C247" s="8"/>
      <c r="D247" s="8"/>
      <c r="E247" s="8"/>
      <c r="F247" s="8"/>
      <c r="G247" s="8"/>
      <c r="H247" s="8"/>
      <c r="I247" s="8"/>
      <c r="J247" s="8"/>
      <c r="K247" s="8"/>
      <c r="L247" s="8"/>
      <c r="M247" s="8"/>
      <c r="N247" s="8"/>
      <c r="O247" s="8"/>
      <c r="P247" s="8"/>
      <c r="Q247" s="8"/>
      <c r="R247" s="8"/>
      <c r="S247" s="8"/>
      <c r="T247" s="8"/>
      <c r="U247" s="8"/>
      <c r="V247" s="8"/>
    </row>
    <row r="248" spans="1:22" x14ac:dyDescent="0.2">
      <c r="A248" s="8"/>
      <c r="B248" s="8"/>
      <c r="C248" s="8"/>
      <c r="D248" s="8"/>
      <c r="E248" s="8"/>
      <c r="F248" s="8"/>
      <c r="G248" s="8"/>
      <c r="H248" s="8"/>
      <c r="I248" s="8"/>
      <c r="J248" s="8"/>
      <c r="K248" s="8"/>
      <c r="L248" s="8"/>
      <c r="M248" s="8"/>
      <c r="N248" s="8"/>
      <c r="O248" s="8"/>
      <c r="P248" s="8"/>
      <c r="Q248" s="8"/>
      <c r="R248" s="8"/>
      <c r="S248" s="8"/>
      <c r="T248" s="8"/>
      <c r="U248" s="8"/>
      <c r="V248" s="8"/>
    </row>
    <row r="249" spans="1:22" x14ac:dyDescent="0.2">
      <c r="A249" s="8"/>
      <c r="B249" s="8"/>
      <c r="C249" s="8"/>
      <c r="D249" s="8"/>
      <c r="E249" s="8"/>
      <c r="F249" s="8"/>
      <c r="G249" s="8"/>
      <c r="H249" s="8"/>
      <c r="I249" s="8"/>
      <c r="J249" s="8"/>
      <c r="K249" s="8"/>
      <c r="L249" s="8"/>
      <c r="M249" s="8"/>
      <c r="N249" s="8"/>
      <c r="O249" s="8"/>
      <c r="P249" s="8"/>
      <c r="Q249" s="8"/>
      <c r="R249" s="8"/>
      <c r="S249" s="8"/>
      <c r="T249" s="8"/>
      <c r="U249" s="8"/>
      <c r="V249" s="8"/>
    </row>
    <row r="250" spans="1:22" x14ac:dyDescent="0.2">
      <c r="A250" s="8"/>
      <c r="B250" s="8"/>
      <c r="C250" s="8"/>
      <c r="D250" s="8"/>
      <c r="E250" s="8"/>
      <c r="F250" s="8"/>
      <c r="G250" s="8"/>
      <c r="H250" s="8"/>
      <c r="I250" s="8"/>
      <c r="J250" s="8"/>
      <c r="K250" s="8"/>
      <c r="L250" s="8"/>
      <c r="M250" s="8"/>
      <c r="N250" s="8"/>
      <c r="O250" s="8"/>
      <c r="P250" s="8"/>
      <c r="Q250" s="8"/>
      <c r="R250" s="8"/>
      <c r="S250" s="8"/>
      <c r="T250" s="8"/>
      <c r="U250" s="8"/>
      <c r="V250" s="8"/>
    </row>
    <row r="251" spans="1:22" x14ac:dyDescent="0.2">
      <c r="A251" s="8"/>
      <c r="B251" s="8"/>
      <c r="C251" s="8"/>
      <c r="D251" s="8"/>
      <c r="E251" s="8"/>
      <c r="F251" s="8"/>
      <c r="G251" s="8"/>
      <c r="H251" s="8"/>
      <c r="I251" s="8"/>
      <c r="J251" s="8"/>
      <c r="K251" s="8"/>
      <c r="L251" s="8"/>
      <c r="M251" s="8"/>
      <c r="N251" s="8"/>
      <c r="O251" s="8"/>
      <c r="P251" s="8"/>
      <c r="Q251" s="8"/>
      <c r="R251" s="8"/>
      <c r="S251" s="8"/>
      <c r="T251" s="8"/>
      <c r="U251" s="8"/>
      <c r="V251" s="8"/>
    </row>
    <row r="252" spans="1:22" x14ac:dyDescent="0.2">
      <c r="A252" s="8"/>
      <c r="B252" s="8"/>
      <c r="C252" s="8"/>
      <c r="D252" s="8"/>
      <c r="E252" s="8"/>
      <c r="F252" s="8"/>
      <c r="G252" s="8"/>
      <c r="H252" s="8"/>
      <c r="I252" s="8"/>
      <c r="J252" s="8"/>
      <c r="K252" s="8"/>
      <c r="L252" s="8"/>
      <c r="M252" s="8"/>
      <c r="N252" s="8"/>
      <c r="O252" s="8"/>
      <c r="P252" s="8"/>
      <c r="Q252" s="8"/>
      <c r="R252" s="8"/>
      <c r="S252" s="8"/>
      <c r="T252" s="8"/>
      <c r="U252" s="8"/>
      <c r="V252" s="8"/>
    </row>
    <row r="253" spans="1:22" x14ac:dyDescent="0.2">
      <c r="A253" s="8"/>
      <c r="B253" s="8"/>
      <c r="C253" s="8"/>
      <c r="D253" s="8"/>
      <c r="E253" s="8"/>
      <c r="F253" s="8"/>
      <c r="G253" s="8"/>
      <c r="H253" s="8"/>
      <c r="I253" s="8"/>
      <c r="J253" s="8"/>
      <c r="K253" s="8"/>
      <c r="L253" s="8"/>
      <c r="M253" s="8"/>
      <c r="N253" s="8"/>
      <c r="O253" s="8"/>
      <c r="P253" s="8"/>
      <c r="Q253" s="8"/>
      <c r="R253" s="8"/>
      <c r="S253" s="8"/>
      <c r="T253" s="8"/>
      <c r="U253" s="8"/>
      <c r="V253" s="8"/>
    </row>
    <row r="254" spans="1:22" x14ac:dyDescent="0.2">
      <c r="A254" s="8"/>
      <c r="B254" s="8"/>
      <c r="C254" s="8"/>
      <c r="D254" s="8"/>
      <c r="E254" s="8"/>
      <c r="F254" s="8"/>
      <c r="G254" s="8"/>
      <c r="H254" s="8"/>
      <c r="I254" s="8"/>
      <c r="J254" s="8"/>
      <c r="K254" s="8"/>
      <c r="L254" s="8"/>
      <c r="M254" s="8"/>
      <c r="N254" s="8"/>
      <c r="O254" s="8"/>
      <c r="P254" s="8"/>
      <c r="Q254" s="8"/>
      <c r="R254" s="8"/>
      <c r="S254" s="8"/>
      <c r="T254" s="8"/>
      <c r="U254" s="8"/>
      <c r="V254" s="8"/>
    </row>
    <row r="255" spans="1:22" x14ac:dyDescent="0.2">
      <c r="A255" s="8"/>
      <c r="B255" s="8"/>
      <c r="C255" s="8"/>
      <c r="D255" s="8"/>
      <c r="E255" s="8"/>
      <c r="F255" s="8"/>
      <c r="G255" s="8"/>
      <c r="H255" s="8"/>
      <c r="I255" s="8"/>
      <c r="J255" s="8"/>
      <c r="K255" s="8"/>
      <c r="L255" s="8"/>
      <c r="M255" s="8"/>
      <c r="N255" s="8"/>
      <c r="O255" s="8"/>
      <c r="P255" s="8"/>
      <c r="Q255" s="8"/>
      <c r="R255" s="8"/>
      <c r="S255" s="8"/>
      <c r="T255" s="8"/>
      <c r="U255" s="8"/>
      <c r="V255" s="8"/>
    </row>
    <row r="256" spans="1:22" x14ac:dyDescent="0.2">
      <c r="A256" s="8"/>
      <c r="B256" s="8"/>
      <c r="C256" s="8"/>
      <c r="D256" s="8"/>
      <c r="E256" s="8"/>
      <c r="F256" s="8"/>
      <c r="G256" s="8"/>
      <c r="H256" s="8"/>
      <c r="I256" s="8"/>
      <c r="J256" s="8"/>
      <c r="K256" s="8"/>
      <c r="L256" s="8"/>
      <c r="M256" s="8"/>
      <c r="N256" s="8"/>
      <c r="O256" s="8"/>
      <c r="P256" s="8"/>
      <c r="Q256" s="8"/>
      <c r="R256" s="8"/>
      <c r="S256" s="8"/>
      <c r="T256" s="8"/>
      <c r="U256" s="8"/>
      <c r="V256" s="8"/>
    </row>
    <row r="257" spans="1:22" x14ac:dyDescent="0.2">
      <c r="A257" s="8"/>
      <c r="B257" s="8"/>
      <c r="C257" s="8"/>
      <c r="D257" s="8"/>
      <c r="E257" s="8"/>
      <c r="F257" s="8"/>
      <c r="G257" s="8"/>
      <c r="H257" s="8"/>
      <c r="I257" s="8"/>
      <c r="J257" s="8"/>
      <c r="K257" s="8"/>
      <c r="L257" s="8"/>
      <c r="M257" s="8"/>
      <c r="N257" s="8"/>
      <c r="O257" s="8"/>
      <c r="P257" s="8"/>
      <c r="Q257" s="8"/>
      <c r="R257" s="8"/>
      <c r="S257" s="8"/>
      <c r="T257" s="8"/>
      <c r="U257" s="8"/>
      <c r="V257" s="8"/>
    </row>
    <row r="258" spans="1:22" x14ac:dyDescent="0.2">
      <c r="A258" s="8"/>
      <c r="B258" s="8"/>
      <c r="C258" s="8"/>
      <c r="D258" s="8"/>
      <c r="E258" s="8"/>
      <c r="F258" s="8"/>
      <c r="G258" s="8"/>
      <c r="H258" s="8"/>
      <c r="I258" s="8"/>
      <c r="J258" s="8"/>
      <c r="K258" s="8"/>
      <c r="L258" s="8"/>
      <c r="M258" s="8"/>
      <c r="N258" s="8"/>
      <c r="O258" s="8"/>
      <c r="P258" s="8"/>
      <c r="Q258" s="8"/>
      <c r="R258" s="8"/>
      <c r="S258" s="8"/>
      <c r="T258" s="8"/>
      <c r="U258" s="8"/>
      <c r="V258" s="8"/>
    </row>
    <row r="259" spans="1:22" x14ac:dyDescent="0.2">
      <c r="A259" s="8"/>
      <c r="B259" s="8"/>
      <c r="C259" s="8"/>
      <c r="D259" s="8"/>
      <c r="E259" s="8"/>
      <c r="F259" s="8"/>
      <c r="G259" s="8"/>
      <c r="H259" s="8"/>
      <c r="I259" s="8"/>
      <c r="J259" s="8"/>
      <c r="K259" s="8"/>
      <c r="L259" s="8"/>
      <c r="M259" s="8"/>
      <c r="N259" s="8"/>
      <c r="O259" s="8"/>
      <c r="P259" s="8"/>
      <c r="Q259" s="8"/>
      <c r="R259" s="8"/>
      <c r="S259" s="8"/>
      <c r="T259" s="8"/>
      <c r="U259" s="8"/>
      <c r="V259" s="8"/>
    </row>
    <row r="260" spans="1:22" x14ac:dyDescent="0.2">
      <c r="A260" s="8"/>
      <c r="B260" s="8"/>
      <c r="C260" s="8"/>
      <c r="D260" s="8"/>
      <c r="E260" s="8"/>
      <c r="F260" s="8"/>
      <c r="G260" s="8"/>
      <c r="H260" s="8"/>
      <c r="I260" s="8"/>
      <c r="J260" s="8"/>
      <c r="K260" s="8"/>
      <c r="L260" s="8"/>
      <c r="M260" s="8"/>
      <c r="N260" s="8"/>
      <c r="O260" s="8"/>
      <c r="P260" s="8"/>
      <c r="Q260" s="8"/>
      <c r="R260" s="8"/>
      <c r="S260" s="8"/>
      <c r="T260" s="8"/>
      <c r="U260" s="8"/>
      <c r="V260" s="8"/>
    </row>
    <row r="261" spans="1:22" x14ac:dyDescent="0.2">
      <c r="A261" s="8"/>
      <c r="B261" s="8"/>
      <c r="C261" s="8"/>
      <c r="D261" s="8"/>
      <c r="E261" s="8"/>
      <c r="F261" s="8"/>
      <c r="G261" s="8"/>
      <c r="H261" s="8"/>
      <c r="I261" s="8"/>
      <c r="J261" s="8"/>
      <c r="K261" s="8"/>
      <c r="L261" s="8"/>
      <c r="M261" s="8"/>
      <c r="N261" s="8"/>
      <c r="O261" s="8"/>
      <c r="P261" s="8"/>
      <c r="Q261" s="8"/>
      <c r="R261" s="8"/>
      <c r="S261" s="8"/>
      <c r="T261" s="8"/>
      <c r="U261" s="8"/>
      <c r="V261" s="8"/>
    </row>
    <row r="262" spans="1:22" x14ac:dyDescent="0.2">
      <c r="A262" s="8"/>
      <c r="B262" s="8"/>
      <c r="C262" s="8"/>
      <c r="D262" s="8"/>
      <c r="E262" s="8"/>
      <c r="F262" s="8"/>
      <c r="G262" s="8"/>
      <c r="H262" s="8"/>
      <c r="I262" s="8"/>
      <c r="J262" s="8"/>
      <c r="K262" s="8"/>
      <c r="L262" s="8"/>
      <c r="M262" s="8"/>
      <c r="N262" s="8"/>
      <c r="O262" s="8"/>
      <c r="P262" s="8"/>
      <c r="Q262" s="8"/>
      <c r="R262" s="8"/>
      <c r="S262" s="8"/>
      <c r="T262" s="8"/>
      <c r="U262" s="8"/>
      <c r="V262" s="8"/>
    </row>
    <row r="263" spans="1:22" x14ac:dyDescent="0.2">
      <c r="A263" s="8"/>
      <c r="B263" s="8"/>
      <c r="C263" s="8"/>
      <c r="D263" s="8"/>
      <c r="E263" s="8"/>
      <c r="F263" s="8"/>
      <c r="G263" s="8"/>
      <c r="H263" s="8"/>
      <c r="I263" s="8"/>
      <c r="J263" s="8"/>
      <c r="K263" s="8"/>
      <c r="L263" s="8"/>
      <c r="M263" s="8"/>
      <c r="N263" s="8"/>
      <c r="O263" s="8"/>
      <c r="P263" s="8"/>
      <c r="Q263" s="8"/>
      <c r="R263" s="8"/>
      <c r="S263" s="8"/>
      <c r="T263" s="8"/>
      <c r="U263" s="8"/>
      <c r="V263" s="8"/>
    </row>
    <row r="264" spans="1:22" x14ac:dyDescent="0.2">
      <c r="A264" s="8"/>
      <c r="B264" s="8"/>
      <c r="C264" s="8"/>
      <c r="D264" s="8"/>
      <c r="E264" s="8"/>
      <c r="F264" s="8"/>
      <c r="G264" s="8"/>
      <c r="H264" s="8"/>
      <c r="I264" s="8"/>
      <c r="J264" s="8"/>
      <c r="K264" s="8"/>
      <c r="L264" s="8"/>
      <c r="M264" s="8"/>
      <c r="N264" s="8"/>
      <c r="O264" s="8"/>
      <c r="P264" s="8"/>
      <c r="Q264" s="8"/>
      <c r="R264" s="8"/>
      <c r="S264" s="8"/>
      <c r="T264" s="8"/>
      <c r="U264" s="8"/>
      <c r="V264" s="8"/>
    </row>
    <row r="265" spans="1:22" x14ac:dyDescent="0.2">
      <c r="A265" s="8"/>
      <c r="B265" s="8"/>
      <c r="C265" s="8"/>
      <c r="D265" s="8"/>
      <c r="E265" s="8"/>
      <c r="F265" s="8"/>
      <c r="G265" s="8"/>
      <c r="H265" s="8"/>
      <c r="I265" s="8"/>
      <c r="J265" s="8"/>
      <c r="K265" s="8"/>
      <c r="L265" s="8"/>
      <c r="M265" s="8"/>
      <c r="N265" s="8"/>
      <c r="O265" s="8"/>
      <c r="P265" s="8"/>
      <c r="Q265" s="8"/>
      <c r="R265" s="8"/>
      <c r="S265" s="8"/>
      <c r="T265" s="8"/>
      <c r="U265" s="8"/>
      <c r="V265" s="8"/>
    </row>
    <row r="266" spans="1:22" x14ac:dyDescent="0.2">
      <c r="A266" s="8"/>
      <c r="B266" s="8"/>
      <c r="C266" s="8"/>
      <c r="D266" s="8"/>
      <c r="E266" s="8"/>
      <c r="F266" s="8"/>
      <c r="G266" s="8"/>
      <c r="H266" s="8"/>
      <c r="I266" s="8"/>
      <c r="J266" s="8"/>
      <c r="K266" s="8"/>
      <c r="L266" s="8"/>
      <c r="M266" s="8"/>
      <c r="N266" s="8"/>
      <c r="O266" s="8"/>
      <c r="P266" s="8"/>
      <c r="Q266" s="8"/>
      <c r="R266" s="8"/>
      <c r="S266" s="8"/>
      <c r="T266" s="8"/>
      <c r="U266" s="8"/>
      <c r="V266" s="8"/>
    </row>
    <row r="267" spans="1:22" x14ac:dyDescent="0.2">
      <c r="A267" s="8"/>
      <c r="B267" s="8"/>
      <c r="C267" s="8"/>
      <c r="D267" s="8"/>
      <c r="E267" s="8"/>
      <c r="F267" s="8"/>
      <c r="G267" s="8"/>
      <c r="H267" s="8"/>
      <c r="I267" s="8"/>
      <c r="J267" s="8"/>
      <c r="K267" s="8"/>
      <c r="L267" s="8"/>
      <c r="M267" s="8"/>
      <c r="N267" s="8"/>
      <c r="O267" s="8"/>
      <c r="P267" s="8"/>
      <c r="Q267" s="8"/>
      <c r="R267" s="8"/>
      <c r="S267" s="8"/>
      <c r="T267" s="8"/>
      <c r="U267" s="8"/>
      <c r="V267" s="8"/>
    </row>
    <row r="268" spans="1:22" x14ac:dyDescent="0.2">
      <c r="A268" s="8"/>
      <c r="B268" s="8"/>
      <c r="C268" s="8"/>
      <c r="D268" s="8"/>
      <c r="E268" s="8"/>
      <c r="F268" s="8"/>
      <c r="G268" s="8"/>
      <c r="H268" s="8"/>
      <c r="I268" s="8"/>
      <c r="J268" s="8"/>
      <c r="K268" s="8"/>
      <c r="L268" s="8"/>
      <c r="M268" s="8"/>
      <c r="N268" s="8"/>
      <c r="O268" s="8"/>
      <c r="P268" s="8"/>
      <c r="Q268" s="8"/>
      <c r="R268" s="8"/>
      <c r="S268" s="8"/>
      <c r="T268" s="8"/>
      <c r="U268" s="8"/>
      <c r="V268" s="8"/>
    </row>
    <row r="269" spans="1:22" x14ac:dyDescent="0.2">
      <c r="A269" s="8"/>
      <c r="B269" s="8"/>
      <c r="C269" s="8"/>
      <c r="D269" s="8"/>
      <c r="E269" s="8"/>
      <c r="F269" s="8"/>
      <c r="G269" s="8"/>
      <c r="H269" s="8"/>
      <c r="I269" s="8"/>
      <c r="J269" s="8"/>
      <c r="K269" s="8"/>
      <c r="L269" s="8"/>
      <c r="M269" s="8"/>
      <c r="N269" s="8"/>
      <c r="O269" s="8"/>
      <c r="P269" s="8"/>
      <c r="Q269" s="8"/>
      <c r="R269" s="8"/>
      <c r="S269" s="8"/>
      <c r="T269" s="8"/>
      <c r="U269" s="8"/>
      <c r="V269" s="8"/>
    </row>
    <row r="270" spans="1:22" x14ac:dyDescent="0.2">
      <c r="A270" s="8"/>
      <c r="B270" s="8"/>
      <c r="C270" s="8"/>
      <c r="D270" s="8"/>
      <c r="E270" s="8"/>
      <c r="F270" s="8"/>
      <c r="G270" s="8"/>
      <c r="H270" s="8"/>
      <c r="I270" s="8"/>
      <c r="J270" s="8"/>
      <c r="K270" s="8"/>
      <c r="L270" s="8"/>
      <c r="M270" s="8"/>
      <c r="N270" s="8"/>
      <c r="O270" s="8"/>
      <c r="P270" s="8"/>
      <c r="Q270" s="8"/>
      <c r="R270" s="8"/>
      <c r="S270" s="8"/>
      <c r="T270" s="8"/>
      <c r="U270" s="8"/>
      <c r="V270" s="8"/>
    </row>
    <row r="271" spans="1:22" x14ac:dyDescent="0.2">
      <c r="A271" s="8"/>
      <c r="B271" s="8"/>
      <c r="C271" s="8"/>
      <c r="D271" s="8"/>
      <c r="E271" s="8"/>
      <c r="F271" s="8"/>
      <c r="G271" s="8"/>
      <c r="H271" s="8"/>
      <c r="I271" s="8"/>
      <c r="J271" s="8"/>
      <c r="K271" s="8"/>
      <c r="L271" s="8"/>
      <c r="M271" s="8"/>
      <c r="N271" s="8"/>
      <c r="O271" s="8"/>
      <c r="P271" s="8"/>
      <c r="Q271" s="8"/>
      <c r="R271" s="8"/>
      <c r="S271" s="8"/>
      <c r="T271" s="8"/>
      <c r="U271" s="8"/>
      <c r="V271" s="8"/>
    </row>
    <row r="272" spans="1:22" x14ac:dyDescent="0.2">
      <c r="A272" s="8"/>
      <c r="B272" s="8"/>
      <c r="C272" s="8"/>
      <c r="D272" s="8"/>
      <c r="E272" s="8"/>
      <c r="F272" s="8"/>
      <c r="G272" s="8"/>
      <c r="H272" s="8"/>
      <c r="I272" s="8"/>
      <c r="J272" s="8"/>
      <c r="K272" s="8"/>
      <c r="L272" s="8"/>
      <c r="M272" s="8"/>
      <c r="N272" s="8"/>
      <c r="O272" s="8"/>
      <c r="P272" s="8"/>
      <c r="Q272" s="8"/>
      <c r="R272" s="8"/>
      <c r="S272" s="8"/>
      <c r="T272" s="8"/>
      <c r="U272" s="8"/>
      <c r="V272" s="8"/>
    </row>
    <row r="273" spans="1:22" x14ac:dyDescent="0.2">
      <c r="A273" s="8"/>
      <c r="B273" s="8"/>
      <c r="C273" s="8"/>
      <c r="D273" s="8"/>
      <c r="E273" s="8"/>
      <c r="F273" s="8"/>
      <c r="G273" s="8"/>
      <c r="H273" s="8"/>
      <c r="I273" s="8"/>
      <c r="J273" s="8"/>
      <c r="K273" s="8"/>
      <c r="L273" s="8"/>
      <c r="M273" s="8"/>
      <c r="N273" s="8"/>
      <c r="O273" s="8"/>
      <c r="P273" s="8"/>
      <c r="Q273" s="8"/>
      <c r="R273" s="8"/>
      <c r="S273" s="8"/>
      <c r="T273" s="8"/>
      <c r="U273" s="8"/>
      <c r="V273" s="8"/>
    </row>
    <row r="274" spans="1:22" x14ac:dyDescent="0.2">
      <c r="A274" s="8"/>
      <c r="B274" s="8"/>
      <c r="C274" s="8"/>
      <c r="D274" s="8"/>
      <c r="E274" s="8"/>
      <c r="F274" s="8"/>
      <c r="G274" s="8"/>
      <c r="H274" s="8"/>
      <c r="I274" s="8"/>
      <c r="J274" s="8"/>
      <c r="K274" s="8"/>
      <c r="L274" s="8"/>
      <c r="M274" s="8"/>
      <c r="N274" s="8"/>
      <c r="O274" s="8"/>
      <c r="P274" s="8"/>
      <c r="Q274" s="8"/>
      <c r="R274" s="8"/>
      <c r="S274" s="8"/>
      <c r="T274" s="8"/>
      <c r="U274" s="8"/>
      <c r="V274" s="8"/>
    </row>
    <row r="275" spans="1:22" x14ac:dyDescent="0.2">
      <c r="A275" s="8"/>
      <c r="B275" s="8"/>
      <c r="C275" s="8"/>
      <c r="D275" s="8"/>
      <c r="E275" s="8"/>
      <c r="F275" s="8"/>
      <c r="G275" s="8"/>
      <c r="H275" s="8"/>
      <c r="I275" s="8"/>
      <c r="J275" s="8"/>
      <c r="K275" s="8"/>
      <c r="L275" s="8"/>
      <c r="M275" s="8"/>
      <c r="N275" s="8"/>
      <c r="O275" s="8"/>
      <c r="P275" s="8"/>
      <c r="Q275" s="8"/>
      <c r="R275" s="8"/>
      <c r="S275" s="8"/>
      <c r="T275" s="8"/>
      <c r="U275" s="8"/>
      <c r="V275" s="8"/>
    </row>
    <row r="276" spans="1:22" x14ac:dyDescent="0.2">
      <c r="A276" s="8"/>
      <c r="B276" s="8"/>
      <c r="C276" s="8"/>
      <c r="D276" s="8"/>
      <c r="E276" s="8"/>
      <c r="F276" s="8"/>
      <c r="G276" s="8"/>
      <c r="H276" s="8"/>
      <c r="I276" s="8"/>
      <c r="J276" s="8"/>
      <c r="K276" s="8"/>
      <c r="L276" s="8"/>
      <c r="M276" s="8"/>
      <c r="N276" s="8"/>
      <c r="O276" s="8"/>
      <c r="P276" s="8"/>
      <c r="Q276" s="8"/>
      <c r="R276" s="8"/>
      <c r="S276" s="8"/>
      <c r="T276" s="8"/>
      <c r="U276" s="8"/>
      <c r="V276" s="8"/>
    </row>
    <row r="277" spans="1:22" x14ac:dyDescent="0.2">
      <c r="A277" s="8"/>
      <c r="B277" s="8"/>
      <c r="C277" s="8"/>
      <c r="D277" s="8"/>
      <c r="E277" s="8"/>
      <c r="F277" s="8"/>
      <c r="G277" s="8"/>
      <c r="H277" s="8"/>
      <c r="I277" s="8"/>
      <c r="J277" s="8"/>
      <c r="K277" s="8"/>
      <c r="L277" s="8"/>
      <c r="M277" s="8"/>
      <c r="N277" s="8"/>
      <c r="O277" s="8"/>
      <c r="P277" s="8"/>
      <c r="Q277" s="8"/>
      <c r="R277" s="8"/>
      <c r="S277" s="8"/>
      <c r="T277" s="8"/>
      <c r="U277" s="8"/>
      <c r="V277" s="8"/>
    </row>
    <row r="278" spans="1:22" x14ac:dyDescent="0.2">
      <c r="A278" s="8"/>
      <c r="B278" s="8"/>
      <c r="C278" s="8"/>
      <c r="D278" s="8"/>
      <c r="E278" s="8"/>
      <c r="F278" s="8"/>
      <c r="G278" s="8"/>
      <c r="H278" s="8"/>
      <c r="I278" s="8"/>
      <c r="J278" s="8"/>
      <c r="K278" s="8"/>
      <c r="L278" s="8"/>
      <c r="M278" s="8"/>
      <c r="N278" s="8"/>
      <c r="O278" s="8"/>
      <c r="P278" s="8"/>
      <c r="Q278" s="8"/>
      <c r="R278" s="8"/>
      <c r="S278" s="8"/>
      <c r="T278" s="8"/>
      <c r="U278" s="8"/>
      <c r="V278" s="8"/>
    </row>
    <row r="279" spans="1:22" x14ac:dyDescent="0.2">
      <c r="A279" s="8"/>
      <c r="B279" s="8"/>
      <c r="C279" s="8"/>
      <c r="D279" s="8"/>
      <c r="E279" s="8"/>
      <c r="F279" s="8"/>
      <c r="G279" s="8"/>
      <c r="H279" s="8"/>
      <c r="I279" s="8"/>
      <c r="J279" s="8"/>
      <c r="K279" s="8"/>
      <c r="L279" s="8"/>
      <c r="M279" s="8"/>
      <c r="N279" s="8"/>
      <c r="O279" s="8"/>
      <c r="P279" s="8"/>
      <c r="Q279" s="8"/>
      <c r="R279" s="8"/>
      <c r="S279" s="8"/>
      <c r="T279" s="8"/>
      <c r="U279" s="8"/>
      <c r="V279" s="8"/>
    </row>
    <row r="280" spans="1:22" x14ac:dyDescent="0.2">
      <c r="A280" s="8"/>
      <c r="B280" s="8"/>
      <c r="C280" s="8"/>
      <c r="D280" s="8"/>
      <c r="E280" s="8"/>
      <c r="F280" s="8"/>
      <c r="G280" s="8"/>
      <c r="H280" s="8"/>
      <c r="I280" s="8"/>
      <c r="J280" s="8"/>
      <c r="K280" s="8"/>
      <c r="L280" s="8"/>
      <c r="M280" s="8"/>
      <c r="N280" s="8"/>
      <c r="O280" s="8"/>
      <c r="P280" s="8"/>
      <c r="Q280" s="8"/>
      <c r="R280" s="8"/>
      <c r="S280" s="8"/>
      <c r="T280" s="8"/>
      <c r="U280" s="8"/>
      <c r="V280" s="8"/>
    </row>
    <row r="281" spans="1:22" x14ac:dyDescent="0.2">
      <c r="A281" s="8"/>
      <c r="B281" s="8"/>
      <c r="C281" s="8"/>
      <c r="D281" s="8"/>
      <c r="E281" s="8"/>
      <c r="F281" s="8"/>
      <c r="G281" s="8"/>
      <c r="H281" s="8"/>
      <c r="I281" s="8"/>
      <c r="J281" s="8"/>
      <c r="K281" s="8"/>
      <c r="L281" s="8"/>
      <c r="M281" s="8"/>
      <c r="N281" s="8"/>
      <c r="O281" s="8"/>
      <c r="P281" s="8"/>
      <c r="Q281" s="8"/>
      <c r="R281" s="8"/>
      <c r="S281" s="8"/>
      <c r="T281" s="8"/>
      <c r="U281" s="8"/>
      <c r="V281" s="8"/>
    </row>
    <row r="282" spans="1:22" x14ac:dyDescent="0.2">
      <c r="A282" s="8"/>
      <c r="B282" s="8"/>
      <c r="C282" s="8"/>
      <c r="D282" s="8"/>
      <c r="E282" s="8"/>
      <c r="F282" s="8"/>
      <c r="G282" s="8"/>
      <c r="H282" s="8"/>
      <c r="I282" s="8"/>
      <c r="J282" s="8"/>
      <c r="K282" s="8"/>
      <c r="L282" s="8"/>
      <c r="M282" s="8"/>
      <c r="N282" s="8"/>
      <c r="O282" s="8"/>
      <c r="P282" s="8"/>
      <c r="Q282" s="8"/>
      <c r="R282" s="8"/>
      <c r="S282" s="8"/>
      <c r="T282" s="8"/>
      <c r="U282" s="8"/>
      <c r="V282" s="8"/>
    </row>
    <row r="283" spans="1:22" x14ac:dyDescent="0.2">
      <c r="A283" s="8"/>
      <c r="B283" s="8"/>
      <c r="C283" s="8"/>
      <c r="D283" s="8"/>
      <c r="E283" s="8"/>
      <c r="F283" s="8"/>
      <c r="G283" s="8"/>
      <c r="H283" s="8"/>
      <c r="I283" s="8"/>
      <c r="J283" s="8"/>
      <c r="K283" s="8"/>
      <c r="L283" s="8"/>
      <c r="M283" s="8"/>
      <c r="N283" s="8"/>
      <c r="O283" s="8"/>
      <c r="P283" s="8"/>
      <c r="Q283" s="8"/>
      <c r="R283" s="8"/>
      <c r="S283" s="8"/>
      <c r="T283" s="8"/>
      <c r="U283" s="8"/>
      <c r="V283" s="8"/>
    </row>
    <row r="284" spans="1:22" x14ac:dyDescent="0.2">
      <c r="A284" s="8"/>
      <c r="B284" s="8"/>
      <c r="C284" s="8"/>
      <c r="D284" s="8"/>
      <c r="E284" s="8"/>
      <c r="F284" s="8"/>
      <c r="G284" s="8"/>
      <c r="H284" s="8"/>
      <c r="I284" s="8"/>
      <c r="J284" s="8"/>
      <c r="K284" s="8"/>
      <c r="L284" s="8"/>
      <c r="M284" s="8"/>
      <c r="N284" s="8"/>
      <c r="O284" s="8"/>
      <c r="P284" s="8"/>
      <c r="Q284" s="8"/>
      <c r="R284" s="8"/>
      <c r="S284" s="8"/>
      <c r="T284" s="8"/>
      <c r="U284" s="8"/>
      <c r="V284" s="8"/>
    </row>
    <row r="285" spans="1:22" x14ac:dyDescent="0.2">
      <c r="A285" s="8"/>
      <c r="B285" s="8"/>
      <c r="C285" s="8"/>
      <c r="D285" s="8"/>
      <c r="E285" s="8"/>
      <c r="F285" s="8"/>
      <c r="G285" s="8"/>
      <c r="H285" s="8"/>
      <c r="I285" s="8"/>
      <c r="J285" s="8"/>
      <c r="K285" s="8"/>
      <c r="L285" s="8"/>
      <c r="M285" s="8"/>
      <c r="N285" s="8"/>
      <c r="O285" s="8"/>
      <c r="P285" s="8"/>
      <c r="Q285" s="8"/>
      <c r="R285" s="8"/>
      <c r="S285" s="8"/>
      <c r="T285" s="8"/>
      <c r="U285" s="8"/>
      <c r="V285" s="8"/>
    </row>
    <row r="286" spans="1:22" x14ac:dyDescent="0.2">
      <c r="A286" s="8"/>
      <c r="B286" s="8"/>
      <c r="C286" s="8"/>
      <c r="D286" s="8"/>
      <c r="E286" s="8"/>
      <c r="F286" s="8"/>
      <c r="G286" s="8"/>
      <c r="H286" s="8"/>
      <c r="I286" s="8"/>
      <c r="J286" s="8"/>
      <c r="K286" s="8"/>
      <c r="L286" s="8"/>
      <c r="M286" s="8"/>
      <c r="N286" s="8"/>
      <c r="O286" s="8"/>
      <c r="P286" s="8"/>
      <c r="Q286" s="8"/>
      <c r="R286" s="8"/>
      <c r="S286" s="8"/>
      <c r="T286" s="8"/>
      <c r="U286" s="8"/>
      <c r="V286" s="8"/>
    </row>
    <row r="287" spans="1:22" x14ac:dyDescent="0.2">
      <c r="A287" s="8"/>
      <c r="B287" s="8"/>
      <c r="C287" s="8"/>
      <c r="D287" s="8"/>
      <c r="E287" s="8"/>
      <c r="F287" s="8"/>
      <c r="G287" s="8"/>
      <c r="H287" s="8"/>
      <c r="I287" s="8"/>
      <c r="J287" s="8"/>
      <c r="K287" s="8"/>
      <c r="L287" s="8"/>
      <c r="M287" s="8"/>
      <c r="N287" s="8"/>
      <c r="O287" s="8"/>
      <c r="P287" s="8"/>
      <c r="Q287" s="8"/>
      <c r="R287" s="8"/>
      <c r="S287" s="8"/>
      <c r="T287" s="8"/>
      <c r="U287" s="8"/>
      <c r="V287" s="8"/>
    </row>
    <row r="288" spans="1:22" x14ac:dyDescent="0.2">
      <c r="A288" s="8"/>
      <c r="B288" s="8"/>
      <c r="C288" s="8"/>
      <c r="D288" s="8"/>
      <c r="E288" s="8"/>
      <c r="F288" s="8"/>
      <c r="G288" s="8"/>
      <c r="H288" s="8"/>
      <c r="I288" s="8"/>
      <c r="J288" s="8"/>
      <c r="K288" s="8"/>
      <c r="L288" s="8"/>
      <c r="M288" s="8"/>
      <c r="N288" s="8"/>
      <c r="O288" s="8"/>
      <c r="P288" s="8"/>
      <c r="Q288" s="8"/>
      <c r="R288" s="8"/>
      <c r="S288" s="8"/>
      <c r="T288" s="8"/>
      <c r="U288" s="8"/>
      <c r="V288" s="8"/>
    </row>
    <row r="289" spans="1:22" x14ac:dyDescent="0.2">
      <c r="A289" s="8"/>
      <c r="B289" s="8"/>
      <c r="C289" s="8"/>
      <c r="D289" s="8"/>
      <c r="E289" s="8"/>
      <c r="F289" s="8"/>
      <c r="G289" s="8"/>
      <c r="H289" s="8"/>
      <c r="I289" s="8"/>
      <c r="J289" s="8"/>
      <c r="K289" s="8"/>
      <c r="L289" s="8"/>
      <c r="M289" s="8"/>
      <c r="N289" s="8"/>
      <c r="O289" s="8"/>
      <c r="P289" s="8"/>
      <c r="Q289" s="8"/>
      <c r="R289" s="8"/>
      <c r="S289" s="8"/>
      <c r="T289" s="8"/>
      <c r="U289" s="8"/>
      <c r="V289" s="8"/>
    </row>
    <row r="290" spans="1:22" x14ac:dyDescent="0.2">
      <c r="A290" s="8"/>
      <c r="B290" s="8"/>
      <c r="C290" s="8"/>
      <c r="D290" s="8"/>
      <c r="E290" s="8"/>
      <c r="F290" s="8"/>
      <c r="G290" s="8"/>
      <c r="H290" s="8"/>
      <c r="I290" s="8"/>
      <c r="J290" s="8"/>
      <c r="K290" s="8"/>
      <c r="L290" s="8"/>
      <c r="M290" s="8"/>
      <c r="N290" s="8"/>
      <c r="O290" s="8"/>
      <c r="P290" s="8"/>
      <c r="Q290" s="8"/>
      <c r="R290" s="8"/>
      <c r="S290" s="8"/>
      <c r="T290" s="8"/>
      <c r="U290" s="8"/>
      <c r="V290" s="8"/>
    </row>
    <row r="291" spans="1:22" x14ac:dyDescent="0.2">
      <c r="A291" s="8"/>
      <c r="B291" s="8"/>
      <c r="C291" s="8"/>
      <c r="D291" s="8"/>
      <c r="E291" s="8"/>
      <c r="F291" s="8"/>
      <c r="G291" s="8"/>
      <c r="H291" s="8"/>
      <c r="I291" s="8"/>
      <c r="J291" s="8"/>
      <c r="K291" s="8"/>
      <c r="L291" s="8"/>
      <c r="M291" s="8"/>
      <c r="N291" s="8"/>
      <c r="O291" s="8"/>
      <c r="P291" s="8"/>
      <c r="Q291" s="8"/>
      <c r="R291" s="8"/>
      <c r="S291" s="8"/>
      <c r="T291" s="8"/>
      <c r="U291" s="8"/>
      <c r="V291" s="8"/>
    </row>
    <row r="292" spans="1:22" x14ac:dyDescent="0.2">
      <c r="A292" s="8"/>
      <c r="B292" s="8"/>
      <c r="C292" s="8"/>
      <c r="D292" s="8"/>
      <c r="E292" s="8"/>
      <c r="F292" s="8"/>
      <c r="G292" s="8"/>
      <c r="H292" s="8"/>
      <c r="I292" s="8"/>
      <c r="J292" s="8"/>
      <c r="K292" s="8"/>
      <c r="L292" s="8"/>
      <c r="M292" s="8"/>
      <c r="N292" s="8"/>
      <c r="O292" s="8"/>
      <c r="P292" s="8"/>
      <c r="Q292" s="8"/>
      <c r="R292" s="8"/>
      <c r="S292" s="8"/>
      <c r="T292" s="8"/>
      <c r="U292" s="8"/>
      <c r="V292" s="8"/>
    </row>
    <row r="293" spans="1:22" x14ac:dyDescent="0.2">
      <c r="A293" s="8"/>
      <c r="B293" s="8"/>
      <c r="C293" s="8"/>
      <c r="D293" s="8"/>
      <c r="E293" s="8"/>
      <c r="F293" s="8"/>
      <c r="G293" s="8"/>
      <c r="H293" s="8"/>
      <c r="I293" s="8"/>
      <c r="J293" s="8"/>
      <c r="K293" s="8"/>
      <c r="L293" s="8"/>
      <c r="M293" s="8"/>
      <c r="N293" s="8"/>
      <c r="O293" s="8"/>
      <c r="P293" s="8"/>
      <c r="Q293" s="8"/>
      <c r="R293" s="8"/>
      <c r="S293" s="8"/>
      <c r="T293" s="8"/>
      <c r="U293" s="8"/>
      <c r="V293" s="8"/>
    </row>
    <row r="294" spans="1:22" x14ac:dyDescent="0.2">
      <c r="A294" s="8"/>
      <c r="B294" s="8"/>
      <c r="C294" s="8"/>
      <c r="D294" s="8"/>
      <c r="E294" s="8"/>
      <c r="F294" s="8"/>
      <c r="G294" s="8"/>
      <c r="H294" s="8"/>
      <c r="I294" s="8"/>
      <c r="J294" s="8"/>
      <c r="K294" s="8"/>
      <c r="L294" s="8"/>
      <c r="M294" s="8"/>
      <c r="N294" s="8"/>
      <c r="O294" s="8"/>
      <c r="P294" s="8"/>
      <c r="Q294" s="8"/>
      <c r="R294" s="8"/>
      <c r="S294" s="8"/>
      <c r="T294" s="8"/>
      <c r="U294" s="8"/>
      <c r="V294" s="8"/>
    </row>
    <row r="295" spans="1:22" x14ac:dyDescent="0.2">
      <c r="A295" s="8"/>
      <c r="B295" s="8"/>
      <c r="C295" s="8"/>
      <c r="D295" s="8"/>
      <c r="E295" s="8"/>
      <c r="F295" s="8"/>
      <c r="G295" s="8"/>
      <c r="H295" s="8"/>
      <c r="I295" s="8"/>
      <c r="J295" s="8"/>
      <c r="K295" s="8"/>
      <c r="L295" s="8"/>
      <c r="M295" s="8"/>
      <c r="N295" s="8"/>
      <c r="O295" s="8"/>
      <c r="P295" s="8"/>
      <c r="Q295" s="8"/>
      <c r="R295" s="8"/>
      <c r="S295" s="8"/>
      <c r="T295" s="8"/>
      <c r="U295" s="8"/>
      <c r="V295" s="8"/>
    </row>
    <row r="296" spans="1:22" x14ac:dyDescent="0.2">
      <c r="A296" s="8"/>
      <c r="B296" s="8"/>
      <c r="C296" s="8"/>
      <c r="D296" s="8"/>
      <c r="E296" s="8"/>
      <c r="F296" s="8"/>
      <c r="G296" s="8"/>
      <c r="H296" s="8"/>
      <c r="I296" s="8"/>
      <c r="J296" s="8"/>
      <c r="K296" s="8"/>
      <c r="L296" s="8"/>
      <c r="M296" s="8"/>
      <c r="N296" s="8"/>
      <c r="O296" s="8"/>
      <c r="P296" s="8"/>
      <c r="Q296" s="8"/>
      <c r="R296" s="8"/>
      <c r="S296" s="8"/>
      <c r="T296" s="8"/>
      <c r="U296" s="8"/>
      <c r="V296" s="8"/>
    </row>
    <row r="297" spans="1:22" x14ac:dyDescent="0.2">
      <c r="A297" s="8"/>
      <c r="B297" s="8"/>
      <c r="C297" s="8"/>
      <c r="D297" s="8"/>
      <c r="E297" s="8"/>
      <c r="F297" s="8"/>
      <c r="G297" s="8"/>
      <c r="H297" s="8"/>
      <c r="I297" s="8"/>
      <c r="J297" s="8"/>
      <c r="K297" s="8"/>
      <c r="L297" s="8"/>
      <c r="M297" s="8"/>
      <c r="N297" s="8"/>
      <c r="O297" s="8"/>
      <c r="P297" s="8"/>
      <c r="Q297" s="8"/>
      <c r="R297" s="8"/>
      <c r="S297" s="8"/>
      <c r="T297" s="8"/>
      <c r="U297" s="8"/>
      <c r="V297" s="8"/>
    </row>
    <row r="298" spans="1:22" x14ac:dyDescent="0.2">
      <c r="A298" s="8"/>
      <c r="B298" s="8"/>
      <c r="C298" s="8"/>
      <c r="D298" s="8"/>
      <c r="E298" s="8"/>
      <c r="F298" s="8"/>
      <c r="G298" s="8"/>
      <c r="H298" s="8"/>
      <c r="I298" s="8"/>
      <c r="J298" s="8"/>
      <c r="K298" s="8"/>
      <c r="L298" s="8"/>
      <c r="M298" s="8"/>
      <c r="N298" s="8"/>
      <c r="O298" s="8"/>
      <c r="P298" s="8"/>
      <c r="Q298" s="8"/>
      <c r="R298" s="8"/>
      <c r="S298" s="8"/>
      <c r="T298" s="8"/>
      <c r="U298" s="8"/>
      <c r="V298" s="8"/>
    </row>
    <row r="299" spans="1:22" x14ac:dyDescent="0.2">
      <c r="A299" s="8"/>
      <c r="B299" s="8"/>
      <c r="C299" s="8"/>
      <c r="D299" s="8"/>
      <c r="E299" s="8"/>
      <c r="F299" s="8"/>
      <c r="G299" s="8"/>
      <c r="H299" s="8"/>
      <c r="I299" s="8"/>
      <c r="J299" s="8"/>
      <c r="K299" s="8"/>
      <c r="L299" s="8"/>
      <c r="M299" s="8"/>
      <c r="N299" s="8"/>
      <c r="O299" s="8"/>
      <c r="P299" s="8"/>
      <c r="Q299" s="8"/>
      <c r="R299" s="8"/>
      <c r="S299" s="8"/>
      <c r="T299" s="8"/>
      <c r="U299" s="8"/>
      <c r="V299" s="8"/>
    </row>
    <row r="300" spans="1:22" x14ac:dyDescent="0.2">
      <c r="A300" s="8"/>
      <c r="B300" s="8"/>
      <c r="C300" s="8"/>
      <c r="D300" s="8"/>
      <c r="E300" s="8"/>
      <c r="F300" s="8"/>
      <c r="G300" s="8"/>
      <c r="H300" s="8"/>
      <c r="I300" s="8"/>
      <c r="J300" s="8"/>
      <c r="K300" s="8"/>
      <c r="L300" s="8"/>
      <c r="M300" s="8"/>
      <c r="N300" s="8"/>
      <c r="O300" s="8"/>
      <c r="P300" s="8"/>
      <c r="Q300" s="8"/>
      <c r="R300" s="8"/>
      <c r="S300" s="8"/>
      <c r="T300" s="8"/>
      <c r="U300" s="8"/>
      <c r="V300" s="8"/>
    </row>
    <row r="301" spans="1:22" x14ac:dyDescent="0.2">
      <c r="A301" s="8"/>
      <c r="B301" s="8"/>
      <c r="C301" s="8"/>
      <c r="D301" s="8"/>
      <c r="E301" s="8"/>
      <c r="F301" s="8"/>
      <c r="G301" s="8"/>
      <c r="H301" s="8"/>
      <c r="I301" s="8"/>
      <c r="J301" s="8"/>
      <c r="K301" s="8"/>
      <c r="L301" s="8"/>
      <c r="M301" s="8"/>
      <c r="N301" s="8"/>
      <c r="O301" s="8"/>
      <c r="P301" s="8"/>
      <c r="Q301" s="8"/>
      <c r="R301" s="8"/>
      <c r="S301" s="8"/>
      <c r="T301" s="8"/>
      <c r="U301" s="8"/>
      <c r="V301" s="8"/>
    </row>
    <row r="302" spans="1:22" x14ac:dyDescent="0.2">
      <c r="A302" s="8"/>
      <c r="B302" s="8"/>
      <c r="C302" s="8"/>
      <c r="D302" s="8"/>
      <c r="E302" s="8"/>
      <c r="F302" s="8"/>
      <c r="G302" s="8"/>
      <c r="H302" s="8"/>
      <c r="I302" s="8"/>
      <c r="J302" s="8"/>
      <c r="K302" s="8"/>
      <c r="L302" s="8"/>
      <c r="M302" s="8"/>
      <c r="N302" s="8"/>
      <c r="O302" s="8"/>
      <c r="P302" s="8"/>
      <c r="Q302" s="8"/>
      <c r="R302" s="8"/>
      <c r="S302" s="8"/>
      <c r="T302" s="8"/>
      <c r="U302" s="8"/>
      <c r="V302" s="8"/>
    </row>
    <row r="303" spans="1:22" x14ac:dyDescent="0.2">
      <c r="A303" s="8"/>
      <c r="B303" s="8"/>
      <c r="C303" s="8"/>
      <c r="D303" s="8"/>
      <c r="E303" s="8"/>
      <c r="F303" s="8"/>
      <c r="G303" s="8"/>
      <c r="H303" s="8"/>
      <c r="I303" s="8"/>
      <c r="J303" s="8"/>
      <c r="K303" s="8"/>
      <c r="L303" s="8"/>
      <c r="M303" s="8"/>
      <c r="N303" s="8"/>
      <c r="O303" s="8"/>
      <c r="P303" s="8"/>
      <c r="Q303" s="8"/>
      <c r="R303" s="8"/>
      <c r="S303" s="8"/>
      <c r="T303" s="8"/>
      <c r="U303" s="8"/>
      <c r="V303" s="8"/>
    </row>
    <row r="304" spans="1:22" x14ac:dyDescent="0.2">
      <c r="A304" s="8"/>
      <c r="B304" s="8"/>
      <c r="C304" s="8"/>
      <c r="D304" s="8"/>
      <c r="E304" s="8"/>
      <c r="F304" s="8"/>
      <c r="G304" s="8"/>
      <c r="H304" s="8"/>
      <c r="I304" s="8"/>
      <c r="J304" s="8"/>
      <c r="K304" s="8"/>
      <c r="L304" s="8"/>
      <c r="M304" s="8"/>
      <c r="N304" s="8"/>
      <c r="O304" s="8"/>
      <c r="P304" s="8"/>
      <c r="Q304" s="8"/>
      <c r="R304" s="8"/>
      <c r="S304" s="8"/>
      <c r="T304" s="8"/>
      <c r="U304" s="8"/>
      <c r="V304" s="8"/>
    </row>
    <row r="305" spans="1:22" x14ac:dyDescent="0.2">
      <c r="A305" s="8"/>
      <c r="B305" s="8"/>
      <c r="C305" s="8"/>
      <c r="D305" s="8"/>
      <c r="E305" s="8"/>
      <c r="F305" s="8"/>
      <c r="G305" s="8"/>
      <c r="H305" s="8"/>
      <c r="I305" s="8"/>
      <c r="J305" s="8"/>
      <c r="K305" s="8"/>
      <c r="L305" s="8"/>
      <c r="M305" s="8"/>
      <c r="N305" s="8"/>
      <c r="O305" s="8"/>
      <c r="P305" s="8"/>
      <c r="Q305" s="8"/>
      <c r="R305" s="8"/>
      <c r="S305" s="8"/>
      <c r="T305" s="8"/>
      <c r="U305" s="8"/>
      <c r="V305" s="8"/>
    </row>
    <row r="306" spans="1:22" x14ac:dyDescent="0.2">
      <c r="A306" s="8"/>
      <c r="B306" s="8"/>
      <c r="C306" s="8"/>
      <c r="D306" s="8"/>
      <c r="E306" s="8"/>
      <c r="F306" s="8"/>
      <c r="G306" s="8"/>
      <c r="H306" s="8"/>
      <c r="I306" s="8"/>
      <c r="J306" s="8"/>
      <c r="K306" s="8"/>
      <c r="L306" s="8"/>
      <c r="M306" s="8"/>
      <c r="N306" s="8"/>
      <c r="O306" s="8"/>
      <c r="P306" s="8"/>
      <c r="Q306" s="8"/>
      <c r="R306" s="8"/>
      <c r="S306" s="8"/>
      <c r="T306" s="8"/>
      <c r="U306" s="8"/>
      <c r="V306" s="8"/>
    </row>
    <row r="307" spans="1:22" x14ac:dyDescent="0.2">
      <c r="A307" s="8"/>
      <c r="B307" s="8"/>
      <c r="C307" s="8"/>
      <c r="D307" s="8"/>
      <c r="E307" s="8"/>
      <c r="F307" s="8"/>
      <c r="G307" s="8"/>
      <c r="H307" s="8"/>
      <c r="I307" s="8"/>
      <c r="J307" s="8"/>
      <c r="K307" s="8"/>
      <c r="L307" s="8"/>
      <c r="M307" s="8"/>
      <c r="N307" s="8"/>
      <c r="O307" s="8"/>
      <c r="P307" s="8"/>
      <c r="Q307" s="8"/>
      <c r="R307" s="8"/>
      <c r="S307" s="8"/>
      <c r="T307" s="8"/>
      <c r="U307" s="8"/>
      <c r="V307" s="8"/>
    </row>
    <row r="308" spans="1:22" x14ac:dyDescent="0.2">
      <c r="A308" s="8"/>
      <c r="B308" s="8"/>
      <c r="C308" s="8"/>
      <c r="D308" s="8"/>
      <c r="E308" s="8"/>
      <c r="F308" s="8"/>
      <c r="G308" s="8"/>
      <c r="H308" s="8"/>
      <c r="I308" s="8"/>
      <c r="J308" s="8"/>
      <c r="K308" s="8"/>
      <c r="L308" s="8"/>
      <c r="M308" s="8"/>
      <c r="N308" s="8"/>
      <c r="O308" s="8"/>
      <c r="P308" s="8"/>
      <c r="Q308" s="8"/>
      <c r="R308" s="8"/>
      <c r="S308" s="8"/>
      <c r="T308" s="8"/>
      <c r="U308" s="8"/>
      <c r="V308" s="8"/>
    </row>
    <row r="309" spans="1:22" x14ac:dyDescent="0.2">
      <c r="A309" s="8"/>
      <c r="B309" s="8"/>
      <c r="C309" s="8"/>
      <c r="D309" s="8"/>
      <c r="E309" s="8"/>
      <c r="F309" s="8"/>
      <c r="G309" s="8"/>
      <c r="H309" s="8"/>
      <c r="I309" s="8"/>
      <c r="J309" s="8"/>
      <c r="K309" s="8"/>
      <c r="L309" s="8"/>
      <c r="M309" s="8"/>
      <c r="N309" s="8"/>
      <c r="O309" s="8"/>
      <c r="P309" s="8"/>
      <c r="Q309" s="8"/>
      <c r="R309" s="8"/>
      <c r="S309" s="8"/>
      <c r="T309" s="8"/>
      <c r="U309" s="8"/>
      <c r="V309" s="8"/>
    </row>
    <row r="310" spans="1:22" x14ac:dyDescent="0.2">
      <c r="A310" s="8"/>
      <c r="B310" s="8"/>
      <c r="C310" s="8"/>
      <c r="D310" s="8"/>
      <c r="E310" s="8"/>
      <c r="F310" s="8"/>
      <c r="G310" s="8"/>
      <c r="H310" s="8"/>
      <c r="I310" s="8"/>
      <c r="J310" s="8"/>
      <c r="K310" s="8"/>
      <c r="L310" s="8"/>
      <c r="M310" s="8"/>
      <c r="N310" s="8"/>
      <c r="O310" s="8"/>
      <c r="P310" s="8"/>
      <c r="Q310" s="8"/>
      <c r="R310" s="8"/>
      <c r="S310" s="8"/>
      <c r="T310" s="8"/>
      <c r="U310" s="8"/>
      <c r="V310" s="8"/>
    </row>
    <row r="311" spans="1:22" x14ac:dyDescent="0.2">
      <c r="A311" s="8"/>
      <c r="B311" s="8"/>
      <c r="C311" s="8"/>
      <c r="D311" s="8"/>
      <c r="E311" s="8"/>
      <c r="F311" s="8"/>
      <c r="G311" s="8"/>
      <c r="H311" s="8"/>
      <c r="I311" s="8"/>
      <c r="J311" s="8"/>
      <c r="K311" s="8"/>
      <c r="L311" s="8"/>
      <c r="M311" s="8"/>
      <c r="N311" s="8"/>
      <c r="O311" s="8"/>
      <c r="P311" s="8"/>
      <c r="Q311" s="8"/>
      <c r="R311" s="8"/>
      <c r="S311" s="8"/>
      <c r="T311" s="8"/>
      <c r="U311" s="8"/>
      <c r="V311" s="8"/>
    </row>
    <row r="312" spans="1:22" x14ac:dyDescent="0.2">
      <c r="A312" s="8"/>
      <c r="B312" s="8"/>
      <c r="C312" s="8"/>
      <c r="D312" s="8"/>
      <c r="E312" s="8"/>
      <c r="F312" s="8"/>
      <c r="G312" s="8"/>
      <c r="H312" s="8"/>
      <c r="I312" s="8"/>
      <c r="J312" s="8"/>
      <c r="K312" s="8"/>
      <c r="L312" s="8"/>
      <c r="M312" s="8"/>
      <c r="N312" s="8"/>
      <c r="O312" s="8"/>
      <c r="P312" s="8"/>
      <c r="Q312" s="8"/>
      <c r="R312" s="8"/>
      <c r="S312" s="8"/>
      <c r="T312" s="8"/>
      <c r="U312" s="8"/>
      <c r="V312" s="8"/>
    </row>
    <row r="313" spans="1:22" x14ac:dyDescent="0.2">
      <c r="A313" s="8"/>
      <c r="B313" s="8"/>
      <c r="C313" s="8"/>
      <c r="D313" s="8"/>
      <c r="E313" s="8"/>
      <c r="F313" s="8"/>
      <c r="G313" s="8"/>
      <c r="H313" s="8"/>
      <c r="I313" s="8"/>
      <c r="J313" s="8"/>
      <c r="K313" s="8"/>
      <c r="L313" s="8"/>
      <c r="M313" s="8"/>
      <c r="N313" s="8"/>
      <c r="O313" s="8"/>
      <c r="P313" s="8"/>
      <c r="Q313" s="8"/>
      <c r="R313" s="8"/>
      <c r="S313" s="8"/>
      <c r="T313" s="8"/>
      <c r="U313" s="8"/>
      <c r="V313" s="8"/>
    </row>
    <row r="314" spans="1:22" x14ac:dyDescent="0.2">
      <c r="A314" s="8"/>
      <c r="B314" s="8"/>
      <c r="C314" s="8"/>
      <c r="D314" s="8"/>
      <c r="E314" s="8"/>
      <c r="F314" s="8"/>
      <c r="G314" s="8"/>
      <c r="H314" s="8"/>
      <c r="I314" s="8"/>
      <c r="J314" s="8"/>
      <c r="K314" s="8"/>
      <c r="L314" s="8"/>
      <c r="M314" s="8"/>
      <c r="N314" s="8"/>
      <c r="O314" s="8"/>
      <c r="P314" s="8"/>
      <c r="Q314" s="8"/>
      <c r="R314" s="8"/>
      <c r="S314" s="8"/>
      <c r="T314" s="8"/>
      <c r="U314" s="8"/>
      <c r="V314" s="8"/>
    </row>
    <row r="315" spans="1:22" x14ac:dyDescent="0.2">
      <c r="A315" s="8"/>
      <c r="B315" s="8"/>
      <c r="C315" s="8"/>
      <c r="D315" s="8"/>
      <c r="E315" s="8"/>
      <c r="F315" s="8"/>
      <c r="G315" s="8"/>
      <c r="H315" s="8"/>
      <c r="I315" s="8"/>
      <c r="J315" s="8"/>
      <c r="K315" s="8"/>
      <c r="L315" s="8"/>
      <c r="M315" s="8"/>
      <c r="N315" s="8"/>
      <c r="O315" s="8"/>
      <c r="P315" s="8"/>
      <c r="Q315" s="8"/>
      <c r="R315" s="8"/>
      <c r="S315" s="8"/>
      <c r="T315" s="8"/>
      <c r="U315" s="8"/>
      <c r="V315" s="8"/>
    </row>
    <row r="316" spans="1:22" x14ac:dyDescent="0.2">
      <c r="A316" s="8"/>
      <c r="B316" s="8"/>
      <c r="C316" s="8"/>
      <c r="D316" s="8"/>
      <c r="E316" s="8"/>
      <c r="F316" s="8"/>
      <c r="G316" s="8"/>
      <c r="H316" s="8"/>
      <c r="I316" s="8"/>
      <c r="J316" s="8"/>
      <c r="K316" s="8"/>
      <c r="L316" s="8"/>
      <c r="M316" s="8"/>
      <c r="N316" s="8"/>
      <c r="O316" s="8"/>
      <c r="P316" s="8"/>
      <c r="Q316" s="8"/>
      <c r="R316" s="8"/>
      <c r="S316" s="8"/>
      <c r="T316" s="8"/>
      <c r="U316" s="8"/>
      <c r="V316" s="8"/>
    </row>
    <row r="317" spans="1:22" x14ac:dyDescent="0.2">
      <c r="A317" s="8"/>
      <c r="B317" s="8"/>
      <c r="C317" s="8"/>
      <c r="D317" s="8"/>
      <c r="E317" s="8"/>
      <c r="F317" s="8"/>
      <c r="G317" s="8"/>
      <c r="H317" s="8"/>
      <c r="I317" s="8"/>
      <c r="J317" s="8"/>
      <c r="K317" s="8"/>
      <c r="L317" s="8"/>
      <c r="M317" s="8"/>
      <c r="N317" s="8"/>
      <c r="O317" s="8"/>
      <c r="P317" s="8"/>
      <c r="Q317" s="8"/>
      <c r="R317" s="8"/>
      <c r="S317" s="8"/>
      <c r="T317" s="8"/>
      <c r="U317" s="8"/>
      <c r="V317" s="8"/>
    </row>
    <row r="318" spans="1:22" x14ac:dyDescent="0.2">
      <c r="A318" s="8"/>
      <c r="B318" s="8"/>
      <c r="C318" s="8"/>
      <c r="D318" s="8"/>
      <c r="E318" s="8"/>
      <c r="F318" s="8"/>
      <c r="G318" s="8"/>
      <c r="H318" s="8"/>
      <c r="I318" s="8"/>
      <c r="J318" s="8"/>
      <c r="K318" s="8"/>
      <c r="L318" s="8"/>
      <c r="M318" s="8"/>
      <c r="N318" s="8"/>
      <c r="O318" s="8"/>
      <c r="P318" s="8"/>
      <c r="Q318" s="8"/>
      <c r="R318" s="8"/>
      <c r="S318" s="8"/>
      <c r="T318" s="8"/>
      <c r="U318" s="8"/>
      <c r="V318" s="8"/>
    </row>
    <row r="319" spans="1:22" x14ac:dyDescent="0.2">
      <c r="A319" s="8"/>
      <c r="B319" s="8"/>
      <c r="C319" s="8"/>
      <c r="D319" s="8"/>
      <c r="E319" s="8"/>
      <c r="F319" s="8"/>
      <c r="G319" s="8"/>
      <c r="H319" s="8"/>
      <c r="I319" s="8"/>
      <c r="J319" s="8"/>
      <c r="K319" s="8"/>
      <c r="L319" s="8"/>
      <c r="M319" s="8"/>
      <c r="N319" s="8"/>
      <c r="O319" s="8"/>
      <c r="P319" s="8"/>
      <c r="Q319" s="8"/>
      <c r="R319" s="8"/>
      <c r="S319" s="8"/>
      <c r="T319" s="8"/>
      <c r="U319" s="8"/>
      <c r="V319" s="8"/>
    </row>
    <row r="320" spans="1:22" x14ac:dyDescent="0.2">
      <c r="A320" s="8"/>
      <c r="B320" s="8"/>
      <c r="C320" s="8"/>
      <c r="D320" s="8"/>
      <c r="E320" s="8"/>
      <c r="F320" s="8"/>
      <c r="G320" s="8"/>
      <c r="H320" s="8"/>
      <c r="I320" s="8"/>
      <c r="J320" s="8"/>
      <c r="K320" s="8"/>
      <c r="L320" s="8"/>
      <c r="M320" s="8"/>
      <c r="N320" s="8"/>
      <c r="O320" s="8"/>
      <c r="P320" s="8"/>
      <c r="Q320" s="8"/>
      <c r="R320" s="8"/>
      <c r="S320" s="8"/>
      <c r="T320" s="8"/>
      <c r="U320" s="8"/>
      <c r="V320" s="8"/>
    </row>
    <row r="321" spans="1:22" x14ac:dyDescent="0.2">
      <c r="A321" s="8"/>
      <c r="B321" s="8"/>
      <c r="C321" s="8"/>
      <c r="D321" s="8"/>
      <c r="E321" s="8"/>
      <c r="F321" s="8"/>
      <c r="G321" s="8"/>
      <c r="H321" s="8"/>
      <c r="I321" s="8"/>
      <c r="J321" s="8"/>
      <c r="K321" s="8"/>
      <c r="L321" s="8"/>
      <c r="M321" s="8"/>
      <c r="N321" s="8"/>
      <c r="O321" s="8"/>
      <c r="P321" s="8"/>
      <c r="Q321" s="8"/>
      <c r="R321" s="8"/>
      <c r="S321" s="8"/>
      <c r="T321" s="8"/>
      <c r="U321" s="8"/>
      <c r="V321" s="8"/>
    </row>
    <row r="322" spans="1:22" x14ac:dyDescent="0.2">
      <c r="A322" s="8"/>
      <c r="B322" s="8"/>
      <c r="C322" s="8"/>
      <c r="D322" s="8"/>
      <c r="E322" s="8"/>
      <c r="F322" s="8"/>
      <c r="G322" s="8"/>
      <c r="H322" s="8"/>
      <c r="I322" s="8"/>
      <c r="J322" s="8"/>
      <c r="K322" s="8"/>
      <c r="L322" s="8"/>
      <c r="M322" s="8"/>
      <c r="N322" s="8"/>
      <c r="O322" s="8"/>
      <c r="P322" s="8"/>
      <c r="Q322" s="8"/>
      <c r="R322" s="8"/>
      <c r="S322" s="8"/>
      <c r="T322" s="8"/>
      <c r="U322" s="8"/>
      <c r="V322" s="8"/>
    </row>
    <row r="323" spans="1:22" x14ac:dyDescent="0.2">
      <c r="A323" s="8"/>
      <c r="B323" s="8"/>
      <c r="C323" s="8"/>
      <c r="D323" s="8"/>
      <c r="E323" s="8"/>
      <c r="F323" s="8"/>
      <c r="G323" s="8"/>
      <c r="H323" s="8"/>
      <c r="I323" s="8"/>
      <c r="J323" s="8"/>
      <c r="K323" s="8"/>
      <c r="L323" s="8"/>
      <c r="M323" s="8"/>
      <c r="N323" s="8"/>
      <c r="O323" s="8"/>
      <c r="P323" s="8"/>
      <c r="Q323" s="8"/>
      <c r="R323" s="8"/>
      <c r="S323" s="8"/>
      <c r="T323" s="8"/>
      <c r="U323" s="8"/>
      <c r="V323" s="8"/>
    </row>
    <row r="324" spans="1:22" x14ac:dyDescent="0.2">
      <c r="A324" s="8"/>
      <c r="B324" s="8"/>
      <c r="C324" s="8"/>
      <c r="D324" s="8"/>
      <c r="E324" s="8"/>
      <c r="F324" s="8"/>
      <c r="G324" s="8"/>
      <c r="H324" s="8"/>
      <c r="I324" s="8"/>
      <c r="J324" s="8"/>
      <c r="K324" s="8"/>
      <c r="L324" s="8"/>
      <c r="M324" s="8"/>
      <c r="N324" s="8"/>
      <c r="O324" s="8"/>
      <c r="P324" s="8"/>
      <c r="Q324" s="8"/>
      <c r="R324" s="8"/>
      <c r="S324" s="8"/>
      <c r="T324" s="8"/>
      <c r="U324" s="8"/>
      <c r="V324" s="8"/>
    </row>
    <row r="325" spans="1:22" x14ac:dyDescent="0.2">
      <c r="A325" s="8"/>
      <c r="B325" s="8"/>
      <c r="C325" s="8"/>
      <c r="D325" s="8"/>
      <c r="E325" s="8"/>
      <c r="F325" s="8"/>
      <c r="G325" s="8"/>
      <c r="H325" s="8"/>
      <c r="I325" s="8"/>
      <c r="J325" s="8"/>
      <c r="K325" s="8"/>
      <c r="L325" s="8"/>
      <c r="M325" s="8"/>
      <c r="N325" s="8"/>
      <c r="O325" s="8"/>
      <c r="P325" s="8"/>
      <c r="Q325" s="8"/>
      <c r="R325" s="8"/>
      <c r="S325" s="8"/>
      <c r="T325" s="8"/>
      <c r="U325" s="8"/>
      <c r="V325" s="8"/>
    </row>
    <row r="326" spans="1:22" x14ac:dyDescent="0.2">
      <c r="A326" s="8"/>
      <c r="B326" s="8"/>
      <c r="C326" s="8"/>
      <c r="D326" s="8"/>
      <c r="E326" s="8"/>
      <c r="F326" s="8"/>
      <c r="G326" s="8"/>
      <c r="H326" s="8"/>
      <c r="I326" s="8"/>
      <c r="J326" s="8"/>
      <c r="K326" s="8"/>
      <c r="L326" s="8"/>
      <c r="M326" s="8"/>
      <c r="N326" s="8"/>
      <c r="O326" s="8"/>
      <c r="P326" s="8"/>
      <c r="Q326" s="8"/>
      <c r="R326" s="8"/>
      <c r="S326" s="8"/>
      <c r="T326" s="8"/>
      <c r="U326" s="8"/>
      <c r="V326" s="8"/>
    </row>
    <row r="327" spans="1:22" x14ac:dyDescent="0.2">
      <c r="A327" s="8"/>
      <c r="B327" s="8"/>
      <c r="C327" s="8"/>
      <c r="D327" s="8"/>
      <c r="E327" s="8"/>
      <c r="F327" s="8"/>
      <c r="G327" s="8"/>
      <c r="H327" s="8"/>
      <c r="I327" s="8"/>
      <c r="J327" s="8"/>
      <c r="K327" s="8"/>
      <c r="L327" s="8"/>
      <c r="M327" s="8"/>
      <c r="N327" s="8"/>
      <c r="O327" s="8"/>
      <c r="P327" s="8"/>
      <c r="Q327" s="8"/>
      <c r="R327" s="8"/>
      <c r="S327" s="8"/>
      <c r="T327" s="8"/>
      <c r="U327" s="8"/>
      <c r="V327" s="8"/>
    </row>
    <row r="328" spans="1:22" x14ac:dyDescent="0.2">
      <c r="A328" s="8"/>
      <c r="B328" s="8"/>
      <c r="C328" s="8"/>
      <c r="D328" s="8"/>
      <c r="E328" s="8"/>
      <c r="F328" s="8"/>
      <c r="G328" s="8"/>
      <c r="H328" s="8"/>
      <c r="I328" s="8"/>
      <c r="J328" s="8"/>
      <c r="K328" s="8"/>
      <c r="L328" s="8"/>
      <c r="M328" s="8"/>
      <c r="N328" s="8"/>
      <c r="O328" s="8"/>
      <c r="P328" s="8"/>
      <c r="Q328" s="8"/>
      <c r="R328" s="8"/>
      <c r="S328" s="8"/>
      <c r="T328" s="8"/>
      <c r="U328" s="8"/>
      <c r="V328" s="8"/>
    </row>
    <row r="329" spans="1:22" x14ac:dyDescent="0.2">
      <c r="A329" s="8"/>
      <c r="B329" s="8"/>
      <c r="C329" s="8"/>
      <c r="D329" s="8"/>
      <c r="E329" s="8"/>
      <c r="F329" s="8"/>
      <c r="G329" s="8"/>
      <c r="H329" s="8"/>
      <c r="I329" s="8"/>
      <c r="J329" s="8"/>
      <c r="K329" s="8"/>
      <c r="L329" s="8"/>
      <c r="M329" s="8"/>
      <c r="N329" s="8"/>
      <c r="O329" s="8"/>
      <c r="P329" s="8"/>
      <c r="Q329" s="8"/>
      <c r="R329" s="8"/>
      <c r="S329" s="8"/>
      <c r="T329" s="8"/>
      <c r="U329" s="8"/>
      <c r="V329" s="8"/>
    </row>
    <row r="330" spans="1:22" x14ac:dyDescent="0.2">
      <c r="A330" s="8"/>
      <c r="B330" s="8"/>
      <c r="C330" s="8"/>
      <c r="D330" s="8"/>
      <c r="E330" s="8"/>
      <c r="F330" s="8"/>
      <c r="G330" s="8"/>
      <c r="H330" s="8"/>
      <c r="I330" s="8"/>
      <c r="J330" s="8"/>
      <c r="K330" s="8"/>
      <c r="L330" s="8"/>
      <c r="M330" s="8"/>
      <c r="N330" s="8"/>
      <c r="O330" s="8"/>
      <c r="P330" s="8"/>
      <c r="Q330" s="8"/>
      <c r="R330" s="8"/>
      <c r="S330" s="8"/>
      <c r="T330" s="8"/>
      <c r="U330" s="8"/>
      <c r="V330" s="8"/>
    </row>
    <row r="331" spans="1:22" x14ac:dyDescent="0.2">
      <c r="A331" s="8"/>
      <c r="B331" s="8"/>
      <c r="C331" s="8"/>
      <c r="D331" s="8"/>
      <c r="E331" s="8"/>
      <c r="F331" s="8"/>
      <c r="G331" s="8"/>
      <c r="H331" s="8"/>
      <c r="I331" s="8"/>
      <c r="J331" s="8"/>
      <c r="K331" s="8"/>
      <c r="L331" s="8"/>
      <c r="M331" s="8"/>
      <c r="N331" s="8"/>
      <c r="O331" s="8"/>
      <c r="P331" s="8"/>
      <c r="Q331" s="8"/>
      <c r="R331" s="8"/>
      <c r="S331" s="8"/>
      <c r="T331" s="8"/>
      <c r="U331" s="8"/>
      <c r="V331" s="8"/>
    </row>
    <row r="332" spans="1:22" x14ac:dyDescent="0.2">
      <c r="A332" s="8"/>
      <c r="B332" s="8"/>
      <c r="C332" s="8"/>
      <c r="D332" s="8"/>
      <c r="E332" s="8"/>
      <c r="F332" s="8"/>
      <c r="G332" s="8"/>
      <c r="H332" s="8"/>
      <c r="I332" s="8"/>
      <c r="J332" s="8"/>
      <c r="K332" s="8"/>
      <c r="L332" s="8"/>
      <c r="M332" s="8"/>
      <c r="N332" s="8"/>
      <c r="O332" s="8"/>
      <c r="P332" s="8"/>
      <c r="Q332" s="8"/>
      <c r="R332" s="8"/>
      <c r="S332" s="8"/>
      <c r="T332" s="8"/>
      <c r="U332" s="8"/>
      <c r="V332" s="8"/>
    </row>
    <row r="333" spans="1:22" x14ac:dyDescent="0.2">
      <c r="A333" s="8"/>
      <c r="B333" s="8"/>
      <c r="C333" s="8"/>
      <c r="D333" s="8"/>
      <c r="E333" s="8"/>
      <c r="F333" s="8"/>
      <c r="G333" s="8"/>
      <c r="H333" s="8"/>
      <c r="I333" s="8"/>
      <c r="J333" s="8"/>
      <c r="K333" s="8"/>
      <c r="L333" s="8"/>
      <c r="M333" s="8"/>
      <c r="N333" s="8"/>
      <c r="O333" s="8"/>
      <c r="P333" s="8"/>
      <c r="Q333" s="8"/>
      <c r="R333" s="8"/>
      <c r="S333" s="8"/>
      <c r="T333" s="8"/>
      <c r="U333" s="8"/>
      <c r="V333" s="8"/>
    </row>
    <row r="334" spans="1:22" x14ac:dyDescent="0.2">
      <c r="A334" s="8"/>
      <c r="B334" s="8"/>
      <c r="C334" s="8"/>
      <c r="D334" s="8"/>
      <c r="E334" s="8"/>
      <c r="F334" s="8"/>
      <c r="G334" s="8"/>
      <c r="H334" s="8"/>
      <c r="I334" s="8"/>
      <c r="J334" s="8"/>
      <c r="K334" s="8"/>
      <c r="L334" s="8"/>
      <c r="M334" s="8"/>
      <c r="N334" s="8"/>
      <c r="O334" s="8"/>
      <c r="P334" s="8"/>
      <c r="Q334" s="8"/>
      <c r="R334" s="8"/>
      <c r="S334" s="8"/>
      <c r="T334" s="8"/>
      <c r="U334" s="8"/>
      <c r="V334" s="8"/>
    </row>
    <row r="335" spans="1:22" x14ac:dyDescent="0.2">
      <c r="A335" s="8"/>
      <c r="B335" s="8"/>
      <c r="C335" s="8"/>
      <c r="D335" s="8"/>
      <c r="E335" s="8"/>
      <c r="F335" s="8"/>
      <c r="G335" s="8"/>
      <c r="H335" s="8"/>
      <c r="I335" s="8"/>
      <c r="J335" s="8"/>
      <c r="K335" s="8"/>
      <c r="L335" s="8"/>
      <c r="M335" s="8"/>
      <c r="N335" s="8"/>
      <c r="O335" s="8"/>
      <c r="P335" s="8"/>
      <c r="Q335" s="8"/>
      <c r="R335" s="8"/>
      <c r="S335" s="8"/>
      <c r="T335" s="8"/>
      <c r="U335" s="8"/>
      <c r="V335" s="8"/>
    </row>
    <row r="336" spans="1:22" x14ac:dyDescent="0.2">
      <c r="A336" s="8"/>
      <c r="B336" s="8"/>
      <c r="C336" s="8"/>
      <c r="D336" s="8"/>
      <c r="E336" s="8"/>
      <c r="F336" s="8"/>
      <c r="G336" s="8"/>
      <c r="H336" s="8"/>
      <c r="I336" s="8"/>
      <c r="J336" s="8"/>
      <c r="K336" s="8"/>
      <c r="L336" s="8"/>
      <c r="M336" s="8"/>
      <c r="N336" s="8"/>
      <c r="O336" s="8"/>
      <c r="P336" s="8"/>
      <c r="Q336" s="8"/>
      <c r="R336" s="8"/>
      <c r="S336" s="8"/>
      <c r="T336" s="8"/>
      <c r="U336" s="8"/>
      <c r="V336" s="8"/>
    </row>
    <row r="337" spans="1:22" x14ac:dyDescent="0.2">
      <c r="A337" s="8"/>
      <c r="B337" s="8"/>
      <c r="C337" s="8"/>
      <c r="D337" s="8"/>
      <c r="E337" s="8"/>
      <c r="F337" s="8"/>
      <c r="G337" s="8"/>
      <c r="H337" s="8"/>
      <c r="I337" s="8"/>
      <c r="J337" s="8"/>
      <c r="K337" s="8"/>
      <c r="L337" s="8"/>
      <c r="M337" s="8"/>
      <c r="N337" s="8"/>
      <c r="O337" s="8"/>
      <c r="P337" s="8"/>
      <c r="Q337" s="8"/>
      <c r="R337" s="8"/>
      <c r="S337" s="8"/>
      <c r="T337" s="8"/>
      <c r="U337" s="8"/>
      <c r="V337" s="8"/>
    </row>
    <row r="338" spans="1:22" x14ac:dyDescent="0.2">
      <c r="A338" s="8"/>
      <c r="B338" s="8"/>
      <c r="C338" s="8"/>
      <c r="D338" s="8"/>
      <c r="E338" s="8"/>
      <c r="F338" s="8"/>
      <c r="G338" s="8"/>
      <c r="H338" s="8"/>
      <c r="I338" s="8"/>
      <c r="J338" s="8"/>
      <c r="K338" s="8"/>
      <c r="L338" s="8"/>
      <c r="M338" s="8"/>
      <c r="N338" s="8"/>
      <c r="O338" s="8"/>
      <c r="P338" s="8"/>
      <c r="Q338" s="8"/>
      <c r="R338" s="8"/>
      <c r="S338" s="8"/>
      <c r="T338" s="8"/>
      <c r="U338" s="8"/>
      <c r="V338" s="8"/>
    </row>
    <row r="339" spans="1:22" x14ac:dyDescent="0.2">
      <c r="A339" s="8"/>
      <c r="B339" s="8"/>
      <c r="C339" s="8"/>
      <c r="D339" s="8"/>
      <c r="E339" s="8"/>
      <c r="F339" s="8"/>
      <c r="G339" s="8"/>
      <c r="H339" s="8"/>
      <c r="I339" s="8"/>
      <c r="J339" s="8"/>
      <c r="K339" s="8"/>
      <c r="L339" s="8"/>
      <c r="M339" s="8"/>
      <c r="N339" s="8"/>
      <c r="O339" s="8"/>
      <c r="P339" s="8"/>
      <c r="Q339" s="8"/>
      <c r="R339" s="8"/>
      <c r="S339" s="8"/>
      <c r="T339" s="8"/>
      <c r="U339" s="8"/>
      <c r="V339" s="8"/>
    </row>
    <row r="340" spans="1:22" x14ac:dyDescent="0.2">
      <c r="A340" s="8"/>
      <c r="B340" s="8"/>
      <c r="C340" s="8"/>
      <c r="D340" s="8"/>
      <c r="E340" s="8"/>
      <c r="F340" s="8"/>
      <c r="G340" s="8"/>
      <c r="H340" s="8"/>
      <c r="I340" s="8"/>
      <c r="J340" s="8"/>
      <c r="K340" s="8"/>
      <c r="L340" s="8"/>
      <c r="M340" s="8"/>
      <c r="N340" s="8"/>
      <c r="O340" s="8"/>
      <c r="P340" s="8"/>
      <c r="Q340" s="8"/>
      <c r="R340" s="8"/>
      <c r="S340" s="8"/>
      <c r="T340" s="8"/>
      <c r="U340" s="8"/>
      <c r="V340" s="8"/>
    </row>
    <row r="341" spans="1:22" x14ac:dyDescent="0.2">
      <c r="A341" s="8"/>
      <c r="B341" s="8"/>
      <c r="C341" s="8"/>
      <c r="D341" s="8"/>
      <c r="E341" s="8"/>
      <c r="F341" s="8"/>
      <c r="G341" s="8"/>
      <c r="H341" s="8"/>
      <c r="I341" s="8"/>
      <c r="J341" s="8"/>
      <c r="K341" s="8"/>
      <c r="L341" s="8"/>
      <c r="M341" s="8"/>
      <c r="N341" s="8"/>
      <c r="O341" s="8"/>
      <c r="P341" s="8"/>
      <c r="Q341" s="8"/>
      <c r="R341" s="8"/>
      <c r="S341" s="8"/>
      <c r="T341" s="8"/>
      <c r="U341" s="8"/>
      <c r="V341" s="8"/>
    </row>
    <row r="342" spans="1:22" x14ac:dyDescent="0.2">
      <c r="A342" s="8"/>
      <c r="B342" s="8"/>
      <c r="C342" s="8"/>
      <c r="D342" s="8"/>
      <c r="E342" s="8"/>
      <c r="F342" s="8"/>
      <c r="G342" s="8"/>
      <c r="H342" s="8"/>
      <c r="I342" s="8"/>
      <c r="J342" s="8"/>
      <c r="K342" s="8"/>
      <c r="L342" s="8"/>
      <c r="M342" s="8"/>
      <c r="N342" s="8"/>
      <c r="O342" s="8"/>
      <c r="P342" s="8"/>
      <c r="Q342" s="8"/>
      <c r="R342" s="8"/>
      <c r="S342" s="8"/>
      <c r="T342" s="8"/>
      <c r="U342" s="8"/>
      <c r="V342" s="8"/>
    </row>
    <row r="343" spans="1:22" x14ac:dyDescent="0.2">
      <c r="A343" s="8"/>
      <c r="B343" s="8"/>
      <c r="C343" s="8"/>
      <c r="D343" s="8"/>
      <c r="E343" s="8"/>
      <c r="F343" s="8"/>
      <c r="G343" s="8"/>
      <c r="H343" s="8"/>
      <c r="I343" s="8"/>
      <c r="J343" s="8"/>
      <c r="K343" s="8"/>
      <c r="L343" s="8"/>
      <c r="M343" s="8"/>
      <c r="N343" s="8"/>
      <c r="O343" s="8"/>
      <c r="P343" s="8"/>
      <c r="Q343" s="8"/>
      <c r="R343" s="8"/>
      <c r="S343" s="8"/>
      <c r="T343" s="8"/>
      <c r="U343" s="8"/>
      <c r="V343" s="8"/>
    </row>
    <row r="344" spans="1:22" x14ac:dyDescent="0.2">
      <c r="A344" s="8"/>
      <c r="B344" s="8"/>
      <c r="C344" s="8"/>
      <c r="D344" s="8"/>
      <c r="E344" s="8"/>
      <c r="F344" s="8"/>
      <c r="G344" s="8"/>
      <c r="H344" s="8"/>
      <c r="I344" s="8"/>
      <c r="J344" s="8"/>
      <c r="K344" s="8"/>
      <c r="L344" s="8"/>
      <c r="M344" s="8"/>
      <c r="N344" s="8"/>
      <c r="O344" s="8"/>
      <c r="P344" s="8"/>
      <c r="Q344" s="8"/>
      <c r="R344" s="8"/>
      <c r="S344" s="8"/>
      <c r="T344" s="8"/>
      <c r="U344" s="8"/>
      <c r="V344" s="8"/>
    </row>
    <row r="345" spans="1:22" x14ac:dyDescent="0.2">
      <c r="A345" s="8"/>
      <c r="B345" s="8"/>
      <c r="C345" s="8"/>
      <c r="D345" s="8"/>
      <c r="E345" s="8"/>
      <c r="F345" s="8"/>
      <c r="G345" s="8"/>
      <c r="H345" s="8"/>
      <c r="I345" s="8"/>
      <c r="J345" s="8"/>
      <c r="K345" s="8"/>
      <c r="L345" s="8"/>
      <c r="M345" s="8"/>
      <c r="N345" s="8"/>
      <c r="O345" s="8"/>
      <c r="P345" s="8"/>
      <c r="Q345" s="8"/>
      <c r="R345" s="8"/>
      <c r="S345" s="8"/>
      <c r="T345" s="8"/>
      <c r="U345" s="8"/>
      <c r="V345" s="8"/>
    </row>
    <row r="346" spans="1:22" x14ac:dyDescent="0.2">
      <c r="A346" s="8"/>
      <c r="B346" s="8"/>
      <c r="C346" s="8"/>
      <c r="D346" s="8"/>
      <c r="E346" s="8"/>
      <c r="F346" s="8"/>
      <c r="G346" s="8"/>
      <c r="H346" s="8"/>
      <c r="I346" s="8"/>
      <c r="J346" s="8"/>
      <c r="K346" s="8"/>
      <c r="L346" s="8"/>
      <c r="M346" s="8"/>
      <c r="N346" s="8"/>
      <c r="O346" s="8"/>
      <c r="P346" s="8"/>
      <c r="Q346" s="8"/>
      <c r="R346" s="8"/>
      <c r="S346" s="8"/>
      <c r="T346" s="8"/>
      <c r="U346" s="8"/>
      <c r="V346" s="8"/>
    </row>
    <row r="347" spans="1:22" x14ac:dyDescent="0.2">
      <c r="A347" s="8"/>
      <c r="B347" s="8"/>
      <c r="C347" s="8"/>
      <c r="D347" s="8"/>
      <c r="E347" s="8"/>
      <c r="F347" s="8"/>
      <c r="G347" s="8"/>
      <c r="H347" s="8"/>
      <c r="I347" s="8"/>
      <c r="J347" s="8"/>
      <c r="K347" s="8"/>
      <c r="L347" s="8"/>
      <c r="M347" s="8"/>
      <c r="N347" s="8"/>
      <c r="O347" s="8"/>
      <c r="P347" s="8"/>
      <c r="Q347" s="8"/>
      <c r="R347" s="8"/>
      <c r="S347" s="8"/>
      <c r="T347" s="8"/>
      <c r="U347" s="8"/>
      <c r="V347" s="8"/>
    </row>
    <row r="348" spans="1:22" x14ac:dyDescent="0.2">
      <c r="A348" s="8"/>
      <c r="B348" s="8"/>
      <c r="C348" s="8"/>
      <c r="D348" s="8"/>
      <c r="E348" s="8"/>
      <c r="F348" s="8"/>
      <c r="G348" s="8"/>
      <c r="H348" s="8"/>
      <c r="I348" s="8"/>
      <c r="J348" s="8"/>
      <c r="K348" s="8"/>
      <c r="L348" s="8"/>
      <c r="M348" s="8"/>
      <c r="N348" s="8"/>
      <c r="O348" s="8"/>
      <c r="P348" s="8"/>
      <c r="Q348" s="8"/>
      <c r="R348" s="8"/>
      <c r="S348" s="8"/>
      <c r="T348" s="8"/>
      <c r="U348" s="8"/>
      <c r="V348" s="8"/>
    </row>
    <row r="349" spans="1:22" x14ac:dyDescent="0.2">
      <c r="A349" s="8"/>
      <c r="B349" s="8"/>
      <c r="C349" s="8"/>
      <c r="D349" s="8"/>
      <c r="E349" s="8"/>
      <c r="F349" s="8"/>
      <c r="G349" s="8"/>
      <c r="H349" s="8"/>
      <c r="I349" s="8"/>
      <c r="J349" s="8"/>
      <c r="K349" s="8"/>
      <c r="L349" s="8"/>
      <c r="M349" s="8"/>
      <c r="N349" s="8"/>
      <c r="O349" s="8"/>
      <c r="P349" s="8"/>
      <c r="Q349" s="8"/>
      <c r="R349" s="8"/>
      <c r="S349" s="8"/>
      <c r="T349" s="8"/>
      <c r="U349" s="8"/>
      <c r="V349" s="8"/>
    </row>
    <row r="350" spans="1:22" x14ac:dyDescent="0.2">
      <c r="A350" s="8"/>
      <c r="B350" s="8"/>
      <c r="C350" s="8"/>
      <c r="D350" s="8"/>
      <c r="E350" s="8"/>
      <c r="F350" s="8"/>
      <c r="G350" s="8"/>
      <c r="H350" s="8"/>
      <c r="I350" s="8"/>
      <c r="J350" s="8"/>
      <c r="K350" s="8"/>
      <c r="L350" s="8"/>
      <c r="M350" s="8"/>
      <c r="N350" s="8"/>
      <c r="O350" s="8"/>
      <c r="P350" s="8"/>
      <c r="Q350" s="8"/>
      <c r="R350" s="8"/>
      <c r="S350" s="8"/>
      <c r="T350" s="8"/>
      <c r="U350" s="8"/>
      <c r="V350" s="8"/>
    </row>
    <row r="351" spans="1:22" x14ac:dyDescent="0.2">
      <c r="A351" s="8"/>
      <c r="B351" s="8"/>
      <c r="C351" s="8"/>
      <c r="D351" s="8"/>
      <c r="E351" s="8"/>
      <c r="F351" s="8"/>
      <c r="G351" s="8"/>
      <c r="H351" s="8"/>
      <c r="I351" s="8"/>
      <c r="J351" s="8"/>
      <c r="K351" s="8"/>
      <c r="L351" s="8"/>
      <c r="M351" s="8"/>
      <c r="N351" s="8"/>
      <c r="O351" s="8"/>
      <c r="P351" s="8"/>
      <c r="Q351" s="8"/>
      <c r="R351" s="8"/>
      <c r="S351" s="8"/>
      <c r="T351" s="8"/>
      <c r="U351" s="8"/>
      <c r="V351" s="8"/>
    </row>
    <row r="352" spans="1:22" x14ac:dyDescent="0.2">
      <c r="A352" s="8"/>
      <c r="B352" s="8"/>
      <c r="C352" s="8"/>
      <c r="D352" s="8"/>
      <c r="E352" s="8"/>
      <c r="F352" s="8"/>
      <c r="G352" s="8"/>
      <c r="H352" s="8"/>
      <c r="I352" s="8"/>
      <c r="J352" s="8"/>
      <c r="K352" s="8"/>
      <c r="L352" s="8"/>
      <c r="M352" s="8"/>
      <c r="N352" s="8"/>
      <c r="O352" s="8"/>
      <c r="P352" s="8"/>
      <c r="Q352" s="8"/>
      <c r="R352" s="8"/>
      <c r="S352" s="8"/>
      <c r="T352" s="8"/>
      <c r="U352" s="8"/>
      <c r="V352" s="8"/>
    </row>
    <row r="353" spans="1:22" x14ac:dyDescent="0.2">
      <c r="A353" s="8"/>
      <c r="B353" s="8"/>
      <c r="C353" s="8"/>
      <c r="D353" s="8"/>
      <c r="E353" s="8"/>
      <c r="F353" s="8"/>
      <c r="G353" s="8"/>
      <c r="H353" s="8"/>
      <c r="I353" s="8"/>
      <c r="J353" s="8"/>
      <c r="K353" s="8"/>
      <c r="L353" s="8"/>
      <c r="M353" s="8"/>
      <c r="N353" s="8"/>
      <c r="O353" s="8"/>
      <c r="P353" s="8"/>
      <c r="Q353" s="8"/>
      <c r="R353" s="8"/>
      <c r="S353" s="8"/>
      <c r="T353" s="8"/>
      <c r="U353" s="8"/>
      <c r="V353" s="8"/>
    </row>
    <row r="354" spans="1:22" x14ac:dyDescent="0.2">
      <c r="A354" s="8"/>
      <c r="B354" s="8"/>
      <c r="C354" s="8"/>
      <c r="D354" s="8"/>
      <c r="E354" s="8"/>
      <c r="F354" s="8"/>
      <c r="G354" s="8"/>
      <c r="H354" s="8"/>
      <c r="I354" s="8"/>
      <c r="J354" s="8"/>
      <c r="K354" s="8"/>
      <c r="L354" s="8"/>
      <c r="M354" s="8"/>
      <c r="N354" s="8"/>
      <c r="O354" s="8"/>
      <c r="P354" s="8"/>
      <c r="Q354" s="8"/>
      <c r="R354" s="8"/>
      <c r="S354" s="8"/>
      <c r="T354" s="8"/>
      <c r="U354" s="8"/>
      <c r="V354" s="8"/>
    </row>
    <row r="355" spans="1:22" x14ac:dyDescent="0.2">
      <c r="A355" s="8"/>
      <c r="B355" s="8"/>
      <c r="C355" s="8"/>
      <c r="D355" s="8"/>
      <c r="E355" s="8"/>
      <c r="F355" s="8"/>
      <c r="G355" s="8"/>
      <c r="H355" s="8"/>
      <c r="I355" s="8"/>
      <c r="J355" s="8"/>
      <c r="K355" s="8"/>
      <c r="L355" s="8"/>
      <c r="M355" s="8"/>
      <c r="N355" s="8"/>
      <c r="O355" s="8"/>
      <c r="P355" s="8"/>
      <c r="Q355" s="8"/>
      <c r="R355" s="8"/>
      <c r="S355" s="8"/>
      <c r="T355" s="8"/>
      <c r="U355" s="8"/>
      <c r="V355" s="8"/>
    </row>
    <row r="356" spans="1:22" x14ac:dyDescent="0.2">
      <c r="A356" s="8"/>
      <c r="B356" s="8"/>
      <c r="C356" s="8"/>
      <c r="D356" s="8"/>
      <c r="E356" s="8"/>
      <c r="F356" s="8"/>
      <c r="G356" s="8"/>
      <c r="H356" s="8"/>
      <c r="I356" s="8"/>
      <c r="J356" s="8"/>
      <c r="K356" s="8"/>
      <c r="L356" s="8"/>
      <c r="M356" s="8"/>
      <c r="N356" s="8"/>
      <c r="O356" s="8"/>
      <c r="P356" s="8"/>
      <c r="Q356" s="8"/>
      <c r="R356" s="8"/>
      <c r="S356" s="8"/>
      <c r="T356" s="8"/>
      <c r="U356" s="8"/>
      <c r="V356" s="8"/>
    </row>
    <row r="357" spans="1:22" x14ac:dyDescent="0.2">
      <c r="A357" s="8"/>
      <c r="B357" s="8"/>
      <c r="C357" s="8"/>
      <c r="D357" s="8"/>
      <c r="E357" s="8"/>
      <c r="F357" s="8"/>
      <c r="G357" s="8"/>
      <c r="H357" s="8"/>
      <c r="I357" s="8"/>
      <c r="J357" s="8"/>
      <c r="K357" s="8"/>
      <c r="L357" s="8"/>
      <c r="M357" s="8"/>
      <c r="N357" s="8"/>
      <c r="O357" s="8"/>
      <c r="P357" s="8"/>
      <c r="Q357" s="8"/>
      <c r="R357" s="8"/>
      <c r="S357" s="8"/>
      <c r="T357" s="8"/>
      <c r="U357" s="8"/>
      <c r="V357" s="8"/>
    </row>
    <row r="358" spans="1:22" x14ac:dyDescent="0.2">
      <c r="A358" s="8"/>
      <c r="B358" s="8"/>
      <c r="C358" s="8"/>
      <c r="D358" s="8"/>
      <c r="E358" s="8"/>
      <c r="F358" s="8"/>
      <c r="G358" s="8"/>
      <c r="H358" s="8"/>
      <c r="I358" s="8"/>
      <c r="J358" s="8"/>
      <c r="K358" s="8"/>
      <c r="L358" s="8"/>
      <c r="M358" s="8"/>
      <c r="N358" s="8"/>
      <c r="O358" s="8"/>
      <c r="P358" s="8"/>
      <c r="Q358" s="8"/>
      <c r="R358" s="8"/>
      <c r="S358" s="8"/>
      <c r="T358" s="8"/>
      <c r="U358" s="8"/>
      <c r="V358" s="8"/>
    </row>
    <row r="359" spans="1:22" x14ac:dyDescent="0.2">
      <c r="A359" s="8"/>
      <c r="B359" s="8"/>
      <c r="C359" s="8"/>
      <c r="D359" s="8"/>
      <c r="E359" s="8"/>
      <c r="F359" s="8"/>
      <c r="G359" s="8"/>
      <c r="H359" s="8"/>
      <c r="I359" s="8"/>
      <c r="J359" s="8"/>
      <c r="K359" s="8"/>
      <c r="L359" s="8"/>
      <c r="M359" s="8"/>
      <c r="N359" s="8"/>
      <c r="O359" s="8"/>
      <c r="P359" s="8"/>
      <c r="Q359" s="8"/>
      <c r="R359" s="8"/>
      <c r="S359" s="8"/>
      <c r="T359" s="8"/>
      <c r="U359" s="8"/>
      <c r="V359" s="8"/>
    </row>
    <row r="360" spans="1:22" x14ac:dyDescent="0.2">
      <c r="A360" s="8"/>
      <c r="B360" s="8"/>
      <c r="C360" s="8"/>
      <c r="D360" s="8"/>
      <c r="E360" s="8"/>
      <c r="F360" s="8"/>
      <c r="G360" s="8"/>
      <c r="H360" s="8"/>
      <c r="I360" s="8"/>
      <c r="J360" s="8"/>
      <c r="K360" s="8"/>
      <c r="L360" s="8"/>
      <c r="M360" s="8"/>
      <c r="N360" s="8"/>
      <c r="O360" s="8"/>
      <c r="P360" s="8"/>
      <c r="Q360" s="8"/>
      <c r="R360" s="8"/>
      <c r="S360" s="8"/>
      <c r="T360" s="8"/>
      <c r="U360" s="8"/>
      <c r="V360" s="8"/>
    </row>
    <row r="361" spans="1:22" x14ac:dyDescent="0.2">
      <c r="A361" s="8"/>
      <c r="B361" s="8"/>
      <c r="C361" s="8"/>
      <c r="D361" s="8"/>
      <c r="E361" s="8"/>
      <c r="F361" s="8"/>
      <c r="G361" s="8"/>
      <c r="H361" s="8"/>
      <c r="I361" s="8"/>
      <c r="J361" s="8"/>
      <c r="K361" s="8"/>
      <c r="L361" s="8"/>
      <c r="M361" s="8"/>
      <c r="N361" s="8"/>
      <c r="O361" s="8"/>
      <c r="P361" s="8"/>
      <c r="Q361" s="8"/>
      <c r="R361" s="8"/>
      <c r="S361" s="8"/>
      <c r="T361" s="8"/>
      <c r="U361" s="8"/>
      <c r="V361" s="8"/>
    </row>
    <row r="362" spans="1:22" x14ac:dyDescent="0.2">
      <c r="A362" s="8"/>
      <c r="B362" s="8"/>
      <c r="C362" s="8"/>
      <c r="D362" s="8"/>
      <c r="E362" s="8"/>
      <c r="F362" s="8"/>
      <c r="G362" s="8"/>
      <c r="H362" s="8"/>
      <c r="I362" s="8"/>
      <c r="J362" s="8"/>
      <c r="K362" s="8"/>
      <c r="L362" s="8"/>
      <c r="M362" s="8"/>
      <c r="N362" s="8"/>
      <c r="O362" s="8"/>
      <c r="P362" s="8"/>
      <c r="Q362" s="8"/>
      <c r="R362" s="8"/>
      <c r="S362" s="8"/>
      <c r="T362" s="8"/>
      <c r="U362" s="8"/>
      <c r="V362" s="8"/>
    </row>
    <row r="363" spans="1:22" x14ac:dyDescent="0.2">
      <c r="A363" s="8"/>
      <c r="B363" s="8"/>
      <c r="C363" s="8"/>
      <c r="D363" s="8"/>
      <c r="E363" s="8"/>
      <c r="F363" s="8"/>
      <c r="G363" s="8"/>
      <c r="H363" s="8"/>
      <c r="I363" s="8"/>
      <c r="J363" s="8"/>
      <c r="K363" s="8"/>
      <c r="L363" s="8"/>
      <c r="M363" s="8"/>
      <c r="N363" s="8"/>
      <c r="O363" s="8"/>
      <c r="P363" s="8"/>
      <c r="Q363" s="8"/>
      <c r="R363" s="8"/>
      <c r="S363" s="8"/>
      <c r="T363" s="8"/>
      <c r="U363" s="8"/>
      <c r="V363" s="8"/>
    </row>
    <row r="364" spans="1:22" x14ac:dyDescent="0.2">
      <c r="A364" s="8"/>
      <c r="B364" s="8"/>
      <c r="C364" s="8"/>
      <c r="D364" s="8"/>
      <c r="E364" s="8"/>
      <c r="F364" s="8"/>
      <c r="G364" s="8"/>
      <c r="H364" s="8"/>
      <c r="I364" s="8"/>
      <c r="J364" s="8"/>
      <c r="K364" s="8"/>
      <c r="L364" s="8"/>
      <c r="M364" s="8"/>
      <c r="N364" s="8"/>
      <c r="O364" s="8"/>
      <c r="P364" s="8"/>
      <c r="Q364" s="8"/>
      <c r="R364" s="8"/>
      <c r="S364" s="8"/>
      <c r="T364" s="8"/>
      <c r="U364" s="8"/>
      <c r="V364" s="8"/>
    </row>
    <row r="365" spans="1:22" x14ac:dyDescent="0.2">
      <c r="A365" s="8"/>
      <c r="B365" s="8"/>
      <c r="C365" s="8"/>
      <c r="D365" s="8"/>
      <c r="E365" s="8"/>
      <c r="F365" s="8"/>
      <c r="G365" s="8"/>
      <c r="H365" s="8"/>
      <c r="I365" s="8"/>
      <c r="J365" s="8"/>
      <c r="K365" s="8"/>
      <c r="L365" s="8"/>
      <c r="M365" s="8"/>
      <c r="N365" s="8"/>
      <c r="O365" s="8"/>
      <c r="P365" s="8"/>
      <c r="Q365" s="8"/>
      <c r="R365" s="8"/>
      <c r="S365" s="8"/>
      <c r="T365" s="8"/>
      <c r="U365" s="8"/>
      <c r="V365" s="8"/>
    </row>
    <row r="366" spans="1:22" x14ac:dyDescent="0.2">
      <c r="A366" s="8"/>
      <c r="B366" s="8"/>
      <c r="C366" s="8"/>
      <c r="D366" s="8"/>
      <c r="E366" s="8"/>
      <c r="F366" s="8"/>
      <c r="G366" s="8"/>
      <c r="H366" s="8"/>
      <c r="I366" s="8"/>
      <c r="J366" s="8"/>
      <c r="K366" s="8"/>
      <c r="L366" s="8"/>
      <c r="M366" s="8"/>
      <c r="N366" s="8"/>
      <c r="O366" s="8"/>
      <c r="P366" s="8"/>
      <c r="Q366" s="8"/>
      <c r="R366" s="8"/>
      <c r="S366" s="8"/>
      <c r="T366" s="8"/>
      <c r="U366" s="8"/>
      <c r="V366" s="8"/>
    </row>
    <row r="367" spans="1:22" x14ac:dyDescent="0.2">
      <c r="A367" s="8"/>
      <c r="B367" s="8"/>
      <c r="C367" s="8"/>
      <c r="D367" s="8"/>
      <c r="E367" s="8"/>
      <c r="F367" s="8"/>
      <c r="G367" s="8"/>
      <c r="H367" s="8"/>
      <c r="I367" s="8"/>
      <c r="J367" s="8"/>
      <c r="K367" s="8"/>
      <c r="L367" s="8"/>
      <c r="M367" s="8"/>
      <c r="N367" s="8"/>
      <c r="O367" s="8"/>
      <c r="P367" s="8"/>
      <c r="Q367" s="8"/>
      <c r="R367" s="8"/>
      <c r="S367" s="8"/>
      <c r="T367" s="8"/>
      <c r="U367" s="8"/>
      <c r="V367" s="8"/>
    </row>
    <row r="368" spans="1:22" x14ac:dyDescent="0.2">
      <c r="A368" s="8"/>
      <c r="B368" s="8"/>
      <c r="C368" s="8"/>
      <c r="D368" s="8"/>
      <c r="E368" s="8"/>
      <c r="F368" s="8"/>
      <c r="G368" s="8"/>
      <c r="H368" s="8"/>
      <c r="I368" s="8"/>
      <c r="J368" s="8"/>
      <c r="K368" s="8"/>
      <c r="L368" s="8"/>
      <c r="M368" s="8"/>
      <c r="N368" s="8"/>
      <c r="O368" s="8"/>
      <c r="P368" s="8"/>
      <c r="Q368" s="8"/>
      <c r="R368" s="8"/>
      <c r="S368" s="8"/>
      <c r="T368" s="8"/>
      <c r="U368" s="8"/>
      <c r="V368" s="8"/>
    </row>
    <row r="369" spans="1:22" x14ac:dyDescent="0.2">
      <c r="A369" s="8"/>
      <c r="B369" s="8"/>
      <c r="C369" s="8"/>
      <c r="D369" s="8"/>
      <c r="E369" s="8"/>
      <c r="F369" s="8"/>
      <c r="G369" s="8"/>
      <c r="H369" s="8"/>
      <c r="I369" s="8"/>
      <c r="J369" s="8"/>
      <c r="K369" s="8"/>
      <c r="L369" s="8"/>
      <c r="M369" s="8"/>
      <c r="N369" s="8"/>
      <c r="O369" s="8"/>
      <c r="P369" s="8"/>
      <c r="Q369" s="8"/>
      <c r="R369" s="8"/>
      <c r="S369" s="8"/>
      <c r="T369" s="8"/>
      <c r="U369" s="8"/>
      <c r="V369" s="8"/>
    </row>
    <row r="370" spans="1:22" x14ac:dyDescent="0.2">
      <c r="A370" s="8"/>
      <c r="B370" s="8"/>
      <c r="C370" s="8"/>
      <c r="D370" s="8"/>
      <c r="E370" s="8"/>
      <c r="F370" s="8"/>
      <c r="G370" s="8"/>
      <c r="H370" s="8"/>
      <c r="I370" s="8"/>
      <c r="J370" s="8"/>
      <c r="K370" s="8"/>
      <c r="L370" s="8"/>
      <c r="M370" s="8"/>
      <c r="N370" s="8"/>
      <c r="O370" s="8"/>
      <c r="P370" s="8"/>
      <c r="Q370" s="8"/>
      <c r="R370" s="8"/>
      <c r="S370" s="8"/>
      <c r="T370" s="8"/>
      <c r="U370" s="8"/>
      <c r="V370" s="8"/>
    </row>
    <row r="371" spans="1:22" x14ac:dyDescent="0.2">
      <c r="A371" s="8"/>
      <c r="B371" s="8"/>
      <c r="C371" s="8"/>
      <c r="D371" s="8"/>
      <c r="E371" s="8"/>
      <c r="F371" s="8"/>
      <c r="G371" s="8"/>
      <c r="H371" s="8"/>
      <c r="I371" s="8"/>
      <c r="J371" s="8"/>
      <c r="K371" s="8"/>
      <c r="L371" s="8"/>
      <c r="M371" s="8"/>
      <c r="N371" s="8"/>
      <c r="O371" s="8"/>
      <c r="P371" s="8"/>
      <c r="Q371" s="8"/>
      <c r="R371" s="8"/>
      <c r="S371" s="8"/>
      <c r="T371" s="8"/>
      <c r="U371" s="8"/>
      <c r="V371" s="8"/>
    </row>
    <row r="372" spans="1:22" x14ac:dyDescent="0.2">
      <c r="A372" s="8"/>
      <c r="B372" s="8"/>
      <c r="C372" s="8"/>
      <c r="D372" s="8"/>
      <c r="E372" s="8"/>
      <c r="F372" s="8"/>
      <c r="G372" s="8"/>
      <c r="H372" s="8"/>
      <c r="I372" s="8"/>
      <c r="J372" s="8"/>
      <c r="K372" s="8"/>
      <c r="L372" s="8"/>
      <c r="M372" s="8"/>
      <c r="N372" s="8"/>
      <c r="O372" s="8"/>
      <c r="P372" s="8"/>
      <c r="Q372" s="8"/>
      <c r="R372" s="8"/>
      <c r="S372" s="8"/>
      <c r="T372" s="8"/>
      <c r="U372" s="8"/>
      <c r="V372" s="8"/>
    </row>
    <row r="373" spans="1:22" x14ac:dyDescent="0.2">
      <c r="A373" s="8"/>
      <c r="B373" s="8"/>
      <c r="C373" s="8"/>
      <c r="D373" s="8"/>
      <c r="E373" s="8"/>
      <c r="F373" s="8"/>
      <c r="G373" s="8"/>
      <c r="H373" s="8"/>
      <c r="I373" s="8"/>
      <c r="J373" s="8"/>
      <c r="K373" s="8"/>
      <c r="L373" s="8"/>
      <c r="M373" s="8"/>
      <c r="N373" s="8"/>
      <c r="O373" s="8"/>
      <c r="P373" s="8"/>
      <c r="Q373" s="8"/>
      <c r="R373" s="8"/>
      <c r="S373" s="8"/>
      <c r="T373" s="8"/>
      <c r="U373" s="8"/>
      <c r="V373" s="8"/>
    </row>
    <row r="374" spans="1:22" x14ac:dyDescent="0.2">
      <c r="A374" s="8"/>
      <c r="B374" s="8"/>
      <c r="C374" s="8"/>
      <c r="D374" s="8"/>
      <c r="E374" s="8"/>
      <c r="F374" s="8"/>
      <c r="G374" s="8"/>
      <c r="H374" s="8"/>
      <c r="I374" s="8"/>
      <c r="J374" s="8"/>
      <c r="K374" s="8"/>
      <c r="L374" s="8"/>
      <c r="M374" s="8"/>
      <c r="N374" s="8"/>
      <c r="O374" s="8"/>
      <c r="P374" s="8"/>
      <c r="Q374" s="8"/>
      <c r="R374" s="8"/>
      <c r="S374" s="8"/>
      <c r="T374" s="8"/>
      <c r="U374" s="8"/>
      <c r="V374" s="8"/>
    </row>
    <row r="375" spans="1:22" x14ac:dyDescent="0.2">
      <c r="A375" s="8"/>
      <c r="B375" s="8"/>
      <c r="C375" s="8"/>
      <c r="D375" s="8"/>
      <c r="E375" s="8"/>
      <c r="F375" s="8"/>
      <c r="G375" s="8"/>
      <c r="H375" s="8"/>
      <c r="I375" s="8"/>
      <c r="J375" s="8"/>
      <c r="K375" s="8"/>
      <c r="L375" s="8"/>
      <c r="M375" s="8"/>
      <c r="N375" s="8"/>
      <c r="O375" s="8"/>
      <c r="P375" s="8"/>
      <c r="Q375" s="8"/>
      <c r="R375" s="8"/>
      <c r="S375" s="8"/>
      <c r="T375" s="8"/>
      <c r="U375" s="8"/>
      <c r="V375" s="8"/>
    </row>
    <row r="376" spans="1:22" x14ac:dyDescent="0.2">
      <c r="A376" s="8"/>
      <c r="B376" s="8"/>
      <c r="C376" s="8"/>
      <c r="D376" s="8"/>
      <c r="E376" s="8"/>
      <c r="F376" s="8"/>
      <c r="G376" s="8"/>
      <c r="H376" s="8"/>
      <c r="I376" s="8"/>
      <c r="J376" s="8"/>
      <c r="K376" s="8"/>
      <c r="L376" s="8"/>
      <c r="M376" s="8"/>
      <c r="N376" s="8"/>
      <c r="O376" s="8"/>
      <c r="P376" s="8"/>
      <c r="Q376" s="8"/>
      <c r="R376" s="8"/>
      <c r="S376" s="8"/>
      <c r="T376" s="8"/>
      <c r="U376" s="8"/>
      <c r="V376" s="8"/>
    </row>
    <row r="377" spans="1:22" x14ac:dyDescent="0.2">
      <c r="A377" s="8"/>
      <c r="B377" s="8"/>
      <c r="C377" s="8"/>
      <c r="D377" s="8"/>
      <c r="E377" s="8"/>
      <c r="F377" s="8"/>
      <c r="G377" s="8"/>
      <c r="H377" s="8"/>
      <c r="I377" s="8"/>
      <c r="J377" s="8"/>
      <c r="K377" s="8"/>
      <c r="L377" s="8"/>
      <c r="M377" s="8"/>
      <c r="N377" s="8"/>
      <c r="O377" s="8"/>
      <c r="P377" s="8"/>
      <c r="Q377" s="8"/>
      <c r="R377" s="8"/>
      <c r="S377" s="8"/>
      <c r="T377" s="8"/>
      <c r="U377" s="8"/>
      <c r="V377" s="8"/>
    </row>
    <row r="378" spans="1:22" x14ac:dyDescent="0.2">
      <c r="A378" s="8"/>
      <c r="B378" s="8"/>
      <c r="C378" s="8"/>
      <c r="D378" s="8"/>
      <c r="E378" s="8"/>
      <c r="F378" s="8"/>
      <c r="G378" s="8"/>
      <c r="H378" s="8"/>
      <c r="I378" s="8"/>
      <c r="J378" s="8"/>
      <c r="K378" s="8"/>
      <c r="L378" s="8"/>
      <c r="M378" s="8"/>
      <c r="N378" s="8"/>
      <c r="O378" s="8"/>
      <c r="P378" s="8"/>
      <c r="Q378" s="8"/>
      <c r="R378" s="8"/>
      <c r="S378" s="8"/>
      <c r="T378" s="8"/>
      <c r="U378" s="8"/>
      <c r="V378" s="8"/>
    </row>
    <row r="379" spans="1:22" x14ac:dyDescent="0.2">
      <c r="A379" s="8"/>
      <c r="B379" s="8"/>
      <c r="C379" s="8"/>
      <c r="D379" s="8"/>
      <c r="E379" s="8"/>
      <c r="F379" s="8"/>
      <c r="G379" s="8"/>
      <c r="H379" s="8"/>
      <c r="I379" s="8"/>
      <c r="J379" s="8"/>
      <c r="K379" s="8"/>
      <c r="L379" s="8"/>
      <c r="M379" s="8"/>
      <c r="N379" s="8"/>
      <c r="O379" s="8"/>
      <c r="P379" s="8"/>
      <c r="Q379" s="8"/>
      <c r="R379" s="8"/>
      <c r="S379" s="8"/>
      <c r="T379" s="8"/>
      <c r="U379" s="8"/>
      <c r="V379" s="8"/>
    </row>
    <row r="380" spans="1:22" x14ac:dyDescent="0.2">
      <c r="A380" s="8"/>
      <c r="B380" s="8"/>
      <c r="C380" s="8"/>
      <c r="D380" s="8"/>
      <c r="E380" s="8"/>
      <c r="F380" s="8"/>
      <c r="G380" s="8"/>
      <c r="H380" s="8"/>
      <c r="I380" s="8"/>
      <c r="J380" s="8"/>
      <c r="K380" s="8"/>
      <c r="L380" s="8"/>
      <c r="M380" s="8"/>
      <c r="N380" s="8"/>
      <c r="O380" s="8"/>
      <c r="P380" s="8"/>
      <c r="Q380" s="8"/>
      <c r="R380" s="8"/>
      <c r="S380" s="8"/>
      <c r="T380" s="8"/>
      <c r="U380" s="8"/>
      <c r="V380" s="8"/>
    </row>
    <row r="381" spans="1:22" x14ac:dyDescent="0.2">
      <c r="A381" s="8"/>
      <c r="B381" s="8"/>
      <c r="C381" s="8"/>
      <c r="D381" s="8"/>
      <c r="E381" s="8"/>
      <c r="F381" s="8"/>
      <c r="G381" s="8"/>
      <c r="H381" s="8"/>
      <c r="I381" s="8"/>
      <c r="J381" s="8"/>
      <c r="K381" s="8"/>
      <c r="L381" s="8"/>
      <c r="M381" s="8"/>
      <c r="N381" s="8"/>
      <c r="O381" s="8"/>
      <c r="P381" s="8"/>
      <c r="Q381" s="8"/>
      <c r="R381" s="8"/>
      <c r="S381" s="8"/>
      <c r="T381" s="8"/>
      <c r="U381" s="8"/>
      <c r="V381" s="8"/>
    </row>
    <row r="382" spans="1:22" x14ac:dyDescent="0.2">
      <c r="A382" s="8"/>
      <c r="B382" s="8"/>
      <c r="C382" s="8"/>
      <c r="D382" s="8"/>
      <c r="E382" s="8"/>
      <c r="F382" s="8"/>
      <c r="G382" s="8"/>
      <c r="H382" s="8"/>
      <c r="I382" s="8"/>
      <c r="J382" s="8"/>
      <c r="K382" s="8"/>
      <c r="L382" s="8"/>
      <c r="M382" s="8"/>
      <c r="N382" s="8"/>
      <c r="O382" s="8"/>
      <c r="P382" s="8"/>
      <c r="Q382" s="8"/>
      <c r="R382" s="8"/>
      <c r="S382" s="8"/>
      <c r="T382" s="8"/>
      <c r="U382" s="8"/>
      <c r="V382" s="8"/>
    </row>
    <row r="383" spans="1:22" x14ac:dyDescent="0.2">
      <c r="A383" s="8"/>
      <c r="B383" s="8"/>
      <c r="C383" s="8"/>
      <c r="D383" s="8"/>
      <c r="E383" s="8"/>
      <c r="F383" s="8"/>
      <c r="G383" s="8"/>
      <c r="H383" s="8"/>
      <c r="I383" s="8"/>
      <c r="J383" s="8"/>
      <c r="K383" s="8"/>
      <c r="L383" s="8"/>
      <c r="M383" s="8"/>
      <c r="N383" s="8"/>
      <c r="O383" s="8"/>
      <c r="P383" s="8"/>
      <c r="Q383" s="8"/>
      <c r="R383" s="8"/>
      <c r="S383" s="8"/>
      <c r="T383" s="8"/>
      <c r="U383" s="8"/>
      <c r="V383" s="8"/>
    </row>
    <row r="384" spans="1:22" x14ac:dyDescent="0.2">
      <c r="A384" s="8"/>
      <c r="B384" s="8"/>
      <c r="C384" s="8"/>
      <c r="D384" s="8"/>
      <c r="E384" s="8"/>
      <c r="F384" s="8"/>
      <c r="G384" s="8"/>
      <c r="H384" s="8"/>
      <c r="I384" s="8"/>
      <c r="J384" s="8"/>
      <c r="K384" s="8"/>
      <c r="L384" s="8"/>
      <c r="M384" s="8"/>
      <c r="N384" s="8"/>
      <c r="O384" s="8"/>
      <c r="P384" s="8"/>
      <c r="Q384" s="8"/>
      <c r="R384" s="8"/>
      <c r="S384" s="8"/>
      <c r="T384" s="8"/>
      <c r="U384" s="8"/>
      <c r="V384" s="8"/>
    </row>
    <row r="385" spans="1:22" x14ac:dyDescent="0.2">
      <c r="A385" s="8"/>
      <c r="B385" s="8"/>
      <c r="C385" s="8"/>
      <c r="D385" s="8"/>
      <c r="E385" s="8"/>
      <c r="F385" s="8"/>
      <c r="G385" s="8"/>
      <c r="H385" s="8"/>
      <c r="I385" s="8"/>
      <c r="J385" s="8"/>
      <c r="K385" s="8"/>
      <c r="L385" s="8"/>
      <c r="M385" s="8"/>
      <c r="N385" s="8"/>
      <c r="O385" s="8"/>
      <c r="P385" s="8"/>
      <c r="Q385" s="8"/>
      <c r="R385" s="8"/>
      <c r="S385" s="8"/>
      <c r="T385" s="8"/>
      <c r="U385" s="8"/>
      <c r="V385" s="8"/>
    </row>
    <row r="386" spans="1:22" x14ac:dyDescent="0.2">
      <c r="A386" s="8"/>
      <c r="B386" s="8"/>
      <c r="C386" s="8"/>
      <c r="D386" s="8"/>
      <c r="E386" s="8"/>
      <c r="F386" s="8"/>
      <c r="G386" s="8"/>
      <c r="H386" s="8"/>
      <c r="I386" s="8"/>
      <c r="J386" s="8"/>
      <c r="K386" s="8"/>
      <c r="L386" s="8"/>
      <c r="M386" s="8"/>
      <c r="N386" s="8"/>
      <c r="O386" s="8"/>
      <c r="P386" s="8"/>
      <c r="Q386" s="8"/>
      <c r="R386" s="8"/>
      <c r="S386" s="8"/>
      <c r="T386" s="8"/>
      <c r="U386" s="8"/>
      <c r="V386" s="8"/>
    </row>
    <row r="387" spans="1:22" x14ac:dyDescent="0.2">
      <c r="A387" s="8"/>
      <c r="B387" s="8"/>
      <c r="C387" s="8"/>
      <c r="D387" s="8"/>
      <c r="E387" s="8"/>
      <c r="F387" s="8"/>
      <c r="G387" s="8"/>
      <c r="H387" s="8"/>
      <c r="I387" s="8"/>
      <c r="J387" s="8"/>
      <c r="K387" s="8"/>
      <c r="L387" s="8"/>
      <c r="M387" s="8"/>
      <c r="N387" s="8"/>
      <c r="O387" s="8"/>
      <c r="P387" s="8"/>
      <c r="Q387" s="8"/>
      <c r="R387" s="8"/>
      <c r="S387" s="8"/>
      <c r="T387" s="8"/>
      <c r="U387" s="8"/>
      <c r="V387" s="8"/>
    </row>
    <row r="388" spans="1:22" x14ac:dyDescent="0.2">
      <c r="A388" s="8"/>
      <c r="B388" s="8"/>
      <c r="C388" s="8"/>
      <c r="D388" s="8"/>
      <c r="E388" s="8"/>
      <c r="F388" s="8"/>
      <c r="G388" s="8"/>
      <c r="H388" s="8"/>
      <c r="I388" s="8"/>
      <c r="J388" s="8"/>
      <c r="K388" s="8"/>
      <c r="L388" s="8"/>
      <c r="M388" s="8"/>
      <c r="N388" s="8"/>
      <c r="O388" s="8"/>
      <c r="P388" s="8"/>
      <c r="Q388" s="8"/>
      <c r="R388" s="8"/>
      <c r="S388" s="8"/>
      <c r="T388" s="8"/>
      <c r="U388" s="8"/>
      <c r="V388" s="8"/>
    </row>
    <row r="389" spans="1:22" x14ac:dyDescent="0.2">
      <c r="A389" s="8"/>
      <c r="B389" s="8"/>
      <c r="C389" s="8"/>
      <c r="D389" s="8"/>
      <c r="E389" s="8"/>
      <c r="F389" s="8"/>
      <c r="G389" s="8"/>
      <c r="H389" s="8"/>
      <c r="I389" s="8"/>
      <c r="J389" s="8"/>
      <c r="K389" s="8"/>
      <c r="L389" s="8"/>
      <c r="M389" s="8"/>
      <c r="N389" s="8"/>
      <c r="O389" s="8"/>
      <c r="P389" s="8"/>
      <c r="Q389" s="8"/>
      <c r="R389" s="8"/>
      <c r="S389" s="8"/>
      <c r="T389" s="8"/>
      <c r="U389" s="8"/>
      <c r="V389" s="8"/>
    </row>
    <row r="390" spans="1:22" x14ac:dyDescent="0.2">
      <c r="A390" s="8"/>
      <c r="B390" s="8"/>
      <c r="C390" s="8"/>
      <c r="D390" s="8"/>
      <c r="E390" s="8"/>
      <c r="F390" s="8"/>
      <c r="G390" s="8"/>
      <c r="H390" s="8"/>
      <c r="I390" s="8"/>
      <c r="J390" s="8"/>
      <c r="K390" s="8"/>
      <c r="L390" s="8"/>
      <c r="M390" s="8"/>
      <c r="N390" s="8"/>
      <c r="O390" s="8"/>
      <c r="P390" s="8"/>
      <c r="Q390" s="8"/>
      <c r="R390" s="8"/>
      <c r="S390" s="8"/>
      <c r="T390" s="8"/>
      <c r="U390" s="8"/>
      <c r="V390" s="8"/>
    </row>
    <row r="391" spans="1:22" x14ac:dyDescent="0.2">
      <c r="A391" s="8"/>
      <c r="B391" s="8"/>
      <c r="C391" s="8"/>
      <c r="D391" s="8"/>
      <c r="E391" s="8"/>
      <c r="F391" s="8"/>
      <c r="G391" s="8"/>
      <c r="H391" s="8"/>
      <c r="I391" s="8"/>
      <c r="J391" s="8"/>
      <c r="K391" s="8"/>
      <c r="L391" s="8"/>
      <c r="M391" s="8"/>
      <c r="N391" s="8"/>
      <c r="O391" s="8"/>
      <c r="P391" s="8"/>
      <c r="Q391" s="8"/>
      <c r="R391" s="8"/>
      <c r="S391" s="8"/>
      <c r="T391" s="8"/>
      <c r="U391" s="8"/>
      <c r="V391" s="8"/>
    </row>
    <row r="392" spans="1:22" x14ac:dyDescent="0.2">
      <c r="A392" s="8"/>
      <c r="B392" s="8"/>
      <c r="C392" s="8"/>
      <c r="D392" s="8"/>
      <c r="E392" s="8"/>
      <c r="F392" s="8"/>
      <c r="G392" s="8"/>
      <c r="H392" s="8"/>
      <c r="I392" s="8"/>
      <c r="J392" s="8"/>
      <c r="K392" s="8"/>
      <c r="L392" s="8"/>
      <c r="M392" s="8"/>
      <c r="N392" s="8"/>
      <c r="O392" s="8"/>
      <c r="P392" s="8"/>
      <c r="Q392" s="8"/>
      <c r="R392" s="8"/>
      <c r="S392" s="8"/>
      <c r="T392" s="8"/>
      <c r="U392" s="8"/>
      <c r="V392" s="8"/>
    </row>
    <row r="393" spans="1:22" x14ac:dyDescent="0.2">
      <c r="A393" s="8"/>
      <c r="B393" s="8"/>
      <c r="C393" s="8"/>
      <c r="D393" s="8"/>
      <c r="E393" s="8"/>
      <c r="F393" s="8"/>
      <c r="G393" s="8"/>
      <c r="H393" s="8"/>
      <c r="I393" s="8"/>
      <c r="J393" s="8"/>
      <c r="K393" s="8"/>
      <c r="L393" s="8"/>
      <c r="M393" s="8"/>
      <c r="N393" s="8"/>
      <c r="O393" s="8"/>
      <c r="P393" s="8"/>
      <c r="Q393" s="8"/>
      <c r="R393" s="8"/>
      <c r="S393" s="8"/>
      <c r="T393" s="8"/>
      <c r="U393" s="8"/>
      <c r="V393" s="8"/>
    </row>
    <row r="394" spans="1:22" x14ac:dyDescent="0.2">
      <c r="A394" s="8"/>
      <c r="B394" s="8"/>
      <c r="C394" s="8"/>
      <c r="D394" s="8"/>
      <c r="E394" s="8"/>
      <c r="F394" s="8"/>
      <c r="G394" s="8"/>
      <c r="H394" s="8"/>
      <c r="I394" s="8"/>
      <c r="J394" s="8"/>
      <c r="K394" s="8"/>
      <c r="L394" s="8"/>
      <c r="M394" s="8"/>
      <c r="N394" s="8"/>
      <c r="O394" s="8"/>
      <c r="P394" s="8"/>
      <c r="Q394" s="8"/>
      <c r="R394" s="8"/>
      <c r="S394" s="8"/>
      <c r="T394" s="8"/>
      <c r="U394" s="8"/>
      <c r="V394" s="8"/>
    </row>
    <row r="395" spans="1:22" x14ac:dyDescent="0.2">
      <c r="A395" s="8"/>
      <c r="B395" s="8"/>
      <c r="C395" s="8"/>
      <c r="D395" s="8"/>
      <c r="E395" s="8"/>
      <c r="F395" s="8"/>
      <c r="G395" s="8"/>
      <c r="H395" s="8"/>
      <c r="I395" s="8"/>
      <c r="J395" s="8"/>
      <c r="K395" s="8"/>
      <c r="L395" s="8"/>
      <c r="M395" s="8"/>
      <c r="N395" s="8"/>
      <c r="O395" s="8"/>
      <c r="P395" s="8"/>
      <c r="Q395" s="8"/>
      <c r="R395" s="8"/>
      <c r="S395" s="8"/>
      <c r="T395" s="8"/>
      <c r="U395" s="8"/>
      <c r="V395" s="8"/>
    </row>
    <row r="396" spans="1:22" x14ac:dyDescent="0.2">
      <c r="A396" s="8"/>
      <c r="B396" s="8"/>
      <c r="C396" s="8"/>
      <c r="D396" s="8"/>
      <c r="E396" s="8"/>
      <c r="F396" s="8"/>
      <c r="G396" s="8"/>
      <c r="H396" s="8"/>
      <c r="I396" s="8"/>
      <c r="J396" s="8"/>
      <c r="K396" s="8"/>
      <c r="L396" s="8"/>
      <c r="M396" s="8"/>
      <c r="N396" s="8"/>
      <c r="O396" s="8"/>
      <c r="P396" s="8"/>
      <c r="Q396" s="8"/>
      <c r="R396" s="8"/>
      <c r="S396" s="8"/>
      <c r="T396" s="8"/>
      <c r="U396" s="8"/>
      <c r="V396" s="8"/>
    </row>
    <row r="397" spans="1:22" x14ac:dyDescent="0.2">
      <c r="A397" s="8"/>
      <c r="B397" s="8"/>
      <c r="C397" s="8"/>
      <c r="D397" s="8"/>
      <c r="E397" s="8"/>
      <c r="F397" s="8"/>
      <c r="G397" s="8"/>
      <c r="H397" s="8"/>
      <c r="I397" s="8"/>
      <c r="J397" s="8"/>
      <c r="K397" s="8"/>
      <c r="L397" s="8"/>
      <c r="M397" s="8"/>
      <c r="N397" s="8"/>
      <c r="O397" s="8"/>
      <c r="P397" s="8"/>
      <c r="Q397" s="8"/>
      <c r="R397" s="8"/>
      <c r="S397" s="8"/>
      <c r="T397" s="8"/>
      <c r="U397" s="8"/>
      <c r="V397" s="8"/>
    </row>
    <row r="398" spans="1:22" x14ac:dyDescent="0.2">
      <c r="A398" s="8"/>
      <c r="B398" s="8"/>
      <c r="C398" s="8"/>
      <c r="D398" s="8"/>
      <c r="E398" s="8"/>
      <c r="F398" s="8"/>
      <c r="G398" s="8"/>
      <c r="H398" s="8"/>
      <c r="I398" s="8"/>
      <c r="J398" s="8"/>
      <c r="K398" s="8"/>
      <c r="L398" s="8"/>
      <c r="M398" s="8"/>
      <c r="N398" s="8"/>
      <c r="O398" s="8"/>
      <c r="P398" s="8"/>
      <c r="Q398" s="8"/>
      <c r="R398" s="8"/>
      <c r="S398" s="8"/>
      <c r="T398" s="8"/>
      <c r="U398" s="8"/>
      <c r="V398" s="8"/>
    </row>
    <row r="399" spans="1:22" x14ac:dyDescent="0.2">
      <c r="A399" s="8"/>
      <c r="B399" s="8"/>
      <c r="C399" s="8"/>
      <c r="D399" s="8"/>
      <c r="E399" s="8"/>
      <c r="F399" s="8"/>
      <c r="G399" s="8"/>
      <c r="H399" s="8"/>
      <c r="I399" s="8"/>
      <c r="J399" s="8"/>
      <c r="K399" s="8"/>
      <c r="L399" s="8"/>
      <c r="M399" s="8"/>
      <c r="N399" s="8"/>
      <c r="O399" s="8"/>
      <c r="P399" s="8"/>
      <c r="Q399" s="8"/>
      <c r="R399" s="8"/>
      <c r="S399" s="8"/>
      <c r="T399" s="8"/>
      <c r="U399" s="8"/>
      <c r="V399" s="8"/>
    </row>
    <row r="400" spans="1:22" x14ac:dyDescent="0.2">
      <c r="A400" s="8"/>
      <c r="B400" s="8"/>
      <c r="C400" s="8"/>
      <c r="D400" s="8"/>
      <c r="E400" s="8"/>
      <c r="F400" s="8"/>
      <c r="G400" s="8"/>
      <c r="H400" s="8"/>
      <c r="I400" s="8"/>
      <c r="J400" s="8"/>
      <c r="K400" s="8"/>
      <c r="L400" s="8"/>
      <c r="M400" s="8"/>
      <c r="N400" s="8"/>
      <c r="O400" s="8"/>
      <c r="P400" s="8"/>
      <c r="Q400" s="8"/>
      <c r="R400" s="8"/>
      <c r="S400" s="8"/>
      <c r="T400" s="8"/>
      <c r="U400" s="8"/>
      <c r="V400" s="8"/>
    </row>
    <row r="401" spans="1:22" x14ac:dyDescent="0.2">
      <c r="A401" s="8"/>
      <c r="B401" s="8"/>
      <c r="C401" s="8"/>
      <c r="D401" s="8"/>
      <c r="E401" s="8"/>
      <c r="F401" s="8"/>
      <c r="G401" s="8"/>
      <c r="H401" s="8"/>
      <c r="I401" s="8"/>
      <c r="J401" s="8"/>
      <c r="K401" s="8"/>
      <c r="L401" s="8"/>
      <c r="M401" s="8"/>
      <c r="N401" s="8"/>
      <c r="O401" s="8"/>
      <c r="P401" s="8"/>
      <c r="Q401" s="8"/>
      <c r="R401" s="8"/>
      <c r="S401" s="8"/>
      <c r="T401" s="8"/>
      <c r="U401" s="8"/>
      <c r="V401" s="8"/>
    </row>
    <row r="402" spans="1:22" x14ac:dyDescent="0.2">
      <c r="A402" s="8"/>
      <c r="B402" s="8"/>
      <c r="C402" s="8"/>
      <c r="D402" s="8"/>
      <c r="E402" s="8"/>
      <c r="F402" s="8"/>
      <c r="G402" s="8"/>
      <c r="H402" s="8"/>
      <c r="I402" s="8"/>
      <c r="J402" s="8"/>
      <c r="K402" s="8"/>
      <c r="L402" s="8"/>
      <c r="M402" s="8"/>
      <c r="N402" s="8"/>
      <c r="O402" s="8"/>
      <c r="P402" s="8"/>
      <c r="Q402" s="8"/>
      <c r="R402" s="8"/>
      <c r="S402" s="8"/>
      <c r="T402" s="8"/>
      <c r="U402" s="8"/>
      <c r="V402" s="8"/>
    </row>
    <row r="403" spans="1:22" x14ac:dyDescent="0.2">
      <c r="A403" s="8"/>
      <c r="B403" s="8"/>
      <c r="C403" s="8"/>
      <c r="D403" s="8"/>
      <c r="E403" s="8"/>
      <c r="F403" s="8"/>
      <c r="G403" s="8"/>
      <c r="H403" s="8"/>
      <c r="I403" s="8"/>
      <c r="J403" s="8"/>
      <c r="K403" s="8"/>
      <c r="L403" s="8"/>
      <c r="M403" s="8"/>
      <c r="N403" s="8"/>
      <c r="O403" s="8"/>
      <c r="P403" s="8"/>
      <c r="Q403" s="8"/>
      <c r="R403" s="8"/>
      <c r="S403" s="8"/>
      <c r="T403" s="8"/>
      <c r="U403" s="8"/>
      <c r="V403" s="8"/>
    </row>
    <row r="404" spans="1:22" x14ac:dyDescent="0.2">
      <c r="A404" s="8"/>
      <c r="B404" s="8"/>
      <c r="C404" s="8"/>
      <c r="D404" s="8"/>
      <c r="E404" s="8"/>
      <c r="F404" s="8"/>
      <c r="G404" s="8"/>
      <c r="H404" s="8"/>
      <c r="I404" s="8"/>
      <c r="J404" s="8"/>
      <c r="K404" s="8"/>
      <c r="L404" s="8"/>
      <c r="M404" s="8"/>
      <c r="N404" s="8"/>
      <c r="O404" s="8"/>
      <c r="P404" s="8"/>
      <c r="Q404" s="8"/>
      <c r="R404" s="8"/>
      <c r="S404" s="8"/>
      <c r="T404" s="8"/>
      <c r="U404" s="8"/>
      <c r="V404" s="8"/>
    </row>
    <row r="405" spans="1:22" x14ac:dyDescent="0.2">
      <c r="A405" s="8"/>
      <c r="B405" s="8"/>
      <c r="C405" s="8"/>
      <c r="D405" s="8"/>
      <c r="E405" s="8"/>
      <c r="F405" s="8"/>
      <c r="G405" s="8"/>
      <c r="H405" s="8"/>
      <c r="I405" s="8"/>
      <c r="J405" s="8"/>
      <c r="K405" s="8"/>
      <c r="L405" s="8"/>
      <c r="M405" s="8"/>
      <c r="N405" s="8"/>
      <c r="O405" s="8"/>
      <c r="P405" s="8"/>
      <c r="Q405" s="8"/>
      <c r="R405" s="8"/>
      <c r="S405" s="8"/>
      <c r="T405" s="8"/>
      <c r="U405" s="8"/>
      <c r="V405" s="8"/>
    </row>
    <row r="406" spans="1:22" x14ac:dyDescent="0.2">
      <c r="A406" s="8"/>
      <c r="B406" s="8"/>
      <c r="C406" s="8"/>
      <c r="D406" s="8"/>
      <c r="E406" s="8"/>
      <c r="F406" s="8"/>
      <c r="G406" s="8"/>
      <c r="H406" s="8"/>
      <c r="I406" s="8"/>
      <c r="J406" s="8"/>
      <c r="K406" s="8"/>
      <c r="L406" s="8"/>
      <c r="M406" s="8"/>
      <c r="N406" s="8"/>
      <c r="O406" s="8"/>
      <c r="P406" s="8"/>
      <c r="Q406" s="8"/>
      <c r="R406" s="8"/>
      <c r="S406" s="8"/>
      <c r="T406" s="8"/>
      <c r="U406" s="8"/>
      <c r="V406" s="8"/>
    </row>
    <row r="407" spans="1:22" x14ac:dyDescent="0.2">
      <c r="A407" s="8"/>
      <c r="B407" s="8"/>
      <c r="C407" s="8"/>
      <c r="D407" s="8"/>
      <c r="E407" s="8"/>
      <c r="F407" s="8"/>
      <c r="G407" s="8"/>
      <c r="H407" s="8"/>
      <c r="I407" s="8"/>
      <c r="J407" s="8"/>
      <c r="K407" s="8"/>
      <c r="L407" s="8"/>
      <c r="M407" s="8"/>
      <c r="N407" s="8"/>
      <c r="O407" s="8"/>
      <c r="P407" s="8"/>
      <c r="Q407" s="8"/>
      <c r="R407" s="8"/>
      <c r="S407" s="8"/>
      <c r="T407" s="8"/>
      <c r="U407" s="8"/>
      <c r="V407" s="8"/>
    </row>
    <row r="408" spans="1:22" x14ac:dyDescent="0.2">
      <c r="A408" s="8"/>
      <c r="B408" s="8"/>
      <c r="C408" s="8"/>
      <c r="D408" s="8"/>
      <c r="E408" s="8"/>
      <c r="F408" s="8"/>
      <c r="G408" s="8"/>
      <c r="H408" s="8"/>
      <c r="I408" s="8"/>
      <c r="J408" s="8"/>
      <c r="K408" s="8"/>
      <c r="L408" s="8"/>
      <c r="M408" s="8"/>
      <c r="N408" s="8"/>
      <c r="O408" s="8"/>
      <c r="P408" s="8"/>
      <c r="Q408" s="8"/>
      <c r="R408" s="8"/>
      <c r="S408" s="8"/>
      <c r="T408" s="8"/>
      <c r="U408" s="8"/>
      <c r="V408" s="8"/>
    </row>
    <row r="409" spans="1:22" x14ac:dyDescent="0.2">
      <c r="A409" s="8"/>
      <c r="B409" s="8"/>
      <c r="C409" s="8"/>
      <c r="D409" s="8"/>
      <c r="E409" s="8"/>
      <c r="F409" s="8"/>
      <c r="G409" s="8"/>
      <c r="H409" s="8"/>
      <c r="I409" s="8"/>
      <c r="J409" s="8"/>
      <c r="K409" s="8"/>
      <c r="L409" s="8"/>
      <c r="M409" s="8"/>
      <c r="N409" s="8"/>
      <c r="O409" s="8"/>
      <c r="P409" s="8"/>
      <c r="Q409" s="8"/>
      <c r="R409" s="8"/>
      <c r="S409" s="8"/>
      <c r="T409" s="8"/>
      <c r="U409" s="8"/>
      <c r="V409" s="8"/>
    </row>
    <row r="410" spans="1:22" x14ac:dyDescent="0.2">
      <c r="A410" s="8"/>
      <c r="B410" s="8"/>
      <c r="C410" s="8"/>
      <c r="D410" s="8"/>
      <c r="E410" s="8"/>
      <c r="F410" s="8"/>
      <c r="G410" s="8"/>
      <c r="H410" s="8"/>
      <c r="I410" s="8"/>
      <c r="J410" s="8"/>
      <c r="K410" s="8"/>
      <c r="L410" s="8"/>
      <c r="M410" s="8"/>
      <c r="N410" s="8"/>
      <c r="O410" s="8"/>
      <c r="P410" s="8"/>
      <c r="Q410" s="8"/>
      <c r="R410" s="8"/>
      <c r="S410" s="8"/>
      <c r="T410" s="8"/>
      <c r="U410" s="8"/>
      <c r="V410" s="8"/>
    </row>
    <row r="411" spans="1:22" x14ac:dyDescent="0.2">
      <c r="A411" s="8"/>
      <c r="B411" s="8"/>
      <c r="C411" s="8"/>
      <c r="D411" s="8"/>
      <c r="E411" s="8"/>
      <c r="F411" s="8"/>
      <c r="G411" s="8"/>
      <c r="H411" s="8"/>
      <c r="I411" s="8"/>
      <c r="J411" s="8"/>
      <c r="K411" s="8"/>
      <c r="L411" s="8"/>
      <c r="M411" s="8"/>
      <c r="N411" s="8"/>
      <c r="O411" s="8"/>
      <c r="P411" s="8"/>
      <c r="Q411" s="8"/>
      <c r="R411" s="8"/>
      <c r="S411" s="8"/>
      <c r="T411" s="8"/>
      <c r="U411" s="8"/>
      <c r="V411" s="8"/>
    </row>
    <row r="412" spans="1:22" x14ac:dyDescent="0.2">
      <c r="A412" s="8"/>
      <c r="B412" s="8"/>
      <c r="C412" s="8"/>
      <c r="D412" s="8"/>
      <c r="E412" s="8"/>
      <c r="F412" s="8"/>
      <c r="G412" s="8"/>
      <c r="H412" s="8"/>
      <c r="I412" s="8"/>
      <c r="J412" s="8"/>
      <c r="K412" s="8"/>
      <c r="L412" s="8"/>
      <c r="M412" s="8"/>
      <c r="N412" s="8"/>
      <c r="O412" s="8"/>
      <c r="P412" s="8"/>
      <c r="Q412" s="8"/>
      <c r="R412" s="8"/>
      <c r="S412" s="8"/>
      <c r="T412" s="8"/>
      <c r="U412" s="8"/>
      <c r="V412" s="8"/>
    </row>
    <row r="413" spans="1:22" x14ac:dyDescent="0.2">
      <c r="A413" s="8"/>
      <c r="B413" s="8"/>
      <c r="C413" s="8"/>
      <c r="D413" s="8"/>
      <c r="E413" s="8"/>
      <c r="F413" s="8"/>
      <c r="G413" s="8"/>
      <c r="H413" s="8"/>
      <c r="I413" s="8"/>
      <c r="J413" s="8"/>
      <c r="K413" s="8"/>
      <c r="L413" s="8"/>
      <c r="M413" s="8"/>
      <c r="N413" s="8"/>
      <c r="O413" s="8"/>
      <c r="P413" s="8"/>
      <c r="Q413" s="8"/>
      <c r="R413" s="8"/>
      <c r="S413" s="8"/>
      <c r="T413" s="8"/>
      <c r="U413" s="8"/>
      <c r="V413" s="8"/>
    </row>
    <row r="414" spans="1:22" x14ac:dyDescent="0.2">
      <c r="A414" s="8"/>
      <c r="B414" s="8"/>
      <c r="C414" s="8"/>
      <c r="D414" s="8"/>
      <c r="E414" s="8"/>
      <c r="F414" s="8"/>
      <c r="G414" s="8"/>
      <c r="H414" s="8"/>
      <c r="I414" s="8"/>
      <c r="J414" s="8"/>
      <c r="K414" s="8"/>
      <c r="L414" s="8"/>
      <c r="M414" s="8"/>
      <c r="N414" s="8"/>
      <c r="O414" s="8"/>
      <c r="P414" s="8"/>
      <c r="Q414" s="8"/>
      <c r="R414" s="8"/>
      <c r="S414" s="8"/>
      <c r="T414" s="8"/>
      <c r="U414" s="8"/>
      <c r="V414" s="8"/>
    </row>
    <row r="415" spans="1:22" x14ac:dyDescent="0.2">
      <c r="A415" s="8"/>
      <c r="B415" s="8"/>
      <c r="C415" s="8"/>
      <c r="D415" s="8"/>
      <c r="E415" s="8"/>
      <c r="F415" s="8"/>
      <c r="G415" s="8"/>
      <c r="H415" s="8"/>
      <c r="I415" s="8"/>
      <c r="J415" s="8"/>
      <c r="K415" s="8"/>
      <c r="L415" s="8"/>
      <c r="M415" s="8"/>
      <c r="N415" s="8"/>
      <c r="O415" s="8"/>
      <c r="P415" s="8"/>
      <c r="Q415" s="8"/>
      <c r="R415" s="8"/>
      <c r="S415" s="8"/>
      <c r="T415" s="8"/>
      <c r="U415" s="8"/>
      <c r="V415" s="8"/>
    </row>
    <row r="416" spans="1:22" x14ac:dyDescent="0.2">
      <c r="A416" s="8"/>
      <c r="B416" s="8"/>
      <c r="C416" s="8"/>
      <c r="D416" s="8"/>
      <c r="E416" s="8"/>
      <c r="F416" s="8"/>
      <c r="G416" s="8"/>
      <c r="H416" s="8"/>
      <c r="I416" s="8"/>
      <c r="J416" s="8"/>
      <c r="K416" s="8"/>
      <c r="L416" s="8"/>
      <c r="M416" s="8"/>
      <c r="N416" s="8"/>
      <c r="O416" s="8"/>
      <c r="P416" s="8"/>
      <c r="Q416" s="8"/>
      <c r="R416" s="8"/>
      <c r="S416" s="8"/>
      <c r="T416" s="8"/>
      <c r="U416" s="8"/>
      <c r="V416" s="8"/>
    </row>
    <row r="417" spans="1:22" x14ac:dyDescent="0.2">
      <c r="A417" s="8"/>
      <c r="B417" s="8"/>
      <c r="C417" s="8"/>
      <c r="D417" s="8"/>
      <c r="E417" s="8"/>
      <c r="F417" s="8"/>
      <c r="G417" s="8"/>
      <c r="H417" s="8"/>
      <c r="I417" s="8"/>
      <c r="J417" s="8"/>
      <c r="K417" s="8"/>
      <c r="L417" s="8"/>
      <c r="M417" s="8"/>
      <c r="N417" s="8"/>
      <c r="O417" s="8"/>
      <c r="P417" s="8"/>
      <c r="Q417" s="8"/>
      <c r="R417" s="8"/>
      <c r="S417" s="8"/>
      <c r="T417" s="8"/>
      <c r="U417" s="8"/>
      <c r="V417" s="8"/>
    </row>
    <row r="418" spans="1:22" x14ac:dyDescent="0.2">
      <c r="A418" s="8"/>
      <c r="B418" s="8"/>
      <c r="C418" s="8"/>
      <c r="D418" s="8"/>
      <c r="E418" s="8"/>
      <c r="F418" s="8"/>
      <c r="G418" s="8"/>
      <c r="H418" s="8"/>
      <c r="I418" s="8"/>
      <c r="J418" s="8"/>
      <c r="K418" s="8"/>
      <c r="L418" s="8"/>
      <c r="M418" s="8"/>
      <c r="N418" s="8"/>
      <c r="O418" s="8"/>
      <c r="P418" s="8"/>
      <c r="Q418" s="8"/>
      <c r="R418" s="8"/>
      <c r="S418" s="8"/>
      <c r="T418" s="8"/>
      <c r="U418" s="8"/>
      <c r="V418" s="8"/>
    </row>
    <row r="419" spans="1:22" x14ac:dyDescent="0.2">
      <c r="A419" s="8"/>
      <c r="B419" s="8"/>
      <c r="C419" s="8"/>
      <c r="D419" s="8"/>
      <c r="E419" s="8"/>
      <c r="F419" s="8"/>
      <c r="G419" s="8"/>
      <c r="H419" s="8"/>
      <c r="I419" s="8"/>
      <c r="J419" s="8"/>
      <c r="K419" s="8"/>
      <c r="L419" s="8"/>
      <c r="M419" s="8"/>
      <c r="N419" s="8"/>
      <c r="O419" s="8"/>
      <c r="P419" s="8"/>
      <c r="Q419" s="8"/>
      <c r="R419" s="8"/>
      <c r="S419" s="8"/>
      <c r="T419" s="8"/>
      <c r="U419" s="8"/>
      <c r="V419" s="8"/>
    </row>
    <row r="420" spans="1:22" x14ac:dyDescent="0.2">
      <c r="A420" s="8"/>
      <c r="B420" s="8"/>
      <c r="C420" s="8"/>
      <c r="D420" s="8"/>
      <c r="E420" s="8"/>
      <c r="F420" s="8"/>
      <c r="G420" s="8"/>
      <c r="H420" s="8"/>
      <c r="I420" s="8"/>
      <c r="J420" s="8"/>
      <c r="K420" s="8"/>
      <c r="L420" s="8"/>
      <c r="M420" s="8"/>
      <c r="N420" s="8"/>
      <c r="O420" s="8"/>
      <c r="P420" s="8"/>
      <c r="Q420" s="8"/>
      <c r="R420" s="8"/>
      <c r="S420" s="8"/>
      <c r="T420" s="8"/>
      <c r="U420" s="8"/>
      <c r="V420" s="8"/>
    </row>
    <row r="421" spans="1:22" x14ac:dyDescent="0.2">
      <c r="A421" s="8"/>
      <c r="B421" s="8"/>
      <c r="C421" s="8"/>
      <c r="D421" s="8"/>
      <c r="E421" s="8"/>
      <c r="F421" s="8"/>
      <c r="G421" s="8"/>
      <c r="H421" s="8"/>
      <c r="I421" s="8"/>
      <c r="J421" s="8"/>
      <c r="K421" s="8"/>
      <c r="L421" s="8"/>
      <c r="M421" s="8"/>
      <c r="N421" s="8"/>
      <c r="O421" s="8"/>
      <c r="P421" s="8"/>
      <c r="Q421" s="8"/>
      <c r="R421" s="8"/>
      <c r="S421" s="8"/>
      <c r="T421" s="8"/>
      <c r="U421" s="8"/>
      <c r="V421" s="8"/>
    </row>
    <row r="422" spans="1:22" x14ac:dyDescent="0.2">
      <c r="A422" s="8"/>
      <c r="B422" s="8"/>
      <c r="C422" s="8"/>
      <c r="D422" s="8"/>
      <c r="E422" s="8"/>
      <c r="F422" s="8"/>
      <c r="G422" s="8"/>
      <c r="H422" s="8"/>
      <c r="I422" s="8"/>
      <c r="J422" s="8"/>
      <c r="K422" s="8"/>
      <c r="L422" s="8"/>
      <c r="M422" s="8"/>
      <c r="N422" s="8"/>
      <c r="O422" s="8"/>
      <c r="P422" s="8"/>
      <c r="Q422" s="8"/>
      <c r="R422" s="8"/>
      <c r="S422" s="8"/>
      <c r="T422" s="8"/>
      <c r="U422" s="8"/>
      <c r="V422" s="8"/>
    </row>
    <row r="423" spans="1:22" x14ac:dyDescent="0.2">
      <c r="A423" s="8"/>
      <c r="B423" s="8"/>
      <c r="C423" s="8"/>
      <c r="D423" s="8"/>
      <c r="E423" s="8"/>
      <c r="F423" s="8"/>
      <c r="G423" s="8"/>
      <c r="H423" s="8"/>
      <c r="I423" s="8"/>
      <c r="J423" s="8"/>
      <c r="K423" s="8"/>
      <c r="L423" s="8"/>
      <c r="M423" s="8"/>
      <c r="N423" s="8"/>
      <c r="O423" s="8"/>
      <c r="P423" s="8"/>
      <c r="Q423" s="8"/>
      <c r="R423" s="8"/>
      <c r="S423" s="8"/>
      <c r="T423" s="8"/>
      <c r="U423" s="8"/>
      <c r="V423" s="8"/>
    </row>
    <row r="424" spans="1:22" x14ac:dyDescent="0.2">
      <c r="A424" s="8"/>
      <c r="B424" s="8"/>
      <c r="C424" s="8"/>
      <c r="D424" s="8"/>
      <c r="E424" s="8"/>
      <c r="F424" s="8"/>
      <c r="G424" s="8"/>
      <c r="H424" s="8"/>
      <c r="I424" s="8"/>
      <c r="J424" s="8"/>
      <c r="K424" s="8"/>
      <c r="L424" s="8"/>
      <c r="M424" s="8"/>
      <c r="N424" s="8"/>
      <c r="O424" s="8"/>
      <c r="P424" s="8"/>
      <c r="Q424" s="8"/>
      <c r="R424" s="8"/>
      <c r="S424" s="8"/>
      <c r="T424" s="8"/>
      <c r="U424" s="8"/>
      <c r="V424" s="8"/>
    </row>
    <row r="425" spans="1:22" x14ac:dyDescent="0.2">
      <c r="A425" s="8"/>
      <c r="B425" s="8"/>
      <c r="C425" s="8"/>
      <c r="D425" s="8"/>
      <c r="E425" s="8"/>
      <c r="F425" s="8"/>
      <c r="G425" s="8"/>
      <c r="H425" s="8"/>
      <c r="I425" s="8"/>
      <c r="J425" s="8"/>
      <c r="K425" s="8"/>
      <c r="L425" s="8"/>
      <c r="M425" s="8"/>
      <c r="N425" s="8"/>
      <c r="O425" s="8"/>
      <c r="P425" s="8"/>
      <c r="Q425" s="8"/>
      <c r="R425" s="8"/>
      <c r="S425" s="8"/>
      <c r="T425" s="8"/>
      <c r="U425" s="8"/>
      <c r="V425" s="8"/>
    </row>
    <row r="426" spans="1:22" x14ac:dyDescent="0.2">
      <c r="A426" s="8"/>
      <c r="B426" s="8"/>
      <c r="C426" s="8"/>
      <c r="D426" s="8"/>
      <c r="E426" s="8"/>
      <c r="F426" s="8"/>
      <c r="G426" s="8"/>
      <c r="H426" s="8"/>
      <c r="I426" s="8"/>
      <c r="J426" s="8"/>
      <c r="K426" s="8"/>
      <c r="L426" s="8"/>
      <c r="M426" s="8"/>
      <c r="N426" s="8"/>
      <c r="O426" s="8"/>
      <c r="P426" s="8"/>
      <c r="Q426" s="8"/>
      <c r="R426" s="8"/>
      <c r="S426" s="8"/>
      <c r="T426" s="8"/>
      <c r="U426" s="8"/>
      <c r="V426" s="8"/>
    </row>
    <row r="427" spans="1:22" x14ac:dyDescent="0.2">
      <c r="A427" s="8"/>
      <c r="B427" s="8"/>
      <c r="C427" s="8"/>
      <c r="D427" s="8"/>
      <c r="E427" s="8"/>
      <c r="F427" s="8"/>
      <c r="G427" s="8"/>
      <c r="H427" s="8"/>
      <c r="I427" s="8"/>
      <c r="J427" s="8"/>
      <c r="K427" s="8"/>
      <c r="L427" s="8"/>
      <c r="M427" s="8"/>
      <c r="N427" s="8"/>
      <c r="O427" s="8"/>
      <c r="P427" s="8"/>
      <c r="Q427" s="8"/>
      <c r="R427" s="8"/>
      <c r="S427" s="8"/>
      <c r="T427" s="8"/>
      <c r="U427" s="8"/>
      <c r="V427" s="8"/>
    </row>
    <row r="428" spans="1:22" x14ac:dyDescent="0.2">
      <c r="A428" s="8"/>
      <c r="B428" s="8"/>
      <c r="C428" s="8"/>
      <c r="D428" s="8"/>
      <c r="E428" s="8"/>
      <c r="F428" s="8"/>
      <c r="G428" s="8"/>
      <c r="H428" s="8"/>
      <c r="I428" s="8"/>
      <c r="J428" s="8"/>
      <c r="K428" s="8"/>
      <c r="L428" s="8"/>
      <c r="M428" s="8"/>
      <c r="N428" s="8"/>
      <c r="O428" s="8"/>
      <c r="P428" s="8"/>
      <c r="Q428" s="8"/>
      <c r="R428" s="8"/>
      <c r="S428" s="8"/>
      <c r="T428" s="8"/>
      <c r="U428" s="8"/>
      <c r="V428" s="8"/>
    </row>
    <row r="429" spans="1:22" x14ac:dyDescent="0.2">
      <c r="A429" s="8"/>
      <c r="B429" s="8"/>
      <c r="C429" s="8"/>
      <c r="D429" s="8"/>
      <c r="E429" s="8"/>
      <c r="F429" s="8"/>
      <c r="G429" s="8"/>
      <c r="H429" s="8"/>
      <c r="I429" s="8"/>
      <c r="J429" s="8"/>
      <c r="K429" s="8"/>
      <c r="L429" s="8"/>
      <c r="M429" s="8"/>
      <c r="N429" s="8"/>
      <c r="O429" s="8"/>
      <c r="P429" s="8"/>
      <c r="Q429" s="8"/>
      <c r="R429" s="8"/>
      <c r="S429" s="8"/>
      <c r="T429" s="8"/>
      <c r="U429" s="8"/>
      <c r="V429" s="8"/>
    </row>
    <row r="430" spans="1:22" x14ac:dyDescent="0.2">
      <c r="A430" s="8"/>
      <c r="B430" s="8"/>
      <c r="C430" s="8"/>
      <c r="D430" s="8"/>
      <c r="E430" s="8"/>
      <c r="F430" s="8"/>
      <c r="G430" s="8"/>
      <c r="H430" s="8"/>
      <c r="I430" s="8"/>
      <c r="J430" s="8"/>
      <c r="K430" s="8"/>
      <c r="L430" s="8"/>
      <c r="M430" s="8"/>
      <c r="N430" s="8"/>
      <c r="O430" s="8"/>
      <c r="P430" s="8"/>
      <c r="Q430" s="8"/>
      <c r="R430" s="8"/>
      <c r="S430" s="8"/>
      <c r="T430" s="8"/>
      <c r="U430" s="8"/>
      <c r="V430" s="8"/>
    </row>
    <row r="431" spans="1:22" x14ac:dyDescent="0.2">
      <c r="A431" s="8"/>
      <c r="B431" s="8"/>
      <c r="C431" s="8"/>
      <c r="D431" s="8"/>
      <c r="E431" s="8"/>
      <c r="F431" s="8"/>
      <c r="G431" s="8"/>
      <c r="H431" s="8"/>
      <c r="I431" s="8"/>
      <c r="J431" s="8"/>
      <c r="K431" s="8"/>
      <c r="L431" s="8"/>
      <c r="M431" s="8"/>
      <c r="N431" s="8"/>
      <c r="O431" s="8"/>
      <c r="P431" s="8"/>
      <c r="Q431" s="8"/>
      <c r="R431" s="8"/>
      <c r="S431" s="8"/>
      <c r="T431" s="8"/>
      <c r="U431" s="8"/>
      <c r="V431" s="8"/>
    </row>
    <row r="432" spans="1:22" x14ac:dyDescent="0.2">
      <c r="A432" s="8"/>
      <c r="B432" s="8"/>
      <c r="C432" s="8"/>
      <c r="D432" s="8"/>
      <c r="E432" s="8"/>
      <c r="F432" s="8"/>
      <c r="G432" s="8"/>
      <c r="H432" s="8"/>
      <c r="I432" s="8"/>
      <c r="J432" s="8"/>
      <c r="K432" s="8"/>
      <c r="L432" s="8"/>
      <c r="M432" s="8"/>
      <c r="N432" s="8"/>
      <c r="O432" s="8"/>
      <c r="P432" s="8"/>
      <c r="Q432" s="8"/>
      <c r="R432" s="8"/>
      <c r="S432" s="8"/>
      <c r="T432" s="8"/>
      <c r="U432" s="8"/>
      <c r="V432" s="8"/>
    </row>
    <row r="433" spans="1:22" x14ac:dyDescent="0.2">
      <c r="A433" s="8"/>
      <c r="B433" s="8"/>
      <c r="C433" s="8"/>
      <c r="D433" s="8"/>
      <c r="E433" s="8"/>
      <c r="F433" s="8"/>
      <c r="G433" s="8"/>
      <c r="H433" s="8"/>
      <c r="I433" s="8"/>
      <c r="J433" s="8"/>
      <c r="K433" s="8"/>
      <c r="L433" s="8"/>
      <c r="M433" s="8"/>
      <c r="N433" s="8"/>
      <c r="O433" s="8"/>
      <c r="P433" s="8"/>
      <c r="Q433" s="8"/>
      <c r="R433" s="8"/>
      <c r="S433" s="8"/>
      <c r="T433" s="8"/>
      <c r="U433" s="8"/>
      <c r="V433" s="8"/>
    </row>
    <row r="434" spans="1:22" x14ac:dyDescent="0.2">
      <c r="A434" s="8"/>
      <c r="B434" s="8"/>
      <c r="C434" s="8"/>
      <c r="D434" s="8"/>
      <c r="E434" s="8"/>
      <c r="F434" s="8"/>
      <c r="G434" s="8"/>
      <c r="H434" s="8"/>
      <c r="I434" s="8"/>
      <c r="J434" s="8"/>
      <c r="K434" s="8"/>
      <c r="L434" s="8"/>
      <c r="M434" s="8"/>
      <c r="N434" s="8"/>
      <c r="O434" s="8"/>
      <c r="P434" s="8"/>
      <c r="Q434" s="8"/>
      <c r="R434" s="8"/>
      <c r="S434" s="8"/>
      <c r="T434" s="8"/>
      <c r="U434" s="8"/>
      <c r="V434" s="8"/>
    </row>
    <row r="435" spans="1:22" x14ac:dyDescent="0.2">
      <c r="A435" s="8"/>
      <c r="B435" s="8"/>
      <c r="C435" s="8"/>
      <c r="D435" s="8"/>
      <c r="E435" s="8"/>
      <c r="F435" s="8"/>
      <c r="G435" s="8"/>
      <c r="H435" s="8"/>
      <c r="I435" s="8"/>
      <c r="J435" s="8"/>
      <c r="K435" s="8"/>
      <c r="L435" s="8"/>
      <c r="M435" s="8"/>
      <c r="N435" s="8"/>
      <c r="O435" s="8"/>
      <c r="P435" s="8"/>
      <c r="Q435" s="8"/>
      <c r="R435" s="8"/>
      <c r="S435" s="8"/>
      <c r="T435" s="8"/>
      <c r="U435" s="8"/>
      <c r="V435" s="8"/>
    </row>
    <row r="436" spans="1:22" x14ac:dyDescent="0.2">
      <c r="A436" s="8"/>
      <c r="B436" s="8"/>
      <c r="C436" s="8"/>
      <c r="D436" s="8"/>
      <c r="E436" s="8"/>
      <c r="F436" s="8"/>
      <c r="G436" s="8"/>
      <c r="H436" s="8"/>
      <c r="I436" s="8"/>
      <c r="J436" s="8"/>
      <c r="K436" s="8"/>
      <c r="L436" s="8"/>
      <c r="M436" s="8"/>
      <c r="N436" s="8"/>
      <c r="O436" s="8"/>
      <c r="P436" s="8"/>
      <c r="Q436" s="8"/>
      <c r="R436" s="8"/>
      <c r="S436" s="8"/>
      <c r="T436" s="8"/>
      <c r="U436" s="8"/>
      <c r="V436" s="8"/>
    </row>
    <row r="437" spans="1:22" x14ac:dyDescent="0.2">
      <c r="A437" s="8"/>
      <c r="B437" s="8"/>
      <c r="C437" s="8"/>
      <c r="D437" s="8"/>
      <c r="E437" s="8"/>
      <c r="F437" s="8"/>
      <c r="G437" s="8"/>
      <c r="H437" s="8"/>
      <c r="I437" s="8"/>
      <c r="J437" s="8"/>
      <c r="K437" s="8"/>
      <c r="L437" s="8"/>
      <c r="M437" s="8"/>
      <c r="N437" s="8"/>
      <c r="O437" s="8"/>
      <c r="P437" s="8"/>
      <c r="Q437" s="8"/>
      <c r="R437" s="8"/>
      <c r="S437" s="8"/>
      <c r="T437" s="8"/>
      <c r="U437" s="8"/>
      <c r="V437" s="8"/>
    </row>
    <row r="438" spans="1:22" x14ac:dyDescent="0.2">
      <c r="A438" s="8"/>
      <c r="B438" s="8"/>
      <c r="C438" s="8"/>
      <c r="D438" s="8"/>
      <c r="E438" s="8"/>
      <c r="F438" s="8"/>
      <c r="G438" s="8"/>
      <c r="H438" s="8"/>
      <c r="I438" s="8"/>
      <c r="J438" s="8"/>
      <c r="K438" s="8"/>
      <c r="L438" s="8"/>
      <c r="M438" s="8"/>
      <c r="N438" s="8"/>
      <c r="O438" s="8"/>
      <c r="P438" s="8"/>
      <c r="Q438" s="8"/>
      <c r="R438" s="8"/>
      <c r="S438" s="8"/>
      <c r="T438" s="8"/>
      <c r="U438" s="8"/>
      <c r="V438" s="8"/>
    </row>
    <row r="439" spans="1:22" x14ac:dyDescent="0.2">
      <c r="A439" s="8"/>
      <c r="B439" s="8"/>
      <c r="C439" s="8"/>
      <c r="D439" s="8"/>
      <c r="E439" s="8"/>
      <c r="F439" s="8"/>
      <c r="G439" s="8"/>
      <c r="H439" s="8"/>
      <c r="I439" s="8"/>
      <c r="J439" s="8"/>
      <c r="K439" s="8"/>
      <c r="L439" s="8"/>
      <c r="M439" s="8"/>
      <c r="N439" s="8"/>
      <c r="O439" s="8"/>
      <c r="P439" s="8"/>
      <c r="Q439" s="8"/>
      <c r="R439" s="8"/>
      <c r="S439" s="8"/>
      <c r="T439" s="8"/>
      <c r="U439" s="8"/>
      <c r="V439" s="8"/>
    </row>
    <row r="440" spans="1:22" x14ac:dyDescent="0.2">
      <c r="A440" s="8"/>
      <c r="B440" s="8"/>
      <c r="C440" s="8"/>
      <c r="D440" s="8"/>
      <c r="E440" s="8"/>
      <c r="F440" s="8"/>
      <c r="G440" s="8"/>
      <c r="H440" s="8"/>
      <c r="I440" s="8"/>
      <c r="J440" s="8"/>
      <c r="K440" s="8"/>
      <c r="L440" s="8"/>
      <c r="M440" s="8"/>
      <c r="N440" s="8"/>
      <c r="O440" s="8"/>
      <c r="P440" s="8"/>
      <c r="Q440" s="8"/>
      <c r="R440" s="8"/>
      <c r="S440" s="8"/>
      <c r="T440" s="8"/>
      <c r="U440" s="8"/>
      <c r="V440" s="8"/>
    </row>
    <row r="441" spans="1:22" x14ac:dyDescent="0.2">
      <c r="A441" s="8"/>
      <c r="B441" s="8"/>
      <c r="C441" s="8"/>
      <c r="D441" s="8"/>
      <c r="E441" s="8"/>
      <c r="F441" s="8"/>
      <c r="G441" s="8"/>
      <c r="H441" s="8"/>
      <c r="I441" s="8"/>
      <c r="J441" s="8"/>
      <c r="K441" s="8"/>
      <c r="L441" s="8"/>
      <c r="M441" s="8"/>
      <c r="N441" s="8"/>
      <c r="O441" s="8"/>
      <c r="P441" s="8"/>
      <c r="Q441" s="8"/>
      <c r="R441" s="8"/>
      <c r="S441" s="8"/>
      <c r="T441" s="8"/>
      <c r="U441" s="8"/>
      <c r="V441" s="8"/>
    </row>
    <row r="442" spans="1:22" x14ac:dyDescent="0.2">
      <c r="A442" s="8"/>
      <c r="B442" s="8"/>
      <c r="C442" s="8"/>
      <c r="D442" s="8"/>
      <c r="E442" s="8"/>
      <c r="F442" s="8"/>
      <c r="G442" s="8"/>
      <c r="H442" s="8"/>
      <c r="I442" s="8"/>
      <c r="J442" s="8"/>
      <c r="K442" s="8"/>
      <c r="L442" s="8"/>
      <c r="M442" s="8"/>
      <c r="N442" s="8"/>
      <c r="O442" s="8"/>
      <c r="P442" s="8"/>
      <c r="Q442" s="8"/>
      <c r="R442" s="8"/>
      <c r="S442" s="8"/>
      <c r="T442" s="8"/>
      <c r="U442" s="8"/>
      <c r="V442" s="8"/>
    </row>
    <row r="443" spans="1:22" x14ac:dyDescent="0.2">
      <c r="A443" s="8"/>
      <c r="B443" s="8"/>
      <c r="C443" s="8"/>
      <c r="D443" s="8"/>
      <c r="E443" s="8"/>
      <c r="F443" s="8"/>
      <c r="G443" s="8"/>
      <c r="H443" s="8"/>
      <c r="I443" s="8"/>
      <c r="J443" s="8"/>
      <c r="K443" s="8"/>
      <c r="L443" s="8"/>
      <c r="M443" s="8"/>
      <c r="N443" s="8"/>
      <c r="O443" s="8"/>
      <c r="P443" s="8"/>
      <c r="Q443" s="8"/>
      <c r="R443" s="8"/>
      <c r="S443" s="8"/>
      <c r="T443" s="8"/>
      <c r="U443" s="8"/>
      <c r="V443" s="8"/>
    </row>
    <row r="444" spans="1:22" x14ac:dyDescent="0.2">
      <c r="A444" s="8"/>
      <c r="B444" s="8"/>
      <c r="C444" s="8"/>
      <c r="D444" s="8"/>
      <c r="E444" s="8"/>
      <c r="F444" s="8"/>
      <c r="G444" s="8"/>
      <c r="H444" s="8"/>
      <c r="I444" s="8"/>
      <c r="J444" s="8"/>
      <c r="K444" s="8"/>
      <c r="L444" s="8"/>
      <c r="M444" s="8"/>
      <c r="N444" s="8"/>
      <c r="O444" s="8"/>
      <c r="P444" s="8"/>
      <c r="Q444" s="8"/>
      <c r="R444" s="8"/>
      <c r="S444" s="8"/>
      <c r="T444" s="8"/>
      <c r="U444" s="8"/>
      <c r="V444" s="8"/>
    </row>
    <row r="445" spans="1:22" x14ac:dyDescent="0.2">
      <c r="A445" s="8"/>
      <c r="B445" s="8"/>
      <c r="C445" s="8"/>
      <c r="D445" s="8"/>
      <c r="E445" s="8"/>
      <c r="F445" s="8"/>
      <c r="G445" s="8"/>
      <c r="H445" s="8"/>
      <c r="I445" s="8"/>
      <c r="J445" s="8"/>
      <c r="K445" s="8"/>
      <c r="L445" s="8"/>
      <c r="M445" s="8"/>
      <c r="N445" s="8"/>
      <c r="O445" s="8"/>
      <c r="P445" s="8"/>
      <c r="Q445" s="8"/>
      <c r="R445" s="8"/>
      <c r="S445" s="8"/>
      <c r="T445" s="8"/>
      <c r="U445" s="8"/>
      <c r="V445" s="8"/>
    </row>
    <row r="446" spans="1:22" x14ac:dyDescent="0.2">
      <c r="A446" s="8"/>
      <c r="B446" s="8"/>
      <c r="C446" s="8"/>
      <c r="D446" s="8"/>
      <c r="E446" s="8"/>
      <c r="F446" s="8"/>
      <c r="G446" s="8"/>
      <c r="H446" s="8"/>
      <c r="I446" s="8"/>
      <c r="J446" s="8"/>
      <c r="K446" s="8"/>
      <c r="L446" s="8"/>
      <c r="M446" s="8"/>
      <c r="N446" s="8"/>
      <c r="O446" s="8"/>
      <c r="P446" s="8"/>
      <c r="Q446" s="8"/>
      <c r="R446" s="8"/>
      <c r="S446" s="8"/>
      <c r="T446" s="8"/>
      <c r="U446" s="8"/>
      <c r="V446" s="8"/>
    </row>
    <row r="447" spans="1:22" x14ac:dyDescent="0.2">
      <c r="A447" s="8"/>
      <c r="B447" s="8"/>
      <c r="C447" s="8"/>
      <c r="D447" s="8"/>
      <c r="E447" s="8"/>
      <c r="F447" s="8"/>
      <c r="G447" s="8"/>
      <c r="H447" s="8"/>
      <c r="I447" s="8"/>
      <c r="J447" s="8"/>
      <c r="K447" s="8"/>
      <c r="L447" s="8"/>
      <c r="M447" s="8"/>
      <c r="N447" s="8"/>
      <c r="O447" s="8"/>
      <c r="P447" s="8"/>
      <c r="Q447" s="8"/>
      <c r="R447" s="8"/>
      <c r="S447" s="8"/>
      <c r="T447" s="8"/>
      <c r="U447" s="8"/>
      <c r="V447" s="8"/>
    </row>
    <row r="448" spans="1:22" x14ac:dyDescent="0.2">
      <c r="A448" s="8"/>
      <c r="B448" s="8"/>
      <c r="C448" s="8"/>
      <c r="D448" s="8"/>
      <c r="E448" s="8"/>
      <c r="F448" s="8"/>
      <c r="G448" s="8"/>
      <c r="H448" s="8"/>
      <c r="I448" s="8"/>
      <c r="J448" s="8"/>
      <c r="K448" s="8"/>
      <c r="L448" s="8"/>
      <c r="M448" s="8"/>
      <c r="N448" s="8"/>
      <c r="O448" s="8"/>
      <c r="P448" s="8"/>
      <c r="Q448" s="8"/>
      <c r="R448" s="8"/>
      <c r="S448" s="8"/>
      <c r="T448" s="8"/>
      <c r="U448" s="8"/>
      <c r="V448" s="8"/>
    </row>
    <row r="449" spans="1:22" x14ac:dyDescent="0.2">
      <c r="A449" s="8"/>
      <c r="B449" s="8"/>
      <c r="C449" s="8"/>
      <c r="D449" s="8"/>
      <c r="E449" s="8"/>
      <c r="F449" s="8"/>
      <c r="G449" s="8"/>
      <c r="H449" s="8"/>
      <c r="I449" s="8"/>
      <c r="J449" s="8"/>
      <c r="K449" s="8"/>
      <c r="L449" s="8"/>
      <c r="M449" s="8"/>
      <c r="N449" s="8"/>
      <c r="O449" s="8"/>
      <c r="P449" s="8"/>
      <c r="Q449" s="8"/>
      <c r="R449" s="8"/>
      <c r="S449" s="8"/>
      <c r="T449" s="8"/>
      <c r="U449" s="8"/>
      <c r="V449" s="8"/>
    </row>
    <row r="450" spans="1:22" x14ac:dyDescent="0.2">
      <c r="A450" s="8"/>
      <c r="B450" s="8"/>
      <c r="C450" s="8"/>
      <c r="D450" s="8"/>
      <c r="E450" s="8"/>
      <c r="F450" s="8"/>
      <c r="G450" s="8"/>
      <c r="H450" s="8"/>
      <c r="I450" s="8"/>
      <c r="J450" s="8"/>
      <c r="K450" s="8"/>
      <c r="L450" s="8"/>
      <c r="M450" s="8"/>
      <c r="N450" s="8"/>
      <c r="O450" s="8"/>
      <c r="P450" s="8"/>
      <c r="Q450" s="8"/>
      <c r="R450" s="8"/>
      <c r="S450" s="8"/>
      <c r="T450" s="8"/>
      <c r="U450" s="8"/>
      <c r="V450" s="8"/>
    </row>
    <row r="451" spans="1:22" x14ac:dyDescent="0.2">
      <c r="A451" s="8"/>
      <c r="B451" s="8"/>
      <c r="C451" s="8"/>
      <c r="D451" s="8"/>
      <c r="E451" s="8"/>
      <c r="F451" s="8"/>
      <c r="G451" s="8"/>
      <c r="H451" s="8"/>
      <c r="I451" s="8"/>
      <c r="J451" s="8"/>
      <c r="K451" s="8"/>
      <c r="L451" s="8"/>
      <c r="M451" s="8"/>
      <c r="N451" s="8"/>
      <c r="O451" s="8"/>
      <c r="P451" s="8"/>
      <c r="Q451" s="8"/>
      <c r="R451" s="8"/>
      <c r="S451" s="8"/>
      <c r="T451" s="8"/>
      <c r="U451" s="8"/>
      <c r="V451" s="8"/>
    </row>
    <row r="452" spans="1:22" x14ac:dyDescent="0.2">
      <c r="A452" s="8"/>
      <c r="B452" s="8"/>
      <c r="C452" s="8"/>
      <c r="D452" s="8"/>
      <c r="E452" s="8"/>
      <c r="F452" s="8"/>
      <c r="G452" s="8"/>
      <c r="H452" s="8"/>
      <c r="I452" s="8"/>
      <c r="J452" s="8"/>
      <c r="K452" s="8"/>
      <c r="L452" s="8"/>
      <c r="M452" s="8"/>
      <c r="N452" s="8"/>
      <c r="O452" s="8"/>
      <c r="P452" s="8"/>
      <c r="Q452" s="8"/>
      <c r="R452" s="8"/>
      <c r="S452" s="8"/>
      <c r="T452" s="8"/>
      <c r="U452" s="8"/>
      <c r="V452" s="8"/>
    </row>
    <row r="453" spans="1:22" x14ac:dyDescent="0.2">
      <c r="A453" s="8"/>
      <c r="B453" s="8"/>
      <c r="C453" s="8"/>
      <c r="D453" s="8"/>
      <c r="E453" s="8"/>
      <c r="F453" s="8"/>
      <c r="G453" s="8"/>
      <c r="H453" s="8"/>
      <c r="I453" s="8"/>
      <c r="J453" s="8"/>
      <c r="K453" s="8"/>
      <c r="L453" s="8"/>
      <c r="M453" s="8"/>
      <c r="N453" s="8"/>
      <c r="O453" s="8"/>
      <c r="P453" s="8"/>
      <c r="Q453" s="8"/>
      <c r="R453" s="8"/>
      <c r="S453" s="8"/>
      <c r="T453" s="8"/>
      <c r="U453" s="8"/>
      <c r="V453" s="8"/>
    </row>
    <row r="454" spans="1:22" x14ac:dyDescent="0.2">
      <c r="A454" s="8"/>
      <c r="B454" s="8"/>
      <c r="C454" s="8"/>
      <c r="D454" s="8"/>
      <c r="E454" s="8"/>
      <c r="F454" s="8"/>
      <c r="G454" s="8"/>
      <c r="H454" s="8"/>
      <c r="I454" s="8"/>
      <c r="J454" s="8"/>
      <c r="K454" s="8"/>
      <c r="L454" s="8"/>
      <c r="M454" s="8"/>
      <c r="N454" s="8"/>
      <c r="O454" s="8"/>
      <c r="P454" s="8"/>
      <c r="Q454" s="8"/>
      <c r="R454" s="8"/>
      <c r="S454" s="8"/>
      <c r="T454" s="8"/>
      <c r="U454" s="8"/>
      <c r="V454" s="8"/>
    </row>
    <row r="455" spans="1:22" x14ac:dyDescent="0.2">
      <c r="A455" s="8"/>
      <c r="B455" s="8"/>
      <c r="C455" s="8"/>
      <c r="D455" s="8"/>
      <c r="E455" s="8"/>
      <c r="F455" s="8"/>
      <c r="G455" s="8"/>
      <c r="H455" s="8"/>
      <c r="I455" s="8"/>
      <c r="J455" s="8"/>
      <c r="K455" s="8"/>
      <c r="L455" s="8"/>
      <c r="M455" s="8"/>
      <c r="N455" s="8"/>
      <c r="O455" s="8"/>
      <c r="P455" s="8"/>
      <c r="Q455" s="8"/>
      <c r="R455" s="8"/>
      <c r="S455" s="8"/>
      <c r="T455" s="8"/>
      <c r="U455" s="8"/>
      <c r="V455" s="8"/>
    </row>
    <row r="456" spans="1:22" x14ac:dyDescent="0.2">
      <c r="A456" s="8"/>
      <c r="B456" s="8"/>
      <c r="C456" s="8"/>
      <c r="D456" s="8"/>
      <c r="E456" s="8"/>
      <c r="F456" s="8"/>
      <c r="G456" s="8"/>
      <c r="H456" s="8"/>
      <c r="I456" s="8"/>
      <c r="J456" s="8"/>
      <c r="K456" s="8"/>
      <c r="L456" s="8"/>
      <c r="M456" s="8"/>
      <c r="N456" s="8"/>
      <c r="O456" s="8"/>
      <c r="P456" s="8"/>
      <c r="Q456" s="8"/>
      <c r="R456" s="8"/>
      <c r="S456" s="8"/>
      <c r="T456" s="8"/>
      <c r="U456" s="8"/>
      <c r="V456" s="8"/>
    </row>
    <row r="457" spans="1:22" x14ac:dyDescent="0.2">
      <c r="A457" s="8"/>
      <c r="B457" s="8"/>
      <c r="C457" s="8"/>
      <c r="D457" s="8"/>
      <c r="E457" s="8"/>
      <c r="F457" s="8"/>
      <c r="G457" s="8"/>
      <c r="H457" s="8"/>
      <c r="I457" s="8"/>
      <c r="J457" s="8"/>
      <c r="K457" s="8"/>
      <c r="L457" s="8"/>
      <c r="M457" s="8"/>
      <c r="N457" s="8"/>
      <c r="O457" s="8"/>
      <c r="P457" s="8"/>
      <c r="Q457" s="8"/>
      <c r="R457" s="8"/>
      <c r="S457" s="8"/>
      <c r="T457" s="8"/>
      <c r="U457" s="8"/>
      <c r="V457" s="8"/>
    </row>
    <row r="458" spans="1:22" x14ac:dyDescent="0.2">
      <c r="A458" s="8"/>
      <c r="B458" s="8"/>
      <c r="C458" s="8"/>
      <c r="D458" s="8"/>
      <c r="E458" s="8"/>
      <c r="F458" s="8"/>
      <c r="G458" s="8"/>
      <c r="H458" s="8"/>
      <c r="I458" s="8"/>
      <c r="J458" s="8"/>
      <c r="K458" s="8"/>
      <c r="L458" s="8"/>
      <c r="M458" s="8"/>
      <c r="N458" s="8"/>
      <c r="O458" s="8"/>
      <c r="P458" s="8"/>
      <c r="Q458" s="8"/>
      <c r="R458" s="8"/>
      <c r="S458" s="8"/>
      <c r="T458" s="8"/>
      <c r="U458" s="8"/>
      <c r="V458" s="8"/>
    </row>
    <row r="459" spans="1:22" x14ac:dyDescent="0.2">
      <c r="A459" s="8"/>
      <c r="B459" s="8"/>
      <c r="C459" s="8"/>
      <c r="D459" s="8"/>
      <c r="E459" s="8"/>
      <c r="F459" s="8"/>
      <c r="G459" s="8"/>
      <c r="H459" s="8"/>
      <c r="I459" s="8"/>
      <c r="J459" s="8"/>
      <c r="K459" s="8"/>
      <c r="L459" s="8"/>
      <c r="M459" s="8"/>
      <c r="N459" s="8"/>
      <c r="O459" s="8"/>
      <c r="P459" s="8"/>
      <c r="Q459" s="8"/>
      <c r="R459" s="8"/>
      <c r="S459" s="8"/>
      <c r="T459" s="8"/>
      <c r="U459" s="8"/>
      <c r="V459" s="8"/>
    </row>
    <row r="460" spans="1:22" x14ac:dyDescent="0.2">
      <c r="A460" s="8"/>
      <c r="B460" s="8"/>
      <c r="C460" s="8"/>
      <c r="D460" s="8"/>
      <c r="E460" s="8"/>
      <c r="F460" s="8"/>
      <c r="G460" s="8"/>
      <c r="H460" s="8"/>
      <c r="I460" s="8"/>
      <c r="J460" s="8"/>
      <c r="K460" s="8"/>
      <c r="L460" s="8"/>
      <c r="M460" s="8"/>
      <c r="N460" s="8"/>
      <c r="O460" s="8"/>
      <c r="P460" s="8"/>
      <c r="Q460" s="8"/>
      <c r="R460" s="8"/>
      <c r="S460" s="8"/>
      <c r="T460" s="8"/>
      <c r="U460" s="8"/>
      <c r="V460" s="8"/>
    </row>
    <row r="461" spans="1:22" x14ac:dyDescent="0.2">
      <c r="A461" s="8"/>
      <c r="B461" s="8"/>
      <c r="C461" s="8"/>
      <c r="D461" s="8"/>
      <c r="E461" s="8"/>
      <c r="F461" s="8"/>
      <c r="G461" s="8"/>
      <c r="H461" s="8"/>
      <c r="I461" s="8"/>
      <c r="J461" s="8"/>
      <c r="K461" s="8"/>
      <c r="L461" s="8"/>
      <c r="M461" s="8"/>
      <c r="N461" s="8"/>
      <c r="O461" s="8"/>
      <c r="P461" s="8"/>
      <c r="Q461" s="8"/>
      <c r="R461" s="8"/>
      <c r="S461" s="8"/>
      <c r="T461" s="8"/>
      <c r="U461" s="8"/>
      <c r="V461" s="8"/>
    </row>
    <row r="462" spans="1:22" x14ac:dyDescent="0.2">
      <c r="A462" s="8"/>
      <c r="B462" s="8"/>
      <c r="C462" s="8"/>
      <c r="D462" s="8"/>
      <c r="E462" s="8"/>
      <c r="F462" s="8"/>
      <c r="G462" s="8"/>
      <c r="H462" s="8"/>
      <c r="I462" s="8"/>
      <c r="J462" s="8"/>
      <c r="K462" s="8"/>
      <c r="L462" s="8"/>
      <c r="M462" s="8"/>
      <c r="N462" s="8"/>
      <c r="O462" s="8"/>
      <c r="P462" s="8"/>
      <c r="Q462" s="8"/>
      <c r="R462" s="8"/>
      <c r="S462" s="8"/>
      <c r="T462" s="8"/>
      <c r="U462" s="8"/>
      <c r="V462" s="8"/>
    </row>
    <row r="463" spans="1:22" x14ac:dyDescent="0.2">
      <c r="A463" s="8"/>
      <c r="B463" s="8"/>
      <c r="C463" s="8"/>
      <c r="D463" s="8"/>
      <c r="E463" s="8"/>
      <c r="F463" s="8"/>
      <c r="G463" s="8"/>
      <c r="H463" s="8"/>
      <c r="I463" s="8"/>
      <c r="J463" s="8"/>
      <c r="K463" s="8"/>
      <c r="L463" s="8"/>
      <c r="M463" s="8"/>
      <c r="N463" s="8"/>
      <c r="O463" s="8"/>
      <c r="P463" s="8"/>
      <c r="Q463" s="8"/>
      <c r="R463" s="8"/>
      <c r="S463" s="8"/>
      <c r="T463" s="8"/>
      <c r="U463" s="8"/>
      <c r="V463" s="8"/>
    </row>
    <row r="464" spans="1:22" x14ac:dyDescent="0.2">
      <c r="A464" s="8"/>
      <c r="B464" s="8"/>
      <c r="C464" s="8"/>
      <c r="D464" s="8"/>
      <c r="E464" s="8"/>
      <c r="F464" s="8"/>
      <c r="G464" s="8"/>
    </row>
    <row r="465" spans="1:7" x14ac:dyDescent="0.2">
      <c r="A465" s="8"/>
      <c r="B465" s="8"/>
      <c r="C465" s="8"/>
      <c r="D465" s="8"/>
      <c r="E465" s="8"/>
      <c r="F465" s="8"/>
      <c r="G465" s="8"/>
    </row>
    <row r="466" spans="1:7" x14ac:dyDescent="0.2">
      <c r="A466" s="8"/>
      <c r="B466" s="8"/>
      <c r="C466" s="8"/>
      <c r="D466" s="8"/>
      <c r="E466" s="8"/>
      <c r="F466" s="8"/>
      <c r="G466" s="8"/>
    </row>
    <row r="467" spans="1:7" x14ac:dyDescent="0.2">
      <c r="A467" s="8"/>
      <c r="B467" s="8"/>
      <c r="C467" s="8"/>
      <c r="D467" s="8"/>
      <c r="E467" s="8"/>
      <c r="F467" s="8"/>
      <c r="G467" s="8"/>
    </row>
    <row r="468" spans="1:7" x14ac:dyDescent="0.2">
      <c r="A468" s="8"/>
      <c r="B468" s="8"/>
      <c r="C468" s="8"/>
      <c r="D468" s="8"/>
      <c r="E468" s="8"/>
      <c r="F468" s="8"/>
      <c r="G468" s="8"/>
    </row>
    <row r="469" spans="1:7" x14ac:dyDescent="0.2">
      <c r="A469" s="8"/>
      <c r="B469" s="8"/>
      <c r="C469" s="8"/>
      <c r="D469" s="8"/>
      <c r="E469" s="8"/>
      <c r="F469" s="8"/>
      <c r="G469" s="8"/>
    </row>
    <row r="470" spans="1:7" x14ac:dyDescent="0.2">
      <c r="A470" s="8"/>
      <c r="B470" s="8"/>
      <c r="C470" s="8"/>
      <c r="D470" s="8"/>
      <c r="E470" s="8"/>
      <c r="F470" s="8"/>
      <c r="G470" s="8"/>
    </row>
    <row r="471" spans="1:7" x14ac:dyDescent="0.2">
      <c r="A471" s="8"/>
      <c r="B471" s="8"/>
      <c r="C471" s="8"/>
      <c r="D471" s="8"/>
      <c r="E471" s="8"/>
      <c r="F471" s="8"/>
      <c r="G471" s="8"/>
    </row>
    <row r="472" spans="1:7" x14ac:dyDescent="0.2">
      <c r="A472" s="8"/>
      <c r="B472" s="8"/>
      <c r="C472" s="8"/>
      <c r="D472" s="8"/>
      <c r="E472" s="8"/>
      <c r="F472" s="8"/>
      <c r="G472" s="8"/>
    </row>
    <row r="473" spans="1:7" x14ac:dyDescent="0.2">
      <c r="A473" s="8"/>
      <c r="B473" s="8"/>
      <c r="C473" s="8"/>
      <c r="D473" s="8"/>
      <c r="E473" s="8"/>
      <c r="F473" s="8"/>
      <c r="G473" s="8"/>
    </row>
    <row r="474" spans="1:7" x14ac:dyDescent="0.2">
      <c r="A474" s="8"/>
      <c r="B474" s="8"/>
      <c r="C474" s="8"/>
      <c r="D474" s="8"/>
      <c r="E474" s="8"/>
      <c r="F474" s="8"/>
      <c r="G474" s="8"/>
    </row>
    <row r="475" spans="1:7" x14ac:dyDescent="0.2">
      <c r="A475" s="8"/>
      <c r="B475" s="8"/>
      <c r="C475" s="8"/>
      <c r="D475" s="8"/>
      <c r="E475" s="8"/>
      <c r="F475" s="8"/>
      <c r="G475" s="8"/>
    </row>
    <row r="476" spans="1:7" x14ac:dyDescent="0.2">
      <c r="A476" s="8"/>
      <c r="B476" s="8"/>
      <c r="C476" s="8"/>
      <c r="D476" s="8"/>
      <c r="E476" s="8"/>
      <c r="F476" s="8"/>
      <c r="G476" s="8"/>
    </row>
    <row r="477" spans="1:7" x14ac:dyDescent="0.2">
      <c r="A477" s="8"/>
      <c r="B477" s="8"/>
      <c r="C477" s="8"/>
      <c r="D477" s="8"/>
      <c r="E477" s="8"/>
      <c r="F477" s="8"/>
      <c r="G477" s="8"/>
    </row>
    <row r="478" spans="1:7" x14ac:dyDescent="0.2">
      <c r="A478" s="8"/>
      <c r="B478" s="8"/>
      <c r="C478" s="8"/>
      <c r="D478" s="8"/>
      <c r="E478" s="8"/>
      <c r="F478" s="8"/>
      <c r="G478" s="8"/>
    </row>
    <row r="479" spans="1:7" x14ac:dyDescent="0.2">
      <c r="A479" s="8"/>
      <c r="B479" s="8"/>
      <c r="C479" s="8"/>
      <c r="D479" s="8"/>
      <c r="E479" s="8"/>
      <c r="F479" s="8"/>
      <c r="G479" s="8"/>
    </row>
    <row r="480" spans="1:7" x14ac:dyDescent="0.2">
      <c r="A480" s="8"/>
      <c r="B480" s="8"/>
      <c r="C480" s="8"/>
      <c r="D480" s="8"/>
      <c r="E480" s="8"/>
      <c r="F480" s="8"/>
      <c r="G480" s="8"/>
    </row>
    <row r="481" spans="1:7" x14ac:dyDescent="0.2">
      <c r="A481" s="8"/>
      <c r="B481" s="8"/>
      <c r="C481" s="8"/>
      <c r="D481" s="8"/>
      <c r="E481" s="8"/>
      <c r="F481" s="8"/>
      <c r="G481" s="8"/>
    </row>
    <row r="482" spans="1:7" x14ac:dyDescent="0.2">
      <c r="A482" s="8"/>
      <c r="B482" s="8"/>
      <c r="C482" s="8"/>
      <c r="D482" s="8"/>
      <c r="E482" s="8"/>
      <c r="F482" s="8"/>
      <c r="G482" s="8"/>
    </row>
    <row r="483" spans="1:7" x14ac:dyDescent="0.2">
      <c r="A483" s="8"/>
      <c r="B483" s="8"/>
      <c r="C483" s="8"/>
      <c r="D483" s="8"/>
      <c r="E483" s="8"/>
      <c r="F483" s="8"/>
      <c r="G483" s="8"/>
    </row>
    <row r="484" spans="1:7" x14ac:dyDescent="0.2">
      <c r="A484" s="8"/>
      <c r="B484" s="8"/>
      <c r="C484" s="8"/>
      <c r="D484" s="8"/>
      <c r="E484" s="8"/>
      <c r="F484" s="8"/>
      <c r="G484" s="8"/>
    </row>
    <row r="485" spans="1:7" x14ac:dyDescent="0.2">
      <c r="A485" s="8"/>
      <c r="B485" s="8"/>
      <c r="C485" s="8"/>
      <c r="D485" s="8"/>
      <c r="E485" s="8"/>
      <c r="F485" s="8"/>
      <c r="G485" s="8"/>
    </row>
    <row r="486" spans="1:7" x14ac:dyDescent="0.2">
      <c r="A486" s="8"/>
      <c r="B486" s="8"/>
      <c r="C486" s="8"/>
      <c r="D486" s="8"/>
      <c r="E486" s="8"/>
      <c r="F486" s="8"/>
      <c r="G486" s="8"/>
    </row>
    <row r="487" spans="1:7" x14ac:dyDescent="0.2">
      <c r="A487" s="8"/>
      <c r="B487" s="8"/>
      <c r="C487" s="8"/>
      <c r="D487" s="8"/>
      <c r="E487" s="8"/>
      <c r="F487" s="8"/>
      <c r="G487" s="8"/>
    </row>
    <row r="488" spans="1:7" x14ac:dyDescent="0.2">
      <c r="A488" s="8"/>
      <c r="B488" s="8"/>
      <c r="C488" s="8"/>
      <c r="D488" s="8"/>
      <c r="E488" s="8"/>
      <c r="F488" s="8"/>
      <c r="G488" s="8"/>
    </row>
    <row r="489" spans="1:7" x14ac:dyDescent="0.2">
      <c r="A489" s="8"/>
      <c r="B489" s="8"/>
      <c r="C489" s="8"/>
      <c r="D489" s="8"/>
      <c r="E489" s="8"/>
      <c r="F489" s="8"/>
      <c r="G489" s="8"/>
    </row>
    <row r="490" spans="1:7" x14ac:dyDescent="0.2">
      <c r="A490" s="8"/>
      <c r="B490" s="8"/>
      <c r="C490" s="8"/>
      <c r="D490" s="8"/>
      <c r="E490" s="8"/>
      <c r="F490" s="8"/>
      <c r="G490" s="8"/>
    </row>
    <row r="491" spans="1:7" x14ac:dyDescent="0.2">
      <c r="A491" s="8"/>
      <c r="B491" s="8"/>
      <c r="C491" s="8"/>
      <c r="D491" s="8"/>
      <c r="E491" s="8"/>
      <c r="F491" s="8"/>
      <c r="G491" s="8"/>
    </row>
    <row r="492" spans="1:7" x14ac:dyDescent="0.2">
      <c r="A492" s="8"/>
      <c r="B492" s="8"/>
      <c r="C492" s="8"/>
      <c r="D492" s="8"/>
      <c r="E492" s="8"/>
      <c r="F492" s="8"/>
      <c r="G492" s="8"/>
    </row>
    <row r="493" spans="1:7" x14ac:dyDescent="0.2">
      <c r="A493" s="8"/>
      <c r="B493" s="8"/>
      <c r="C493" s="8"/>
      <c r="D493" s="8"/>
      <c r="E493" s="8"/>
      <c r="F493" s="8"/>
      <c r="G493" s="8"/>
    </row>
    <row r="494" spans="1:7" x14ac:dyDescent="0.2">
      <c r="A494" s="8"/>
      <c r="B494" s="8"/>
      <c r="C494" s="8"/>
      <c r="D494" s="8"/>
      <c r="E494" s="8"/>
      <c r="F494" s="8"/>
      <c r="G494" s="8"/>
    </row>
    <row r="495" spans="1:7" x14ac:dyDescent="0.2">
      <c r="A495" s="8"/>
      <c r="B495" s="8"/>
      <c r="C495" s="8"/>
      <c r="D495" s="8"/>
      <c r="E495" s="8"/>
      <c r="F495" s="8"/>
      <c r="G495" s="8"/>
    </row>
    <row r="496" spans="1:7" x14ac:dyDescent="0.2">
      <c r="A496" s="8"/>
      <c r="B496" s="8"/>
      <c r="C496" s="8"/>
      <c r="D496" s="8"/>
      <c r="E496" s="8"/>
      <c r="F496" s="8"/>
      <c r="G496" s="8"/>
    </row>
    <row r="497" spans="1:7" x14ac:dyDescent="0.2">
      <c r="A497" s="8"/>
      <c r="B497" s="8"/>
      <c r="C497" s="8"/>
      <c r="D497" s="8"/>
      <c r="E497" s="8"/>
      <c r="F497" s="8"/>
      <c r="G497" s="8"/>
    </row>
    <row r="498" spans="1:7" x14ac:dyDescent="0.2">
      <c r="A498" s="8"/>
      <c r="B498" s="8"/>
      <c r="C498" s="8"/>
      <c r="D498" s="8"/>
      <c r="E498" s="8"/>
      <c r="F498" s="8"/>
      <c r="G498" s="8"/>
    </row>
    <row r="499" spans="1:7" x14ac:dyDescent="0.2">
      <c r="A499" s="8"/>
      <c r="B499" s="8"/>
      <c r="C499" s="8"/>
      <c r="D499" s="8"/>
      <c r="E499" s="8"/>
      <c r="F499" s="8"/>
      <c r="G499" s="8"/>
    </row>
    <row r="500" spans="1:7" x14ac:dyDescent="0.2">
      <c r="A500" s="8"/>
      <c r="B500" s="8"/>
      <c r="C500" s="8"/>
      <c r="D500" s="8"/>
      <c r="E500" s="8"/>
      <c r="F500" s="8"/>
      <c r="G500" s="8"/>
    </row>
    <row r="501" spans="1:7" x14ac:dyDescent="0.2">
      <c r="A501" s="8"/>
      <c r="B501" s="8"/>
      <c r="C501" s="8"/>
      <c r="D501" s="8"/>
      <c r="E501" s="8"/>
      <c r="F501" s="8"/>
      <c r="G501" s="8"/>
    </row>
    <row r="502" spans="1:7" x14ac:dyDescent="0.2">
      <c r="A502" s="8"/>
      <c r="B502" s="8"/>
      <c r="C502" s="8"/>
      <c r="D502" s="8"/>
      <c r="E502" s="8"/>
      <c r="F502" s="8"/>
      <c r="G502" s="8"/>
    </row>
    <row r="503" spans="1:7" x14ac:dyDescent="0.2">
      <c r="A503" s="8"/>
      <c r="B503" s="8"/>
      <c r="C503" s="8"/>
      <c r="D503" s="8"/>
      <c r="E503" s="8"/>
      <c r="F503" s="8"/>
      <c r="G503" s="8"/>
    </row>
    <row r="504" spans="1:7" x14ac:dyDescent="0.2">
      <c r="A504" s="8"/>
      <c r="B504" s="8"/>
      <c r="C504" s="8"/>
      <c r="D504" s="8"/>
      <c r="E504" s="8"/>
      <c r="F504" s="8"/>
      <c r="G504" s="8"/>
    </row>
    <row r="505" spans="1:7" x14ac:dyDescent="0.2">
      <c r="A505" s="8"/>
      <c r="B505" s="8"/>
      <c r="C505" s="8"/>
      <c r="D505" s="8"/>
      <c r="E505" s="8"/>
      <c r="F505" s="8"/>
      <c r="G505" s="8"/>
    </row>
    <row r="506" spans="1:7" x14ac:dyDescent="0.2">
      <c r="A506" s="8"/>
      <c r="B506" s="8"/>
      <c r="C506" s="8"/>
      <c r="D506" s="8"/>
      <c r="E506" s="8"/>
      <c r="F506" s="8"/>
      <c r="G506" s="8"/>
    </row>
    <row r="507" spans="1:7" x14ac:dyDescent="0.2">
      <c r="A507" s="8"/>
      <c r="B507" s="8"/>
      <c r="C507" s="8"/>
      <c r="D507" s="8"/>
      <c r="E507" s="8"/>
      <c r="F507" s="8"/>
      <c r="G507" s="8"/>
    </row>
    <row r="508" spans="1:7" x14ac:dyDescent="0.2">
      <c r="A508" s="8"/>
      <c r="B508" s="8"/>
      <c r="C508" s="8"/>
      <c r="D508" s="8"/>
      <c r="E508" s="8"/>
      <c r="F508" s="8"/>
      <c r="G508" s="8"/>
    </row>
    <row r="509" spans="1:7" x14ac:dyDescent="0.2">
      <c r="A509" s="8"/>
      <c r="B509" s="8"/>
      <c r="C509" s="8"/>
      <c r="D509" s="8"/>
      <c r="E509" s="8"/>
      <c r="F509" s="8"/>
      <c r="G509" s="8"/>
    </row>
    <row r="510" spans="1:7" x14ac:dyDescent="0.2">
      <c r="A510" s="8"/>
      <c r="B510" s="8"/>
      <c r="C510" s="8"/>
      <c r="D510" s="8"/>
      <c r="E510" s="8"/>
      <c r="F510" s="8"/>
      <c r="G510" s="8"/>
    </row>
    <row r="511" spans="1:7" x14ac:dyDescent="0.2">
      <c r="A511" s="8"/>
      <c r="B511" s="8"/>
      <c r="C511" s="8"/>
      <c r="D511" s="8"/>
      <c r="E511" s="8"/>
      <c r="F511" s="8"/>
      <c r="G511" s="8"/>
    </row>
    <row r="512" spans="1:7" x14ac:dyDescent="0.2">
      <c r="A512" s="8"/>
      <c r="B512" s="8"/>
      <c r="C512" s="8"/>
      <c r="D512" s="8"/>
      <c r="E512" s="8"/>
      <c r="F512" s="8"/>
      <c r="G512" s="8"/>
    </row>
    <row r="513" spans="1:7" x14ac:dyDescent="0.2">
      <c r="A513" s="8"/>
      <c r="B513" s="8"/>
      <c r="C513" s="8"/>
      <c r="D513" s="8"/>
      <c r="E513" s="8"/>
      <c r="F513" s="8"/>
      <c r="G513" s="8"/>
    </row>
    <row r="514" spans="1:7" x14ac:dyDescent="0.2">
      <c r="A514" s="8"/>
      <c r="B514" s="8"/>
      <c r="C514" s="8"/>
      <c r="D514" s="8"/>
      <c r="E514" s="8"/>
      <c r="F514" s="8"/>
      <c r="G514" s="8"/>
    </row>
    <row r="515" spans="1:7" x14ac:dyDescent="0.2">
      <c r="A515" s="8"/>
      <c r="B515" s="8"/>
      <c r="C515" s="8"/>
      <c r="D515" s="8"/>
      <c r="E515" s="8"/>
      <c r="F515" s="8"/>
      <c r="G515" s="8"/>
    </row>
    <row r="516" spans="1:7" x14ac:dyDescent="0.2">
      <c r="A516" s="8"/>
      <c r="B516" s="8"/>
      <c r="C516" s="8"/>
      <c r="D516" s="8"/>
      <c r="E516" s="8"/>
      <c r="F516" s="8"/>
      <c r="G516" s="8"/>
    </row>
    <row r="517" spans="1:7" x14ac:dyDescent="0.2">
      <c r="A517" s="8"/>
      <c r="B517" s="8"/>
      <c r="C517" s="8"/>
      <c r="D517" s="8"/>
      <c r="E517" s="8"/>
      <c r="F517" s="8"/>
      <c r="G517" s="8"/>
    </row>
    <row r="518" spans="1:7" x14ac:dyDescent="0.2">
      <c r="A518" s="8"/>
      <c r="B518" s="8"/>
      <c r="C518" s="8"/>
      <c r="D518" s="8"/>
      <c r="E518" s="8"/>
      <c r="F518" s="8"/>
      <c r="G518" s="8"/>
    </row>
    <row r="519" spans="1:7" x14ac:dyDescent="0.2">
      <c r="A519" s="8"/>
      <c r="B519" s="8"/>
      <c r="C519" s="8"/>
      <c r="D519" s="8"/>
      <c r="E519" s="8"/>
      <c r="F519" s="8"/>
      <c r="G519" s="8"/>
    </row>
    <row r="520" spans="1:7" x14ac:dyDescent="0.2">
      <c r="A520" s="8"/>
      <c r="B520" s="8"/>
      <c r="C520" s="8"/>
      <c r="D520" s="8"/>
      <c r="E520" s="8"/>
      <c r="F520" s="8"/>
      <c r="G520" s="8"/>
    </row>
    <row r="521" spans="1:7" x14ac:dyDescent="0.2">
      <c r="A521" s="8"/>
      <c r="B521" s="8"/>
      <c r="C521" s="8"/>
      <c r="D521" s="8"/>
      <c r="E521" s="8"/>
      <c r="F521" s="8"/>
      <c r="G521" s="8"/>
    </row>
    <row r="522" spans="1:7" x14ac:dyDescent="0.2">
      <c r="A522" s="8"/>
      <c r="B522" s="8"/>
      <c r="C522" s="8"/>
      <c r="D522" s="8"/>
      <c r="E522" s="8"/>
      <c r="F522" s="8"/>
      <c r="G522" s="8"/>
    </row>
    <row r="523" spans="1:7" x14ac:dyDescent="0.2">
      <c r="A523" s="8"/>
      <c r="B523" s="8"/>
      <c r="C523" s="8"/>
      <c r="D523" s="8"/>
      <c r="E523" s="8"/>
      <c r="F523" s="8"/>
      <c r="G523" s="8"/>
    </row>
    <row r="524" spans="1:7" x14ac:dyDescent="0.2">
      <c r="A524" s="8"/>
      <c r="B524" s="8"/>
      <c r="C524" s="8"/>
      <c r="D524" s="8"/>
      <c r="E524" s="8"/>
      <c r="F524" s="8"/>
      <c r="G524" s="8"/>
    </row>
    <row r="525" spans="1:7" x14ac:dyDescent="0.2">
      <c r="A525" s="8"/>
      <c r="B525" s="8"/>
      <c r="C525" s="8"/>
      <c r="D525" s="8"/>
      <c r="E525" s="8"/>
      <c r="F525" s="8"/>
      <c r="G525" s="8"/>
    </row>
    <row r="526" spans="1:7" x14ac:dyDescent="0.2">
      <c r="A526" s="8"/>
      <c r="B526" s="8"/>
      <c r="C526" s="8"/>
      <c r="D526" s="8"/>
      <c r="E526" s="8"/>
      <c r="F526" s="8"/>
      <c r="G526" s="8"/>
    </row>
    <row r="527" spans="1:7" x14ac:dyDescent="0.2">
      <c r="A527" s="8"/>
      <c r="B527" s="8"/>
      <c r="C527" s="8"/>
      <c r="D527" s="8"/>
      <c r="E527" s="8"/>
      <c r="F527" s="8"/>
      <c r="G527" s="8"/>
    </row>
    <row r="528" spans="1:7" x14ac:dyDescent="0.2">
      <c r="A528" s="8"/>
      <c r="B528" s="8"/>
      <c r="C528" s="8"/>
      <c r="D528" s="8"/>
      <c r="E528" s="8"/>
      <c r="F528" s="8"/>
      <c r="G528" s="8"/>
    </row>
    <row r="529" spans="1:7" x14ac:dyDescent="0.2">
      <c r="A529" s="8"/>
      <c r="B529" s="8"/>
      <c r="C529" s="8"/>
      <c r="D529" s="8"/>
      <c r="E529" s="8"/>
      <c r="F529" s="8"/>
      <c r="G529" s="8"/>
    </row>
    <row r="530" spans="1:7" x14ac:dyDescent="0.2">
      <c r="A530" s="8"/>
      <c r="B530" s="8"/>
      <c r="C530" s="8"/>
      <c r="D530" s="8"/>
      <c r="E530" s="8"/>
      <c r="F530" s="8"/>
      <c r="G530" s="8"/>
    </row>
    <row r="531" spans="1:7" x14ac:dyDescent="0.2">
      <c r="A531" s="8"/>
      <c r="B531" s="8"/>
      <c r="C531" s="8"/>
      <c r="D531" s="8"/>
      <c r="E531" s="8"/>
      <c r="F531" s="8"/>
      <c r="G531" s="8"/>
    </row>
    <row r="532" spans="1:7" x14ac:dyDescent="0.2">
      <c r="A532" s="8"/>
      <c r="B532" s="8"/>
      <c r="C532" s="8"/>
      <c r="D532" s="8"/>
      <c r="E532" s="8"/>
      <c r="F532" s="8"/>
      <c r="G532" s="8"/>
    </row>
    <row r="533" spans="1:7" x14ac:dyDescent="0.2">
      <c r="A533" s="8"/>
      <c r="B533" s="8"/>
      <c r="C533" s="8"/>
      <c r="D533" s="8"/>
      <c r="E533" s="8"/>
      <c r="F533" s="8"/>
      <c r="G533" s="8"/>
    </row>
    <row r="534" spans="1:7" x14ac:dyDescent="0.2">
      <c r="A534" s="8"/>
      <c r="B534" s="8"/>
      <c r="C534" s="8"/>
      <c r="D534" s="8"/>
      <c r="E534" s="8"/>
      <c r="F534" s="8"/>
      <c r="G534" s="8"/>
    </row>
    <row r="535" spans="1:7" x14ac:dyDescent="0.2">
      <c r="A535" s="8"/>
      <c r="B535" s="8"/>
      <c r="C535" s="8"/>
      <c r="D535" s="8"/>
      <c r="E535" s="8"/>
      <c r="F535" s="8"/>
      <c r="G535" s="8"/>
    </row>
    <row r="536" spans="1:7" x14ac:dyDescent="0.2">
      <c r="A536" s="8"/>
      <c r="B536" s="8"/>
      <c r="C536" s="8"/>
      <c r="D536" s="8"/>
      <c r="E536" s="8"/>
      <c r="F536" s="8"/>
      <c r="G536" s="8"/>
    </row>
    <row r="537" spans="1:7" x14ac:dyDescent="0.2">
      <c r="A537" s="8"/>
      <c r="B537" s="8"/>
      <c r="C537" s="8"/>
      <c r="D537" s="8"/>
      <c r="E537" s="8"/>
      <c r="F537" s="8"/>
      <c r="G537" s="8"/>
    </row>
    <row r="538" spans="1:7" x14ac:dyDescent="0.2">
      <c r="A538" s="8"/>
      <c r="B538" s="8"/>
      <c r="C538" s="8"/>
      <c r="D538" s="8"/>
      <c r="E538" s="8"/>
      <c r="F538" s="8"/>
      <c r="G538" s="8"/>
    </row>
    <row r="539" spans="1:7" x14ac:dyDescent="0.2">
      <c r="A539" s="8"/>
      <c r="B539" s="8"/>
      <c r="C539" s="8"/>
      <c r="D539" s="8"/>
      <c r="E539" s="8"/>
      <c r="F539" s="8"/>
      <c r="G539" s="8"/>
    </row>
    <row r="540" spans="1:7" x14ac:dyDescent="0.2">
      <c r="A540" s="8"/>
      <c r="B540" s="8"/>
      <c r="C540" s="8"/>
      <c r="D540" s="8"/>
      <c r="E540" s="8"/>
      <c r="F540" s="8"/>
      <c r="G540" s="8"/>
    </row>
    <row r="541" spans="1:7" x14ac:dyDescent="0.2">
      <c r="A541" s="8"/>
      <c r="B541" s="8"/>
      <c r="C541" s="8"/>
      <c r="D541" s="8"/>
      <c r="E541" s="8"/>
      <c r="F541" s="8"/>
      <c r="G541" s="8"/>
    </row>
    <row r="542" spans="1:7" x14ac:dyDescent="0.2">
      <c r="A542" s="8"/>
      <c r="B542" s="8"/>
      <c r="C542" s="8"/>
      <c r="D542" s="8"/>
      <c r="E542" s="8"/>
      <c r="F542" s="8"/>
      <c r="G542" s="8"/>
    </row>
    <row r="543" spans="1:7" x14ac:dyDescent="0.2">
      <c r="A543" s="8"/>
      <c r="B543" s="8"/>
      <c r="C543" s="8"/>
      <c r="D543" s="8"/>
      <c r="E543" s="8"/>
      <c r="F543" s="8"/>
      <c r="G543" s="8"/>
    </row>
    <row r="544" spans="1:7" x14ac:dyDescent="0.2">
      <c r="A544" s="8"/>
      <c r="B544" s="8"/>
      <c r="C544" s="8"/>
      <c r="D544" s="8"/>
      <c r="E544" s="8"/>
      <c r="F544" s="8"/>
      <c r="G544" s="8"/>
    </row>
    <row r="545" spans="1:7" x14ac:dyDescent="0.2">
      <c r="A545" s="8"/>
      <c r="B545" s="8"/>
      <c r="C545" s="8"/>
      <c r="D545" s="8"/>
      <c r="E545" s="8"/>
      <c r="F545" s="8"/>
      <c r="G545" s="8"/>
    </row>
    <row r="546" spans="1:7" x14ac:dyDescent="0.2">
      <c r="A546" s="8"/>
      <c r="B546" s="8"/>
      <c r="C546" s="8"/>
      <c r="D546" s="8"/>
      <c r="E546" s="8"/>
      <c r="F546" s="8"/>
      <c r="G546" s="8"/>
    </row>
    <row r="547" spans="1:7" x14ac:dyDescent="0.2">
      <c r="A547" s="8"/>
      <c r="B547" s="8"/>
      <c r="C547" s="8"/>
      <c r="D547" s="8"/>
      <c r="E547" s="8"/>
      <c r="F547" s="8"/>
      <c r="G547" s="8"/>
    </row>
    <row r="548" spans="1:7" x14ac:dyDescent="0.2">
      <c r="A548" s="8"/>
      <c r="B548" s="8"/>
      <c r="C548" s="8"/>
      <c r="D548" s="8"/>
      <c r="E548" s="8"/>
      <c r="F548" s="8"/>
      <c r="G548" s="8"/>
    </row>
    <row r="549" spans="1:7" x14ac:dyDescent="0.2">
      <c r="A549" s="8"/>
      <c r="B549" s="8"/>
      <c r="C549" s="8"/>
      <c r="D549" s="8"/>
      <c r="E549" s="8"/>
      <c r="F549" s="8"/>
      <c r="G549" s="8"/>
    </row>
    <row r="550" spans="1:7" x14ac:dyDescent="0.2">
      <c r="A550" s="8"/>
      <c r="B550" s="8"/>
      <c r="C550" s="8"/>
      <c r="D550" s="8"/>
      <c r="E550" s="8"/>
      <c r="F550" s="8"/>
      <c r="G550" s="8"/>
    </row>
    <row r="551" spans="1:7" x14ac:dyDescent="0.2">
      <c r="A551" s="8"/>
      <c r="B551" s="8"/>
      <c r="C551" s="8"/>
      <c r="D551" s="8"/>
      <c r="E551" s="8"/>
      <c r="F551" s="8"/>
      <c r="G551" s="8"/>
    </row>
    <row r="552" spans="1:7" x14ac:dyDescent="0.2">
      <c r="A552" s="8"/>
      <c r="B552" s="8"/>
      <c r="C552" s="8"/>
      <c r="D552" s="8"/>
      <c r="E552" s="8"/>
      <c r="F552" s="8"/>
      <c r="G552" s="8"/>
    </row>
    <row r="553" spans="1:7" x14ac:dyDescent="0.2">
      <c r="A553" s="8"/>
      <c r="B553" s="8"/>
      <c r="C553" s="8"/>
      <c r="D553" s="8"/>
      <c r="E553" s="8"/>
      <c r="F553" s="8"/>
      <c r="G553" s="8"/>
    </row>
    <row r="554" spans="1:7" x14ac:dyDescent="0.2">
      <c r="A554" s="8"/>
      <c r="B554" s="8"/>
      <c r="C554" s="8"/>
      <c r="D554" s="8"/>
      <c r="E554" s="8"/>
      <c r="F554" s="8"/>
      <c r="G554" s="8"/>
    </row>
    <row r="555" spans="1:7" x14ac:dyDescent="0.2">
      <c r="A555" s="8"/>
      <c r="B555" s="8"/>
      <c r="C555" s="8"/>
      <c r="D555" s="8"/>
      <c r="E555" s="8"/>
      <c r="F555" s="8"/>
      <c r="G555" s="8"/>
    </row>
    <row r="556" spans="1:7" x14ac:dyDescent="0.2">
      <c r="A556" s="8"/>
      <c r="B556" s="8"/>
      <c r="C556" s="8"/>
      <c r="D556" s="8"/>
      <c r="E556" s="8"/>
      <c r="F556" s="8"/>
      <c r="G556" s="8"/>
    </row>
    <row r="557" spans="1:7" x14ac:dyDescent="0.2">
      <c r="A557" s="8"/>
      <c r="B557" s="8"/>
      <c r="C557" s="8"/>
      <c r="D557" s="8"/>
      <c r="E557" s="8"/>
      <c r="F557" s="8"/>
      <c r="G557" s="8"/>
    </row>
    <row r="558" spans="1:7" x14ac:dyDescent="0.2">
      <c r="A558" s="8"/>
      <c r="B558" s="8"/>
      <c r="C558" s="8"/>
      <c r="D558" s="8"/>
      <c r="E558" s="8"/>
      <c r="F558" s="8"/>
      <c r="G558" s="8"/>
    </row>
    <row r="559" spans="1:7" x14ac:dyDescent="0.2">
      <c r="A559" s="8"/>
      <c r="B559" s="8"/>
      <c r="C559" s="8"/>
      <c r="D559" s="8"/>
      <c r="E559" s="8"/>
      <c r="F559" s="8"/>
      <c r="G559" s="8"/>
    </row>
    <row r="560" spans="1:7" x14ac:dyDescent="0.2">
      <c r="A560" s="8"/>
      <c r="B560" s="8"/>
      <c r="C560" s="8"/>
      <c r="D560" s="8"/>
      <c r="E560" s="8"/>
      <c r="F560" s="8"/>
      <c r="G560" s="8"/>
    </row>
    <row r="561" spans="1:7" x14ac:dyDescent="0.2">
      <c r="A561" s="8"/>
      <c r="B561" s="8"/>
      <c r="C561" s="8"/>
      <c r="D561" s="8"/>
      <c r="E561" s="8"/>
      <c r="F561" s="8"/>
      <c r="G561" s="8"/>
    </row>
    <row r="562" spans="1:7" x14ac:dyDescent="0.2">
      <c r="A562" s="8"/>
      <c r="B562" s="8"/>
      <c r="C562" s="8"/>
      <c r="D562" s="8"/>
      <c r="E562" s="8"/>
      <c r="F562" s="8"/>
      <c r="G562" s="8"/>
    </row>
    <row r="563" spans="1:7" x14ac:dyDescent="0.2">
      <c r="A563" s="8"/>
      <c r="B563" s="8"/>
      <c r="C563" s="8"/>
      <c r="D563" s="8"/>
      <c r="E563" s="8"/>
      <c r="F563" s="8"/>
      <c r="G563" s="8"/>
    </row>
    <row r="564" spans="1:7" x14ac:dyDescent="0.2">
      <c r="A564" s="8"/>
      <c r="B564" s="8"/>
      <c r="C564" s="8"/>
      <c r="D564" s="8"/>
      <c r="E564" s="8"/>
      <c r="F564" s="8"/>
      <c r="G564" s="8"/>
    </row>
    <row r="565" spans="1:7" x14ac:dyDescent="0.2">
      <c r="A565" s="8"/>
      <c r="B565" s="8"/>
      <c r="C565" s="8"/>
      <c r="D565" s="8"/>
      <c r="E565" s="8"/>
      <c r="F565" s="8"/>
      <c r="G565" s="8"/>
    </row>
    <row r="566" spans="1:7" x14ac:dyDescent="0.2">
      <c r="A566" s="8"/>
      <c r="B566" s="8"/>
      <c r="C566" s="8"/>
      <c r="D566" s="8"/>
      <c r="E566" s="8"/>
      <c r="F566" s="8"/>
      <c r="G566" s="8"/>
    </row>
    <row r="567" spans="1:7" x14ac:dyDescent="0.2">
      <c r="A567" s="8"/>
      <c r="B567" s="8"/>
      <c r="C567" s="8"/>
      <c r="D567" s="8"/>
      <c r="E567" s="8"/>
      <c r="F567" s="8"/>
      <c r="G567" s="8"/>
    </row>
    <row r="568" spans="1:7" x14ac:dyDescent="0.2">
      <c r="A568" s="8"/>
      <c r="B568" s="8"/>
      <c r="C568" s="8"/>
      <c r="D568" s="8"/>
      <c r="E568" s="8"/>
      <c r="F568" s="8"/>
      <c r="G568" s="8"/>
    </row>
    <row r="569" spans="1:7" x14ac:dyDescent="0.2">
      <c r="A569" s="8"/>
      <c r="B569" s="8"/>
      <c r="C569" s="8"/>
      <c r="D569" s="8"/>
      <c r="E569" s="8"/>
      <c r="F569" s="8"/>
      <c r="G569" s="8"/>
    </row>
    <row r="570" spans="1:7" x14ac:dyDescent="0.2">
      <c r="A570" s="8"/>
      <c r="B570" s="8"/>
      <c r="C570" s="8"/>
      <c r="D570" s="8"/>
      <c r="E570" s="8"/>
      <c r="F570" s="8"/>
      <c r="G570" s="8"/>
    </row>
    <row r="571" spans="1:7" x14ac:dyDescent="0.2">
      <c r="A571" s="8"/>
      <c r="B571" s="8"/>
      <c r="C571" s="8"/>
      <c r="D571" s="8"/>
      <c r="E571" s="8"/>
      <c r="F571" s="8"/>
      <c r="G571" s="8"/>
    </row>
    <row r="572" spans="1:7" x14ac:dyDescent="0.2">
      <c r="A572" s="8"/>
      <c r="B572" s="8"/>
      <c r="C572" s="8"/>
      <c r="D572" s="8"/>
      <c r="E572" s="8"/>
      <c r="F572" s="8"/>
      <c r="G572" s="8"/>
    </row>
    <row r="573" spans="1:7" x14ac:dyDescent="0.2">
      <c r="A573" s="8"/>
      <c r="B573" s="8"/>
      <c r="C573" s="8"/>
      <c r="D573" s="8"/>
      <c r="E573" s="8"/>
      <c r="F573" s="8"/>
      <c r="G573" s="8"/>
    </row>
    <row r="574" spans="1:7" x14ac:dyDescent="0.2">
      <c r="A574" s="8"/>
      <c r="B574" s="8"/>
      <c r="C574" s="8"/>
      <c r="D574" s="8"/>
      <c r="E574" s="8"/>
      <c r="F574" s="8"/>
      <c r="G574" s="8"/>
    </row>
    <row r="575" spans="1:7" x14ac:dyDescent="0.2">
      <c r="A575" s="8"/>
      <c r="B575" s="8"/>
      <c r="C575" s="8"/>
      <c r="D575" s="8"/>
      <c r="E575" s="8"/>
      <c r="F575" s="8"/>
      <c r="G575" s="8"/>
    </row>
    <row r="576" spans="1:7" x14ac:dyDescent="0.2">
      <c r="A576" s="8"/>
      <c r="B576" s="8"/>
      <c r="C576" s="8"/>
      <c r="D576" s="8"/>
      <c r="E576" s="8"/>
      <c r="F576" s="8"/>
      <c r="G576" s="8"/>
    </row>
    <row r="577" spans="1:7" x14ac:dyDescent="0.2">
      <c r="A577" s="8"/>
      <c r="B577" s="8"/>
      <c r="C577" s="8"/>
      <c r="D577" s="8"/>
      <c r="E577" s="8"/>
      <c r="F577" s="8"/>
      <c r="G577" s="8"/>
    </row>
    <row r="578" spans="1:7" x14ac:dyDescent="0.2">
      <c r="A578" s="8"/>
      <c r="B578" s="8"/>
      <c r="C578" s="8"/>
      <c r="D578" s="8"/>
      <c r="E578" s="8"/>
      <c r="F578" s="8"/>
      <c r="G578" s="8"/>
    </row>
    <row r="579" spans="1:7" x14ac:dyDescent="0.2">
      <c r="A579" s="8"/>
      <c r="B579" s="8"/>
      <c r="C579" s="8"/>
      <c r="D579" s="8"/>
      <c r="E579" s="8"/>
      <c r="F579" s="8"/>
      <c r="G579" s="8"/>
    </row>
    <row r="580" spans="1:7" x14ac:dyDescent="0.2">
      <c r="A580" s="8"/>
      <c r="B580" s="8"/>
      <c r="C580" s="8"/>
      <c r="D580" s="8"/>
      <c r="E580" s="8"/>
      <c r="F580" s="8"/>
      <c r="G580" s="8"/>
    </row>
    <row r="581" spans="1:7" x14ac:dyDescent="0.2">
      <c r="A581" s="8"/>
      <c r="B581" s="8"/>
      <c r="C581" s="8"/>
      <c r="D581" s="8"/>
      <c r="E581" s="8"/>
      <c r="F581" s="8"/>
      <c r="G581" s="8"/>
    </row>
    <row r="582" spans="1:7" x14ac:dyDescent="0.2">
      <c r="A582" s="8"/>
      <c r="B582" s="8"/>
      <c r="C582" s="8"/>
      <c r="D582" s="8"/>
      <c r="E582" s="8"/>
      <c r="F582" s="8"/>
      <c r="G582" s="8"/>
    </row>
    <row r="583" spans="1:7" x14ac:dyDescent="0.2">
      <c r="A583" s="8"/>
      <c r="B583" s="8"/>
      <c r="C583" s="8"/>
      <c r="D583" s="8"/>
      <c r="E583" s="8"/>
      <c r="F583" s="8"/>
      <c r="G583" s="8"/>
    </row>
    <row r="584" spans="1:7" x14ac:dyDescent="0.2">
      <c r="A584" s="8"/>
      <c r="B584" s="8"/>
      <c r="C584" s="8"/>
      <c r="D584" s="8"/>
      <c r="E584" s="8"/>
      <c r="F584" s="8"/>
      <c r="G584" s="8"/>
    </row>
    <row r="585" spans="1:7" x14ac:dyDescent="0.2">
      <c r="A585" s="8"/>
      <c r="B585" s="8"/>
      <c r="C585" s="8"/>
      <c r="D585" s="8"/>
      <c r="E585" s="8"/>
      <c r="F585" s="8"/>
      <c r="G585" s="8"/>
    </row>
    <row r="586" spans="1:7" x14ac:dyDescent="0.2">
      <c r="A586" s="8"/>
      <c r="B586" s="8"/>
      <c r="C586" s="8"/>
      <c r="D586" s="8"/>
      <c r="E586" s="8"/>
      <c r="F586" s="8"/>
      <c r="G586" s="8"/>
    </row>
    <row r="587" spans="1:7" x14ac:dyDescent="0.2">
      <c r="A587" s="8"/>
      <c r="B587" s="8"/>
      <c r="C587" s="8"/>
      <c r="D587" s="8"/>
      <c r="E587" s="8"/>
      <c r="F587" s="8"/>
      <c r="G587" s="8"/>
    </row>
    <row r="588" spans="1:7" x14ac:dyDescent="0.2">
      <c r="A588" s="8"/>
      <c r="B588" s="8"/>
      <c r="C588" s="8"/>
      <c r="D588" s="8"/>
      <c r="E588" s="8"/>
      <c r="F588" s="8"/>
      <c r="G588" s="8"/>
    </row>
    <row r="589" spans="1:7" x14ac:dyDescent="0.2">
      <c r="A589" s="8"/>
      <c r="B589" s="8"/>
      <c r="C589" s="8"/>
      <c r="D589" s="8"/>
      <c r="E589" s="8"/>
      <c r="F589" s="8"/>
      <c r="G589" s="8"/>
    </row>
    <row r="590" spans="1:7" x14ac:dyDescent="0.2">
      <c r="A590" s="8"/>
      <c r="B590" s="8"/>
      <c r="C590" s="8"/>
      <c r="D590" s="8"/>
      <c r="E590" s="8"/>
      <c r="F590" s="8"/>
      <c r="G590" s="8"/>
    </row>
    <row r="591" spans="1:7" x14ac:dyDescent="0.2">
      <c r="A591" s="8"/>
      <c r="B591" s="8"/>
      <c r="C591" s="8"/>
      <c r="D591" s="8"/>
      <c r="E591" s="8"/>
      <c r="F591" s="8"/>
      <c r="G591" s="8"/>
    </row>
    <row r="592" spans="1:7" x14ac:dyDescent="0.2">
      <c r="A592" s="8"/>
      <c r="B592" s="8"/>
      <c r="C592" s="8"/>
      <c r="D592" s="8"/>
      <c r="E592" s="8"/>
      <c r="F592" s="8"/>
      <c r="G592" s="8"/>
    </row>
    <row r="593" spans="1:7" x14ac:dyDescent="0.2">
      <c r="A593" s="8"/>
      <c r="B593" s="8"/>
      <c r="C593" s="8"/>
      <c r="D593" s="8"/>
      <c r="E593" s="8"/>
      <c r="F593" s="8"/>
      <c r="G593" s="8"/>
    </row>
    <row r="594" spans="1:7" x14ac:dyDescent="0.2">
      <c r="A594" s="8"/>
      <c r="B594" s="8"/>
      <c r="C594" s="8"/>
      <c r="D594" s="8"/>
      <c r="E594" s="8"/>
      <c r="F594" s="8"/>
      <c r="G594" s="8"/>
    </row>
    <row r="595" spans="1:7" x14ac:dyDescent="0.2">
      <c r="A595" s="8"/>
      <c r="B595" s="8"/>
      <c r="C595" s="8"/>
      <c r="D595" s="8"/>
      <c r="E595" s="8"/>
      <c r="F595" s="8"/>
      <c r="G595" s="8"/>
    </row>
    <row r="596" spans="1:7" x14ac:dyDescent="0.2">
      <c r="A596" s="8"/>
      <c r="B596" s="8"/>
      <c r="C596" s="8"/>
      <c r="D596" s="8"/>
      <c r="E596" s="8"/>
      <c r="F596" s="8"/>
      <c r="G596" s="8"/>
    </row>
    <row r="597" spans="1:7" x14ac:dyDescent="0.2">
      <c r="A597" s="8"/>
      <c r="B597" s="8"/>
      <c r="C597" s="8"/>
      <c r="D597" s="8"/>
      <c r="E597" s="8"/>
      <c r="F597" s="8"/>
      <c r="G597" s="8"/>
    </row>
    <row r="598" spans="1:7" x14ac:dyDescent="0.2">
      <c r="A598" s="8"/>
      <c r="B598" s="8"/>
      <c r="C598" s="8"/>
      <c r="D598" s="8"/>
      <c r="E598" s="8"/>
      <c r="F598" s="8"/>
      <c r="G598" s="8"/>
    </row>
    <row r="599" spans="1:7" x14ac:dyDescent="0.2">
      <c r="A599" s="8"/>
      <c r="B599" s="8"/>
      <c r="C599" s="8"/>
      <c r="D599" s="8"/>
      <c r="E599" s="8"/>
      <c r="F599" s="8"/>
      <c r="G599" s="8"/>
    </row>
    <row r="600" spans="1:7" x14ac:dyDescent="0.2">
      <c r="A600" s="8"/>
      <c r="B600" s="8"/>
      <c r="C600" s="8"/>
      <c r="D600" s="8"/>
      <c r="E600" s="8"/>
      <c r="F600" s="8"/>
      <c r="G600" s="8"/>
    </row>
    <row r="601" spans="1:7" x14ac:dyDescent="0.2">
      <c r="A601" s="8"/>
      <c r="B601" s="8"/>
      <c r="C601" s="8"/>
      <c r="D601" s="8"/>
      <c r="E601" s="8"/>
      <c r="F601" s="8"/>
      <c r="G601" s="8"/>
    </row>
    <row r="602" spans="1:7" x14ac:dyDescent="0.2">
      <c r="A602" s="8"/>
      <c r="B602" s="8"/>
      <c r="C602" s="8"/>
      <c r="D602" s="8"/>
      <c r="E602" s="8"/>
      <c r="F602" s="8"/>
      <c r="G602" s="8"/>
    </row>
    <row r="603" spans="1:7" x14ac:dyDescent="0.2">
      <c r="A603" s="8"/>
      <c r="B603" s="8"/>
      <c r="C603" s="8"/>
      <c r="D603" s="8"/>
      <c r="E603" s="8"/>
      <c r="F603" s="8"/>
      <c r="G603" s="8"/>
    </row>
    <row r="604" spans="1:7" x14ac:dyDescent="0.2">
      <c r="A604" s="8"/>
      <c r="B604" s="8"/>
      <c r="C604" s="8"/>
      <c r="D604" s="8"/>
      <c r="E604" s="8"/>
      <c r="F604" s="8"/>
      <c r="G604" s="8"/>
    </row>
    <row r="605" spans="1:7" x14ac:dyDescent="0.2">
      <c r="A605" s="8"/>
      <c r="B605" s="8"/>
      <c r="C605" s="8"/>
      <c r="D605" s="8"/>
      <c r="E605" s="8"/>
      <c r="F605" s="8"/>
      <c r="G605" s="8"/>
    </row>
    <row r="606" spans="1:7" x14ac:dyDescent="0.2">
      <c r="A606" s="8"/>
      <c r="B606" s="8"/>
      <c r="C606" s="8"/>
      <c r="D606" s="8"/>
      <c r="E606" s="8"/>
      <c r="F606" s="8"/>
      <c r="G606" s="8"/>
    </row>
    <row r="607" spans="1:7" x14ac:dyDescent="0.2">
      <c r="A607" s="8"/>
      <c r="B607" s="8"/>
      <c r="C607" s="8"/>
      <c r="D607" s="8"/>
      <c r="E607" s="8"/>
      <c r="F607" s="8"/>
      <c r="G607" s="8"/>
    </row>
    <row r="608" spans="1:7" x14ac:dyDescent="0.2">
      <c r="A608" s="8"/>
      <c r="B608" s="8"/>
      <c r="C608" s="8"/>
      <c r="D608" s="8"/>
      <c r="E608" s="8"/>
      <c r="F608" s="8"/>
      <c r="G608" s="8"/>
    </row>
    <row r="609" spans="1:7" x14ac:dyDescent="0.2">
      <c r="A609" s="8"/>
      <c r="B609" s="8"/>
      <c r="C609" s="8"/>
      <c r="D609" s="8"/>
      <c r="E609" s="8"/>
      <c r="F609" s="8"/>
      <c r="G609" s="8"/>
    </row>
    <row r="610" spans="1:7" x14ac:dyDescent="0.2">
      <c r="A610" s="8"/>
      <c r="B610" s="8"/>
      <c r="C610" s="8"/>
      <c r="D610" s="8"/>
      <c r="E610" s="8"/>
      <c r="F610" s="8"/>
      <c r="G610" s="8"/>
    </row>
    <row r="611" spans="1:7" x14ac:dyDescent="0.2">
      <c r="A611" s="8"/>
      <c r="B611" s="8"/>
      <c r="C611" s="8"/>
      <c r="D611" s="8"/>
      <c r="E611" s="8"/>
      <c r="F611" s="8"/>
      <c r="G611" s="8"/>
    </row>
    <row r="612" spans="1:7" x14ac:dyDescent="0.2">
      <c r="A612" s="8"/>
      <c r="B612" s="8"/>
      <c r="C612" s="8"/>
      <c r="D612" s="8"/>
      <c r="E612" s="8"/>
      <c r="F612" s="8"/>
      <c r="G612" s="8"/>
    </row>
    <row r="613" spans="1:7" x14ac:dyDescent="0.2">
      <c r="A613" s="8"/>
      <c r="B613" s="8"/>
      <c r="C613" s="8"/>
      <c r="D613" s="8"/>
      <c r="E613" s="8"/>
      <c r="F613" s="8"/>
      <c r="G613" s="8"/>
    </row>
    <row r="614" spans="1:7" x14ac:dyDescent="0.2">
      <c r="A614" s="8"/>
      <c r="B614" s="8"/>
      <c r="C614" s="8"/>
      <c r="D614" s="8"/>
      <c r="E614" s="8"/>
      <c r="F614" s="8"/>
      <c r="G614" s="8"/>
    </row>
    <row r="615" spans="1:7" x14ac:dyDescent="0.2">
      <c r="A615" s="8"/>
      <c r="B615" s="8"/>
      <c r="C615" s="8"/>
      <c r="D615" s="8"/>
      <c r="E615" s="8"/>
      <c r="F615" s="8"/>
      <c r="G615" s="8"/>
    </row>
    <row r="616" spans="1:7" x14ac:dyDescent="0.2">
      <c r="A616" s="8"/>
      <c r="B616" s="8"/>
      <c r="C616" s="8"/>
      <c r="D616" s="8"/>
      <c r="E616" s="8"/>
      <c r="F616" s="8"/>
      <c r="G616" s="8"/>
    </row>
    <row r="617" spans="1:7" x14ac:dyDescent="0.2">
      <c r="A617" s="8"/>
      <c r="B617" s="8"/>
      <c r="C617" s="8"/>
      <c r="D617" s="8"/>
      <c r="E617" s="8"/>
      <c r="F617" s="8"/>
      <c r="G617" s="8"/>
    </row>
    <row r="618" spans="1:7" x14ac:dyDescent="0.2">
      <c r="A618" s="8"/>
      <c r="B618" s="8"/>
      <c r="C618" s="8"/>
      <c r="D618" s="8"/>
      <c r="E618" s="8"/>
      <c r="F618" s="8"/>
      <c r="G618" s="8"/>
    </row>
    <row r="619" spans="1:7" x14ac:dyDescent="0.2">
      <c r="A619" s="8"/>
      <c r="B619" s="8"/>
      <c r="C619" s="8"/>
      <c r="D619" s="8"/>
      <c r="E619" s="8"/>
      <c r="F619" s="8"/>
      <c r="G619" s="8"/>
    </row>
    <row r="620" spans="1:7" x14ac:dyDescent="0.2">
      <c r="A620" s="8"/>
      <c r="B620" s="8"/>
      <c r="C620" s="8"/>
      <c r="D620" s="8"/>
      <c r="E620" s="8"/>
      <c r="F620" s="8"/>
      <c r="G620" s="8"/>
    </row>
    <row r="621" spans="1:7" x14ac:dyDescent="0.2">
      <c r="A621" s="8"/>
      <c r="B621" s="8"/>
      <c r="C621" s="8"/>
      <c r="D621" s="8"/>
      <c r="E621" s="8"/>
      <c r="F621" s="8"/>
      <c r="G621" s="8"/>
    </row>
    <row r="622" spans="1:7" x14ac:dyDescent="0.2">
      <c r="A622" s="8"/>
      <c r="B622" s="8"/>
      <c r="C622" s="8"/>
      <c r="D622" s="8"/>
      <c r="E622" s="8"/>
      <c r="F622" s="8"/>
      <c r="G622" s="8"/>
    </row>
    <row r="623" spans="1:7" x14ac:dyDescent="0.2">
      <c r="A623" s="8"/>
      <c r="B623" s="8"/>
      <c r="C623" s="8"/>
      <c r="D623" s="8"/>
      <c r="E623" s="8"/>
      <c r="F623" s="8"/>
      <c r="G623" s="8"/>
    </row>
    <row r="624" spans="1:7" x14ac:dyDescent="0.2">
      <c r="A624" s="8"/>
      <c r="B624" s="8"/>
      <c r="C624" s="8"/>
      <c r="D624" s="8"/>
      <c r="E624" s="8"/>
      <c r="F624" s="8"/>
      <c r="G624" s="8"/>
    </row>
    <row r="625" spans="1:7" x14ac:dyDescent="0.2">
      <c r="A625" s="8"/>
      <c r="B625" s="8"/>
      <c r="C625" s="8"/>
      <c r="D625" s="8"/>
      <c r="E625" s="8"/>
      <c r="F625" s="8"/>
      <c r="G625" s="8"/>
    </row>
    <row r="626" spans="1:7" x14ac:dyDescent="0.2">
      <c r="A626" s="8"/>
      <c r="B626" s="8"/>
      <c r="C626" s="8"/>
      <c r="D626" s="8"/>
      <c r="E626" s="8"/>
      <c r="F626" s="8"/>
      <c r="G626" s="8"/>
    </row>
    <row r="627" spans="1:7" x14ac:dyDescent="0.2">
      <c r="A627" s="8"/>
      <c r="B627" s="8"/>
      <c r="C627" s="8"/>
      <c r="D627" s="8"/>
      <c r="E627" s="8"/>
      <c r="F627" s="8"/>
      <c r="G627" s="8"/>
    </row>
    <row r="628" spans="1:7" x14ac:dyDescent="0.2">
      <c r="A628" s="8"/>
      <c r="B628" s="8"/>
      <c r="C628" s="8"/>
      <c r="D628" s="8"/>
      <c r="E628" s="8"/>
      <c r="F628" s="8"/>
      <c r="G628" s="8"/>
    </row>
    <row r="629" spans="1:7" x14ac:dyDescent="0.2">
      <c r="A629" s="8"/>
      <c r="B629" s="8"/>
      <c r="C629" s="8"/>
      <c r="D629" s="8"/>
      <c r="E629" s="8"/>
      <c r="F629" s="8"/>
      <c r="G629" s="8"/>
    </row>
    <row r="630" spans="1:7" x14ac:dyDescent="0.2">
      <c r="A630" s="8"/>
      <c r="B630" s="8"/>
      <c r="C630" s="8"/>
      <c r="D630" s="8"/>
      <c r="E630" s="8"/>
      <c r="F630" s="8"/>
      <c r="G630" s="8"/>
    </row>
    <row r="631" spans="1:7" x14ac:dyDescent="0.2">
      <c r="A631" s="8"/>
      <c r="B631" s="8"/>
      <c r="C631" s="8"/>
      <c r="D631" s="8"/>
      <c r="E631" s="8"/>
      <c r="F631" s="8"/>
      <c r="G631" s="8"/>
    </row>
    <row r="632" spans="1:7" x14ac:dyDescent="0.2">
      <c r="A632" s="8"/>
      <c r="B632" s="8"/>
      <c r="C632" s="8"/>
      <c r="D632" s="8"/>
      <c r="E632" s="8"/>
      <c r="F632" s="8"/>
      <c r="G632" s="8"/>
    </row>
    <row r="633" spans="1:7" x14ac:dyDescent="0.2">
      <c r="A633" s="8"/>
      <c r="B633" s="8"/>
      <c r="C633" s="8"/>
      <c r="D633" s="8"/>
      <c r="E633" s="8"/>
      <c r="F633" s="8"/>
      <c r="G633" s="8"/>
    </row>
    <row r="634" spans="1:7" x14ac:dyDescent="0.2">
      <c r="A634" s="8"/>
      <c r="B634" s="8"/>
      <c r="C634" s="8"/>
      <c r="D634" s="8"/>
      <c r="E634" s="8"/>
      <c r="F634" s="8"/>
      <c r="G634" s="8"/>
    </row>
    <row r="635" spans="1:7" x14ac:dyDescent="0.2">
      <c r="A635" s="8"/>
      <c r="B635" s="8"/>
      <c r="C635" s="8"/>
      <c r="D635" s="8"/>
      <c r="E635" s="8"/>
      <c r="F635" s="8"/>
      <c r="G635" s="8"/>
    </row>
    <row r="636" spans="1:7" x14ac:dyDescent="0.2">
      <c r="A636" s="8"/>
      <c r="B636" s="8"/>
      <c r="C636" s="8"/>
      <c r="D636" s="8"/>
      <c r="E636" s="8"/>
      <c r="F636" s="8"/>
      <c r="G636" s="8"/>
    </row>
    <row r="637" spans="1:7" x14ac:dyDescent="0.2">
      <c r="A637" s="8"/>
      <c r="B637" s="8"/>
      <c r="C637" s="8"/>
      <c r="D637" s="8"/>
      <c r="E637" s="8"/>
      <c r="F637" s="8"/>
      <c r="G637" s="8"/>
    </row>
    <row r="638" spans="1:7" x14ac:dyDescent="0.2">
      <c r="A638" s="8"/>
      <c r="B638" s="8"/>
      <c r="C638" s="8"/>
      <c r="D638" s="8"/>
      <c r="E638" s="8"/>
      <c r="F638" s="8"/>
      <c r="G638" s="8"/>
    </row>
    <row r="639" spans="1:7" x14ac:dyDescent="0.2">
      <c r="A639" s="8"/>
      <c r="B639" s="8"/>
      <c r="C639" s="8"/>
      <c r="D639" s="8"/>
      <c r="E639" s="8"/>
      <c r="F639" s="8"/>
      <c r="G639" s="8"/>
    </row>
    <row r="640" spans="1:7" x14ac:dyDescent="0.2">
      <c r="A640" s="8"/>
      <c r="B640" s="8"/>
      <c r="C640" s="8"/>
      <c r="D640" s="8"/>
      <c r="E640" s="8"/>
      <c r="F640" s="8"/>
      <c r="G640" s="8"/>
    </row>
    <row r="641" spans="1:7" x14ac:dyDescent="0.2">
      <c r="A641" s="8"/>
      <c r="B641" s="8"/>
      <c r="C641" s="8"/>
      <c r="D641" s="8"/>
      <c r="E641" s="8"/>
      <c r="F641" s="8"/>
      <c r="G641" s="8"/>
    </row>
    <row r="642" spans="1:7" x14ac:dyDescent="0.2">
      <c r="A642" s="8"/>
      <c r="B642" s="8"/>
      <c r="C642" s="8"/>
      <c r="D642" s="8"/>
      <c r="E642" s="8"/>
      <c r="F642" s="8"/>
      <c r="G642" s="8"/>
    </row>
    <row r="643" spans="1:7" x14ac:dyDescent="0.2">
      <c r="A643" s="8"/>
      <c r="B643" s="8"/>
      <c r="C643" s="8"/>
      <c r="D643" s="8"/>
      <c r="E643" s="8"/>
      <c r="F643" s="8"/>
      <c r="G643" s="8"/>
    </row>
    <row r="644" spans="1:7" x14ac:dyDescent="0.2">
      <c r="A644" s="8"/>
      <c r="B644" s="8"/>
      <c r="C644" s="8"/>
      <c r="D644" s="8"/>
      <c r="E644" s="8"/>
      <c r="F644" s="8"/>
      <c r="G644" s="8"/>
    </row>
    <row r="645" spans="1:7" x14ac:dyDescent="0.2">
      <c r="A645" s="8"/>
      <c r="B645" s="8"/>
      <c r="C645" s="8"/>
      <c r="D645" s="8"/>
      <c r="E645" s="8"/>
      <c r="F645" s="8"/>
      <c r="G645" s="8"/>
    </row>
    <row r="646" spans="1:7" x14ac:dyDescent="0.2">
      <c r="A646" s="8"/>
      <c r="B646" s="8"/>
      <c r="C646" s="8"/>
      <c r="D646" s="8"/>
      <c r="E646" s="8"/>
      <c r="F646" s="8"/>
      <c r="G646" s="8"/>
    </row>
    <row r="647" spans="1:7" x14ac:dyDescent="0.2">
      <c r="A647" s="8"/>
      <c r="B647" s="8"/>
      <c r="C647" s="8"/>
      <c r="D647" s="8"/>
      <c r="E647" s="8"/>
      <c r="F647" s="8"/>
      <c r="G647" s="8"/>
    </row>
    <row r="648" spans="1:7" x14ac:dyDescent="0.2">
      <c r="A648" s="8"/>
      <c r="B648" s="8"/>
      <c r="C648" s="8"/>
      <c r="D648" s="8"/>
      <c r="E648" s="8"/>
      <c r="F648" s="8"/>
      <c r="G648" s="8"/>
    </row>
    <row r="649" spans="1:7" x14ac:dyDescent="0.2">
      <c r="A649" s="8"/>
      <c r="B649" s="8"/>
      <c r="C649" s="8"/>
      <c r="D649" s="8"/>
      <c r="E649" s="8"/>
      <c r="F649" s="8"/>
      <c r="G649" s="8"/>
    </row>
    <row r="650" spans="1:7" x14ac:dyDescent="0.2">
      <c r="A650" s="8"/>
      <c r="B650" s="8"/>
      <c r="C650" s="8"/>
      <c r="D650" s="8"/>
      <c r="E650" s="8"/>
      <c r="F650" s="8"/>
      <c r="G650" s="8"/>
    </row>
    <row r="651" spans="1:7" x14ac:dyDescent="0.2">
      <c r="A651" s="8"/>
      <c r="B651" s="8"/>
      <c r="C651" s="8"/>
      <c r="D651" s="8"/>
      <c r="E651" s="8"/>
      <c r="F651" s="8"/>
      <c r="G651" s="8"/>
    </row>
    <row r="652" spans="1:7" x14ac:dyDescent="0.2">
      <c r="A652" s="8"/>
      <c r="B652" s="8"/>
      <c r="C652" s="8"/>
      <c r="D652" s="8"/>
      <c r="E652" s="8"/>
      <c r="F652" s="8"/>
      <c r="G652" s="8"/>
    </row>
    <row r="653" spans="1:7" x14ac:dyDescent="0.2">
      <c r="A653" s="8"/>
      <c r="B653" s="8"/>
      <c r="C653" s="8"/>
      <c r="D653" s="8"/>
      <c r="E653" s="8"/>
      <c r="F653" s="8"/>
      <c r="G653" s="8"/>
    </row>
    <row r="654" spans="1:7" x14ac:dyDescent="0.2">
      <c r="A654" s="8"/>
      <c r="B654" s="8"/>
      <c r="C654" s="8"/>
      <c r="D654" s="8"/>
      <c r="E654" s="8"/>
      <c r="F654" s="8"/>
      <c r="G654" s="8"/>
    </row>
    <row r="655" spans="1:7" x14ac:dyDescent="0.2">
      <c r="A655" s="8"/>
      <c r="B655" s="8"/>
      <c r="C655" s="8"/>
      <c r="D655" s="8"/>
      <c r="E655" s="8"/>
      <c r="F655" s="8"/>
      <c r="G655" s="8"/>
    </row>
    <row r="656" spans="1:7" x14ac:dyDescent="0.2">
      <c r="A656" s="8"/>
      <c r="B656" s="8"/>
      <c r="C656" s="8"/>
      <c r="D656" s="8"/>
      <c r="E656" s="8"/>
      <c r="F656" s="8"/>
      <c r="G656" s="8"/>
    </row>
    <row r="657" spans="1:7" x14ac:dyDescent="0.2">
      <c r="A657" s="8"/>
      <c r="B657" s="8"/>
      <c r="C657" s="8"/>
      <c r="D657" s="8"/>
      <c r="E657" s="8"/>
      <c r="F657" s="8"/>
      <c r="G657" s="8"/>
    </row>
    <row r="658" spans="1:7" x14ac:dyDescent="0.2">
      <c r="A658" s="8"/>
      <c r="B658" s="8"/>
      <c r="C658" s="8"/>
      <c r="D658" s="8"/>
      <c r="E658" s="8"/>
      <c r="F658" s="8"/>
      <c r="G658" s="8"/>
    </row>
    <row r="659" spans="1:7" x14ac:dyDescent="0.2">
      <c r="A659" s="8"/>
      <c r="B659" s="8"/>
      <c r="C659" s="8"/>
      <c r="D659" s="8"/>
      <c r="E659" s="8"/>
      <c r="F659" s="8"/>
      <c r="G659" s="8"/>
    </row>
    <row r="660" spans="1:7" x14ac:dyDescent="0.2">
      <c r="A660" s="8"/>
      <c r="B660" s="8"/>
      <c r="C660" s="8"/>
      <c r="D660" s="8"/>
      <c r="E660" s="8"/>
      <c r="F660" s="8"/>
      <c r="G660" s="8"/>
    </row>
    <row r="661" spans="1:7" x14ac:dyDescent="0.2">
      <c r="A661" s="8"/>
      <c r="B661" s="8"/>
      <c r="C661" s="8"/>
      <c r="D661" s="8"/>
      <c r="E661" s="8"/>
      <c r="F661" s="8"/>
      <c r="G661" s="8"/>
    </row>
    <row r="662" spans="1:7" x14ac:dyDescent="0.2">
      <c r="A662" s="8"/>
      <c r="B662" s="8"/>
      <c r="C662" s="8"/>
      <c r="D662" s="8"/>
      <c r="E662" s="8"/>
      <c r="F662" s="8"/>
      <c r="G662" s="8"/>
    </row>
    <row r="663" spans="1:7" x14ac:dyDescent="0.2">
      <c r="A663" s="8"/>
      <c r="B663" s="8"/>
      <c r="C663" s="8"/>
      <c r="D663" s="8"/>
      <c r="E663" s="8"/>
      <c r="F663" s="8"/>
      <c r="G663" s="8"/>
    </row>
    <row r="664" spans="1:7" x14ac:dyDescent="0.2">
      <c r="A664" s="8"/>
      <c r="B664" s="8"/>
      <c r="C664" s="8"/>
      <c r="D664" s="8"/>
      <c r="E664" s="8"/>
      <c r="F664" s="8"/>
      <c r="G664" s="8"/>
    </row>
    <row r="665" spans="1:7" x14ac:dyDescent="0.2">
      <c r="A665" s="8"/>
      <c r="B665" s="8"/>
      <c r="C665" s="8"/>
      <c r="D665" s="8"/>
      <c r="E665" s="8"/>
      <c r="F665" s="8"/>
      <c r="G665" s="8"/>
    </row>
    <row r="666" spans="1:7" x14ac:dyDescent="0.2">
      <c r="A666" s="8"/>
      <c r="B666" s="8"/>
      <c r="C666" s="8"/>
      <c r="D666" s="8"/>
      <c r="E666" s="8"/>
      <c r="F666" s="8"/>
      <c r="G666" s="8"/>
    </row>
    <row r="667" spans="1:7" x14ac:dyDescent="0.2">
      <c r="A667" s="8"/>
      <c r="B667" s="8"/>
      <c r="C667" s="8"/>
      <c r="D667" s="8"/>
      <c r="E667" s="8"/>
      <c r="F667" s="8"/>
      <c r="G667" s="8"/>
    </row>
    <row r="668" spans="1:7" x14ac:dyDescent="0.2">
      <c r="A668" s="8"/>
      <c r="B668" s="8"/>
      <c r="C668" s="8"/>
      <c r="D668" s="8"/>
      <c r="E668" s="8"/>
      <c r="F668" s="8"/>
      <c r="G668" s="8"/>
    </row>
    <row r="669" spans="1:7" x14ac:dyDescent="0.2">
      <c r="A669" s="8"/>
      <c r="B669" s="8"/>
      <c r="C669" s="8"/>
      <c r="D669" s="8"/>
      <c r="E669" s="8"/>
      <c r="F669" s="8"/>
      <c r="G669" s="8"/>
    </row>
    <row r="670" spans="1:7" x14ac:dyDescent="0.2">
      <c r="A670" s="8"/>
      <c r="B670" s="8"/>
      <c r="C670" s="8"/>
      <c r="D670" s="8"/>
      <c r="E670" s="8"/>
      <c r="F670" s="8"/>
      <c r="G670" s="8"/>
    </row>
    <row r="671" spans="1:7" x14ac:dyDescent="0.2">
      <c r="A671" s="8"/>
      <c r="B671" s="8"/>
      <c r="C671" s="8"/>
      <c r="D671" s="8"/>
      <c r="E671" s="8"/>
      <c r="F671" s="8"/>
      <c r="G671" s="8"/>
    </row>
    <row r="672" spans="1:7" x14ac:dyDescent="0.2">
      <c r="A672" s="8"/>
      <c r="B672" s="8"/>
      <c r="C672" s="8"/>
      <c r="D672" s="8"/>
      <c r="E672" s="8"/>
      <c r="F672" s="8"/>
      <c r="G672" s="8"/>
    </row>
    <row r="673" spans="1:7" x14ac:dyDescent="0.2">
      <c r="A673" s="8"/>
      <c r="B673" s="8"/>
      <c r="C673" s="8"/>
      <c r="D673" s="8"/>
      <c r="E673" s="8"/>
      <c r="F673" s="8"/>
      <c r="G673" s="8"/>
    </row>
    <row r="674" spans="1:7" x14ac:dyDescent="0.2">
      <c r="A674" s="8"/>
      <c r="B674" s="8"/>
      <c r="C674" s="8"/>
      <c r="D674" s="8"/>
      <c r="E674" s="8"/>
      <c r="F674" s="8"/>
      <c r="G674" s="8"/>
    </row>
    <row r="675" spans="1:7" x14ac:dyDescent="0.2">
      <c r="A675" s="8"/>
      <c r="B675" s="8"/>
      <c r="C675" s="8"/>
      <c r="D675" s="8"/>
      <c r="E675" s="8"/>
      <c r="F675" s="8"/>
      <c r="G675" s="8"/>
    </row>
    <row r="676" spans="1:7" x14ac:dyDescent="0.2">
      <c r="A676" s="8"/>
      <c r="B676" s="8"/>
      <c r="C676" s="8"/>
      <c r="D676" s="8"/>
      <c r="E676" s="8"/>
      <c r="F676" s="8"/>
      <c r="G676" s="8"/>
    </row>
    <row r="677" spans="1:7" x14ac:dyDescent="0.2">
      <c r="A677" s="8"/>
      <c r="B677" s="8"/>
      <c r="C677" s="8"/>
      <c r="D677" s="8"/>
      <c r="E677" s="8"/>
      <c r="F677" s="8"/>
      <c r="G677" s="8"/>
    </row>
    <row r="678" spans="1:7" x14ac:dyDescent="0.2">
      <c r="A678" s="8"/>
      <c r="B678" s="8"/>
      <c r="C678" s="8"/>
      <c r="D678" s="8"/>
      <c r="E678" s="8"/>
      <c r="F678" s="8"/>
      <c r="G678" s="8"/>
    </row>
    <row r="679" spans="1:7" x14ac:dyDescent="0.2">
      <c r="A679" s="8"/>
      <c r="B679" s="8"/>
      <c r="C679" s="8"/>
      <c r="D679" s="8"/>
      <c r="E679" s="8"/>
      <c r="F679" s="8"/>
      <c r="G679" s="8"/>
    </row>
    <row r="680" spans="1:7" x14ac:dyDescent="0.2">
      <c r="A680" s="8"/>
      <c r="B680" s="8"/>
      <c r="C680" s="8"/>
      <c r="D680" s="8"/>
      <c r="E680" s="8"/>
      <c r="F680" s="8"/>
      <c r="G680" s="8"/>
    </row>
    <row r="681" spans="1:7" x14ac:dyDescent="0.2">
      <c r="A681" s="8"/>
      <c r="B681" s="8"/>
      <c r="C681" s="8"/>
      <c r="D681" s="8"/>
      <c r="E681" s="8"/>
      <c r="F681" s="8"/>
      <c r="G681" s="8"/>
    </row>
    <row r="682" spans="1:7" x14ac:dyDescent="0.2">
      <c r="A682" s="8"/>
      <c r="B682" s="8"/>
      <c r="C682" s="8"/>
      <c r="D682" s="8"/>
      <c r="E682" s="8"/>
      <c r="F682" s="8"/>
      <c r="G682" s="8"/>
    </row>
    <row r="683" spans="1:7" x14ac:dyDescent="0.2">
      <c r="A683" s="8"/>
      <c r="B683" s="8"/>
      <c r="C683" s="8"/>
      <c r="D683" s="8"/>
      <c r="E683" s="8"/>
      <c r="F683" s="8"/>
      <c r="G683" s="8"/>
    </row>
    <row r="684" spans="1:7" x14ac:dyDescent="0.2">
      <c r="A684" s="8"/>
      <c r="B684" s="8"/>
      <c r="C684" s="8"/>
      <c r="D684" s="8"/>
      <c r="E684" s="8"/>
      <c r="F684" s="8"/>
      <c r="G684" s="8"/>
    </row>
    <row r="685" spans="1:7" x14ac:dyDescent="0.2">
      <c r="A685" s="8"/>
      <c r="B685" s="8"/>
      <c r="C685" s="8"/>
      <c r="D685" s="8"/>
      <c r="E685" s="8"/>
      <c r="F685" s="8"/>
      <c r="G685" s="8"/>
    </row>
    <row r="686" spans="1:7" x14ac:dyDescent="0.2">
      <c r="A686" s="8"/>
      <c r="B686" s="8"/>
      <c r="C686" s="8"/>
      <c r="D686" s="8"/>
      <c r="E686" s="8"/>
      <c r="F686" s="8"/>
      <c r="G686" s="8"/>
    </row>
    <row r="687" spans="1:7" x14ac:dyDescent="0.2">
      <c r="A687" s="8"/>
      <c r="B687" s="8"/>
      <c r="C687" s="8"/>
      <c r="D687" s="8"/>
      <c r="E687" s="8"/>
      <c r="F687" s="8"/>
      <c r="G687" s="8"/>
    </row>
    <row r="688" spans="1:7" x14ac:dyDescent="0.2">
      <c r="A688" s="8"/>
      <c r="B688" s="8"/>
      <c r="C688" s="8"/>
      <c r="D688" s="8"/>
      <c r="E688" s="8"/>
      <c r="F688" s="8"/>
      <c r="G688" s="8"/>
    </row>
    <row r="689" spans="1:7" x14ac:dyDescent="0.2">
      <c r="A689" s="8"/>
      <c r="B689" s="8"/>
      <c r="C689" s="8"/>
      <c r="D689" s="8"/>
      <c r="E689" s="8"/>
      <c r="F689" s="8"/>
      <c r="G689" s="8"/>
    </row>
    <row r="690" spans="1:7" x14ac:dyDescent="0.2">
      <c r="A690" s="8"/>
      <c r="B690" s="8"/>
      <c r="C690" s="8"/>
      <c r="D690" s="8"/>
      <c r="E690" s="8"/>
      <c r="F690" s="8"/>
      <c r="G690" s="8"/>
    </row>
    <row r="691" spans="1:7" x14ac:dyDescent="0.2">
      <c r="A691" s="8"/>
      <c r="B691" s="8"/>
      <c r="C691" s="8"/>
      <c r="D691" s="8"/>
      <c r="E691" s="8"/>
      <c r="F691" s="8"/>
      <c r="G691" s="8"/>
    </row>
    <row r="692" spans="1:7" x14ac:dyDescent="0.2">
      <c r="A692" s="8"/>
      <c r="B692" s="8"/>
      <c r="C692" s="8"/>
      <c r="D692" s="8"/>
      <c r="E692" s="8"/>
      <c r="F692" s="8"/>
      <c r="G692" s="8"/>
    </row>
    <row r="693" spans="1:7" x14ac:dyDescent="0.2">
      <c r="A693" s="8"/>
      <c r="B693" s="8"/>
      <c r="C693" s="8"/>
      <c r="D693" s="8"/>
      <c r="E693" s="8"/>
      <c r="F693" s="8"/>
      <c r="G693" s="8"/>
    </row>
    <row r="694" spans="1:7" x14ac:dyDescent="0.2">
      <c r="A694" s="8"/>
      <c r="B694" s="8"/>
      <c r="C694" s="8"/>
      <c r="D694" s="8"/>
      <c r="E694" s="8"/>
      <c r="F694" s="8"/>
      <c r="G694" s="8"/>
    </row>
    <row r="695" spans="1:7" x14ac:dyDescent="0.2">
      <c r="A695" s="8"/>
      <c r="B695" s="8"/>
      <c r="C695" s="8"/>
      <c r="D695" s="8"/>
      <c r="E695" s="8"/>
      <c r="F695" s="8"/>
      <c r="G695" s="8"/>
    </row>
    <row r="696" spans="1:7" x14ac:dyDescent="0.2">
      <c r="A696" s="8"/>
      <c r="B696" s="8"/>
      <c r="C696" s="8"/>
      <c r="D696" s="8"/>
      <c r="E696" s="8"/>
      <c r="F696" s="8"/>
      <c r="G696" s="8"/>
    </row>
    <row r="697" spans="1:7" x14ac:dyDescent="0.2">
      <c r="A697" s="8"/>
      <c r="B697" s="8"/>
      <c r="C697" s="8"/>
      <c r="D697" s="8"/>
      <c r="E697" s="8"/>
      <c r="F697" s="8"/>
      <c r="G697" s="8"/>
    </row>
    <row r="698" spans="1:7" x14ac:dyDescent="0.2">
      <c r="A698" s="8"/>
      <c r="B698" s="8"/>
      <c r="C698" s="8"/>
      <c r="D698" s="8"/>
      <c r="E698" s="8"/>
      <c r="F698" s="8"/>
      <c r="G698" s="8"/>
    </row>
    <row r="699" spans="1:7" x14ac:dyDescent="0.2">
      <c r="A699" s="8"/>
      <c r="B699" s="8"/>
      <c r="C699" s="8"/>
      <c r="D699" s="8"/>
      <c r="E699" s="8"/>
      <c r="F699" s="8"/>
      <c r="G699" s="8"/>
    </row>
    <row r="700" spans="1:7" x14ac:dyDescent="0.2">
      <c r="A700" s="8"/>
      <c r="B700" s="8"/>
      <c r="C700" s="8"/>
      <c r="D700" s="8"/>
      <c r="E700" s="8"/>
      <c r="F700" s="8"/>
      <c r="G700" s="8"/>
    </row>
    <row r="701" spans="1:7" x14ac:dyDescent="0.2">
      <c r="A701" s="8"/>
      <c r="B701" s="8"/>
      <c r="C701" s="8"/>
      <c r="D701" s="8"/>
      <c r="E701" s="8"/>
      <c r="F701" s="8"/>
      <c r="G701" s="8"/>
    </row>
    <row r="702" spans="1:7" x14ac:dyDescent="0.2">
      <c r="A702" s="8"/>
      <c r="B702" s="8"/>
      <c r="C702" s="8"/>
      <c r="D702" s="8"/>
      <c r="E702" s="8"/>
      <c r="F702" s="8"/>
      <c r="G702" s="8"/>
    </row>
    <row r="703" spans="1:7" x14ac:dyDescent="0.2">
      <c r="A703" s="8"/>
      <c r="B703" s="8"/>
      <c r="C703" s="8"/>
      <c r="D703" s="8"/>
      <c r="E703" s="8"/>
      <c r="F703" s="8"/>
      <c r="G703" s="8"/>
    </row>
    <row r="704" spans="1:7" x14ac:dyDescent="0.2">
      <c r="A704" s="8"/>
      <c r="B704" s="8"/>
      <c r="C704" s="8"/>
      <c r="D704" s="8"/>
      <c r="E704" s="8"/>
      <c r="F704" s="8"/>
      <c r="G704" s="8"/>
    </row>
    <row r="705" spans="1:7" x14ac:dyDescent="0.2">
      <c r="A705" s="8"/>
      <c r="B705" s="8"/>
      <c r="C705" s="8"/>
      <c r="D705" s="8"/>
      <c r="E705" s="8"/>
      <c r="F705" s="8"/>
      <c r="G705" s="8"/>
    </row>
    <row r="706" spans="1:7" x14ac:dyDescent="0.2">
      <c r="A706" s="8"/>
      <c r="B706" s="8"/>
      <c r="C706" s="8"/>
      <c r="D706" s="8"/>
      <c r="E706" s="8"/>
      <c r="F706" s="8"/>
      <c r="G706" s="8"/>
    </row>
    <row r="707" spans="1:7" x14ac:dyDescent="0.2">
      <c r="A707" s="8"/>
      <c r="B707" s="8"/>
      <c r="C707" s="8"/>
      <c r="D707" s="8"/>
      <c r="E707" s="8"/>
      <c r="F707" s="8"/>
      <c r="G707" s="8"/>
    </row>
    <row r="708" spans="1:7" x14ac:dyDescent="0.2">
      <c r="A708" s="8"/>
      <c r="B708" s="8"/>
      <c r="C708" s="8"/>
      <c r="D708" s="8"/>
      <c r="E708" s="8"/>
      <c r="F708" s="8"/>
      <c r="G708" s="8"/>
    </row>
    <row r="709" spans="1:7" x14ac:dyDescent="0.2">
      <c r="A709" s="8"/>
      <c r="B709" s="8"/>
      <c r="C709" s="8"/>
      <c r="D709" s="8"/>
      <c r="E709" s="8"/>
      <c r="F709" s="8"/>
      <c r="G709" s="8"/>
    </row>
    <row r="710" spans="1:7" x14ac:dyDescent="0.2">
      <c r="A710" s="8"/>
      <c r="B710" s="8"/>
      <c r="C710" s="8"/>
      <c r="D710" s="8"/>
      <c r="E710" s="8"/>
      <c r="F710" s="8"/>
      <c r="G710" s="8"/>
    </row>
    <row r="711" spans="1:7" x14ac:dyDescent="0.2">
      <c r="A711" s="8"/>
      <c r="B711" s="8"/>
      <c r="C711" s="8"/>
      <c r="D711" s="8"/>
      <c r="E711" s="8"/>
      <c r="F711" s="8"/>
      <c r="G711" s="8"/>
    </row>
    <row r="712" spans="1:7" x14ac:dyDescent="0.2">
      <c r="A712" s="8"/>
      <c r="B712" s="8"/>
      <c r="C712" s="8"/>
      <c r="D712" s="8"/>
      <c r="E712" s="8"/>
      <c r="F712" s="8"/>
      <c r="G712" s="8"/>
    </row>
    <row r="713" spans="1:7" x14ac:dyDescent="0.2">
      <c r="A713" s="8"/>
      <c r="B713" s="8"/>
      <c r="C713" s="8"/>
      <c r="D713" s="8"/>
      <c r="E713" s="8"/>
      <c r="F713" s="8"/>
      <c r="G713" s="8"/>
    </row>
    <row r="714" spans="1:7" x14ac:dyDescent="0.2">
      <c r="A714" s="8"/>
      <c r="B714" s="8"/>
      <c r="C714" s="8"/>
      <c r="D714" s="8"/>
      <c r="E714" s="8"/>
      <c r="F714" s="8"/>
      <c r="G714" s="8"/>
    </row>
    <row r="715" spans="1:7" x14ac:dyDescent="0.2">
      <c r="A715" s="8"/>
      <c r="B715" s="8"/>
      <c r="C715" s="8"/>
      <c r="D715" s="8"/>
      <c r="E715" s="8"/>
      <c r="F715" s="8"/>
      <c r="G715" s="8"/>
    </row>
    <row r="716" spans="1:7" x14ac:dyDescent="0.2">
      <c r="A716" s="8"/>
      <c r="B716" s="8"/>
      <c r="C716" s="8"/>
      <c r="D716" s="8"/>
      <c r="E716" s="8"/>
      <c r="F716" s="8"/>
      <c r="G716" s="8"/>
    </row>
    <row r="717" spans="1:7" x14ac:dyDescent="0.2">
      <c r="A717" s="8"/>
      <c r="B717" s="8"/>
      <c r="C717" s="8"/>
      <c r="D717" s="8"/>
      <c r="E717" s="8"/>
      <c r="F717" s="8"/>
      <c r="G717" s="8"/>
    </row>
    <row r="718" spans="1:7" x14ac:dyDescent="0.2">
      <c r="A718" s="8"/>
      <c r="B718" s="8"/>
      <c r="C718" s="8"/>
      <c r="D718" s="8"/>
      <c r="E718" s="8"/>
      <c r="F718" s="8"/>
      <c r="G718" s="8"/>
    </row>
    <row r="719" spans="1:7" x14ac:dyDescent="0.2">
      <c r="A719" s="8"/>
      <c r="B719" s="8"/>
      <c r="C719" s="8"/>
      <c r="D719" s="8"/>
      <c r="E719" s="8"/>
      <c r="F719" s="8"/>
      <c r="G719" s="8"/>
    </row>
    <row r="720" spans="1:7" x14ac:dyDescent="0.2">
      <c r="A720" s="8"/>
      <c r="B720" s="8"/>
      <c r="C720" s="8"/>
      <c r="D720" s="8"/>
      <c r="E720" s="8"/>
      <c r="F720" s="8"/>
      <c r="G720" s="8"/>
    </row>
    <row r="721" spans="1:7" x14ac:dyDescent="0.2">
      <c r="A721" s="8"/>
      <c r="B721" s="8"/>
      <c r="C721" s="8"/>
      <c r="D721" s="8"/>
      <c r="E721" s="8"/>
      <c r="F721" s="8"/>
      <c r="G721" s="8"/>
    </row>
    <row r="722" spans="1:7" x14ac:dyDescent="0.2">
      <c r="A722" s="8"/>
      <c r="B722" s="8"/>
      <c r="C722" s="8"/>
      <c r="D722" s="8"/>
      <c r="E722" s="8"/>
      <c r="F722" s="8"/>
      <c r="G722" s="8"/>
    </row>
    <row r="723" spans="1:7" x14ac:dyDescent="0.2">
      <c r="A723" s="8"/>
      <c r="B723" s="8"/>
      <c r="C723" s="8"/>
      <c r="D723" s="8"/>
      <c r="E723" s="8"/>
      <c r="F723" s="8"/>
      <c r="G723" s="8"/>
    </row>
    <row r="724" spans="1:7" x14ac:dyDescent="0.2">
      <c r="A724" s="8"/>
      <c r="B724" s="8"/>
      <c r="C724" s="8"/>
      <c r="D724" s="8"/>
      <c r="E724" s="8"/>
      <c r="F724" s="8"/>
      <c r="G724" s="8"/>
    </row>
    <row r="725" spans="1:7" x14ac:dyDescent="0.2">
      <c r="A725" s="8"/>
      <c r="B725" s="8"/>
      <c r="C725" s="8"/>
      <c r="D725" s="8"/>
      <c r="E725" s="8"/>
      <c r="F725" s="8"/>
      <c r="G725" s="8"/>
    </row>
    <row r="726" spans="1:7" x14ac:dyDescent="0.2">
      <c r="A726" s="8"/>
      <c r="B726" s="8"/>
      <c r="C726" s="8"/>
      <c r="D726" s="8"/>
      <c r="E726" s="8"/>
      <c r="F726" s="8"/>
      <c r="G726" s="8"/>
    </row>
    <row r="727" spans="1:7" x14ac:dyDescent="0.2">
      <c r="A727" s="8"/>
      <c r="B727" s="8"/>
      <c r="C727" s="8"/>
      <c r="D727" s="8"/>
      <c r="E727" s="8"/>
      <c r="F727" s="8"/>
      <c r="G727" s="8"/>
    </row>
    <row r="728" spans="1:7" x14ac:dyDescent="0.2">
      <c r="A728" s="8"/>
      <c r="B728" s="8"/>
      <c r="C728" s="8"/>
      <c r="D728" s="8"/>
      <c r="E728" s="8"/>
      <c r="F728" s="8"/>
      <c r="G728" s="8"/>
    </row>
    <row r="729" spans="1:7" x14ac:dyDescent="0.2">
      <c r="A729" s="8"/>
      <c r="B729" s="8"/>
      <c r="C729" s="8"/>
      <c r="D729" s="8"/>
      <c r="E729" s="8"/>
      <c r="F729" s="8"/>
      <c r="G729" s="8"/>
    </row>
    <row r="730" spans="1:7" x14ac:dyDescent="0.2">
      <c r="A730" s="8"/>
      <c r="B730" s="8"/>
      <c r="C730" s="8"/>
      <c r="D730" s="8"/>
      <c r="E730" s="8"/>
      <c r="F730" s="8"/>
      <c r="G730" s="8"/>
    </row>
    <row r="731" spans="1:7" x14ac:dyDescent="0.2">
      <c r="A731" s="8"/>
      <c r="B731" s="8"/>
      <c r="C731" s="8"/>
      <c r="D731" s="8"/>
      <c r="E731" s="8"/>
      <c r="F731" s="8"/>
      <c r="G731" s="8"/>
    </row>
    <row r="732" spans="1:7" x14ac:dyDescent="0.2">
      <c r="A732" s="8"/>
      <c r="B732" s="8"/>
      <c r="C732" s="8"/>
      <c r="D732" s="8"/>
      <c r="E732" s="8"/>
      <c r="F732" s="8"/>
      <c r="G732" s="8"/>
    </row>
    <row r="733" spans="1:7" x14ac:dyDescent="0.2">
      <c r="A733" s="8"/>
      <c r="B733" s="8"/>
      <c r="C733" s="8"/>
      <c r="D733" s="8"/>
      <c r="E733" s="8"/>
      <c r="F733" s="8"/>
      <c r="G733" s="8"/>
    </row>
    <row r="734" spans="1:7" x14ac:dyDescent="0.2">
      <c r="A734" s="8"/>
      <c r="B734" s="8"/>
      <c r="C734" s="8"/>
      <c r="D734" s="8"/>
      <c r="E734" s="8"/>
      <c r="F734" s="8"/>
      <c r="G734" s="8"/>
    </row>
    <row r="735" spans="1:7" x14ac:dyDescent="0.2">
      <c r="A735" s="8"/>
      <c r="B735" s="8"/>
      <c r="C735" s="8"/>
      <c r="D735" s="8"/>
      <c r="E735" s="8"/>
      <c r="F735" s="8"/>
      <c r="G735" s="8"/>
    </row>
    <row r="736" spans="1:7" x14ac:dyDescent="0.2">
      <c r="A736" s="8"/>
      <c r="B736" s="8"/>
      <c r="C736" s="8"/>
      <c r="D736" s="8"/>
      <c r="E736" s="8"/>
      <c r="F736" s="8"/>
      <c r="G736" s="8"/>
    </row>
    <row r="737" spans="1:7" x14ac:dyDescent="0.2">
      <c r="A737" s="8"/>
      <c r="B737" s="8"/>
      <c r="C737" s="8"/>
      <c r="D737" s="8"/>
      <c r="E737" s="8"/>
      <c r="F737" s="8"/>
      <c r="G737" s="8"/>
    </row>
    <row r="738" spans="1:7" x14ac:dyDescent="0.2">
      <c r="A738" s="8"/>
      <c r="B738" s="8"/>
      <c r="C738" s="8"/>
      <c r="D738" s="8"/>
      <c r="E738" s="8"/>
      <c r="F738" s="8"/>
      <c r="G738" s="8"/>
    </row>
    <row r="739" spans="1:7" x14ac:dyDescent="0.2">
      <c r="A739" s="8"/>
      <c r="B739" s="8"/>
      <c r="C739" s="8"/>
      <c r="D739" s="8"/>
      <c r="E739" s="8"/>
      <c r="F739" s="8"/>
      <c r="G739" s="8"/>
    </row>
    <row r="740" spans="1:7" x14ac:dyDescent="0.2">
      <c r="A740" s="8"/>
      <c r="B740" s="8"/>
      <c r="C740" s="8"/>
      <c r="D740" s="8"/>
      <c r="E740" s="8"/>
      <c r="F740" s="8"/>
      <c r="G740" s="8"/>
    </row>
    <row r="741" spans="1:7" x14ac:dyDescent="0.2">
      <c r="A741" s="8"/>
      <c r="B741" s="8"/>
      <c r="C741" s="8"/>
      <c r="D741" s="8"/>
      <c r="E741" s="8"/>
      <c r="F741" s="8"/>
      <c r="G741" s="8"/>
    </row>
    <row r="742" spans="1:7" x14ac:dyDescent="0.2">
      <c r="A742" s="8"/>
      <c r="B742" s="8"/>
      <c r="C742" s="8"/>
      <c r="D742" s="8"/>
      <c r="E742" s="8"/>
      <c r="F742" s="8"/>
      <c r="G742" s="8"/>
    </row>
    <row r="743" spans="1:7" x14ac:dyDescent="0.2">
      <c r="A743" s="8"/>
      <c r="B743" s="8"/>
      <c r="C743" s="8"/>
      <c r="D743" s="8"/>
      <c r="E743" s="8"/>
      <c r="F743" s="8"/>
      <c r="G743" s="8"/>
    </row>
    <row r="744" spans="1:7" x14ac:dyDescent="0.2">
      <c r="A744" s="8"/>
      <c r="B744" s="8"/>
      <c r="C744" s="8"/>
      <c r="D744" s="8"/>
      <c r="E744" s="8"/>
      <c r="F744" s="8"/>
      <c r="G744" s="8"/>
    </row>
    <row r="745" spans="1:7" x14ac:dyDescent="0.2">
      <c r="A745" s="8"/>
      <c r="B745" s="8"/>
      <c r="C745" s="8"/>
      <c r="D745" s="8"/>
      <c r="E745" s="8"/>
      <c r="F745" s="8"/>
      <c r="G745" s="8"/>
    </row>
    <row r="746" spans="1:7" x14ac:dyDescent="0.2">
      <c r="A746" s="8"/>
      <c r="B746" s="8"/>
      <c r="C746" s="8"/>
      <c r="D746" s="8"/>
      <c r="E746" s="8"/>
      <c r="F746" s="8"/>
      <c r="G746" s="8"/>
    </row>
    <row r="747" spans="1:7" x14ac:dyDescent="0.2">
      <c r="A747" s="8"/>
      <c r="B747" s="8"/>
      <c r="C747" s="8"/>
      <c r="D747" s="8"/>
      <c r="E747" s="8"/>
      <c r="F747" s="8"/>
      <c r="G747" s="8"/>
    </row>
    <row r="748" spans="1:7" x14ac:dyDescent="0.2">
      <c r="A748" s="8"/>
      <c r="B748" s="8"/>
      <c r="C748" s="8"/>
      <c r="D748" s="8"/>
      <c r="E748" s="8"/>
      <c r="F748" s="8"/>
      <c r="G748" s="8"/>
    </row>
    <row r="749" spans="1:7" x14ac:dyDescent="0.2">
      <c r="A749" s="8"/>
      <c r="B749" s="8"/>
      <c r="C749" s="8"/>
      <c r="D749" s="8"/>
      <c r="E749" s="8"/>
      <c r="F749" s="8"/>
      <c r="G749" s="8"/>
    </row>
    <row r="750" spans="1:7" x14ac:dyDescent="0.2">
      <c r="A750" s="8"/>
      <c r="B750" s="8"/>
      <c r="C750" s="8"/>
      <c r="D750" s="8"/>
      <c r="E750" s="8"/>
      <c r="F750" s="8"/>
      <c r="G750" s="8"/>
    </row>
    <row r="751" spans="1:7" x14ac:dyDescent="0.2">
      <c r="A751" s="8"/>
      <c r="B751" s="8"/>
      <c r="C751" s="8"/>
      <c r="D751" s="8"/>
      <c r="E751" s="8"/>
      <c r="F751" s="8"/>
      <c r="G751" s="8"/>
    </row>
    <row r="752" spans="1:7" x14ac:dyDescent="0.2">
      <c r="A752" s="8"/>
      <c r="B752" s="8"/>
      <c r="C752" s="8"/>
      <c r="D752" s="8"/>
      <c r="E752" s="8"/>
      <c r="F752" s="8"/>
      <c r="G752" s="8"/>
    </row>
    <row r="753" spans="1:7" x14ac:dyDescent="0.2">
      <c r="A753" s="8"/>
      <c r="B753" s="8"/>
      <c r="C753" s="8"/>
      <c r="D753" s="8"/>
      <c r="E753" s="8"/>
      <c r="F753" s="8"/>
      <c r="G753" s="8"/>
    </row>
    <row r="754" spans="1:7" x14ac:dyDescent="0.2">
      <c r="A754" s="8"/>
      <c r="B754" s="8"/>
      <c r="C754" s="8"/>
      <c r="D754" s="8"/>
      <c r="E754" s="8"/>
      <c r="F754" s="8"/>
      <c r="G754" s="8"/>
    </row>
    <row r="755" spans="1:7" x14ac:dyDescent="0.2">
      <c r="A755" s="8"/>
      <c r="B755" s="8"/>
      <c r="C755" s="8"/>
      <c r="D755" s="8"/>
      <c r="E755" s="8"/>
      <c r="F755" s="8"/>
      <c r="G755" s="8"/>
    </row>
    <row r="756" spans="1:7" x14ac:dyDescent="0.2">
      <c r="A756" s="8"/>
      <c r="B756" s="8"/>
      <c r="C756" s="8"/>
      <c r="D756" s="8"/>
      <c r="E756" s="8"/>
      <c r="F756" s="8"/>
      <c r="G756" s="8"/>
    </row>
    <row r="757" spans="1:7" x14ac:dyDescent="0.2">
      <c r="A757" s="8"/>
      <c r="B757" s="8"/>
      <c r="C757" s="8"/>
      <c r="D757" s="8"/>
      <c r="E757" s="8"/>
      <c r="F757" s="8"/>
      <c r="G757" s="8"/>
    </row>
    <row r="758" spans="1:7" x14ac:dyDescent="0.2">
      <c r="A758" s="8"/>
      <c r="B758" s="8"/>
      <c r="C758" s="8"/>
      <c r="D758" s="8"/>
      <c r="E758" s="8"/>
      <c r="F758" s="8"/>
      <c r="G758" s="8"/>
    </row>
    <row r="759" spans="1:7" x14ac:dyDescent="0.2">
      <c r="A759" s="8"/>
      <c r="B759" s="8"/>
      <c r="C759" s="8"/>
      <c r="D759" s="8"/>
      <c r="E759" s="8"/>
      <c r="F759" s="8"/>
      <c r="G759" s="8"/>
    </row>
    <row r="760" spans="1:7" x14ac:dyDescent="0.2">
      <c r="A760" s="8"/>
      <c r="B760" s="8"/>
      <c r="C760" s="8"/>
      <c r="D760" s="8"/>
      <c r="E760" s="8"/>
      <c r="F760" s="8"/>
      <c r="G760" s="8"/>
    </row>
    <row r="761" spans="1:7" x14ac:dyDescent="0.2">
      <c r="A761" s="8"/>
      <c r="B761" s="8"/>
      <c r="C761" s="8"/>
      <c r="D761" s="8"/>
      <c r="E761" s="8"/>
      <c r="F761" s="8"/>
      <c r="G761" s="8"/>
    </row>
    <row r="762" spans="1:7" x14ac:dyDescent="0.2">
      <c r="A762" s="8"/>
      <c r="B762" s="8"/>
      <c r="C762" s="8"/>
      <c r="D762" s="8"/>
      <c r="E762" s="8"/>
      <c r="F762" s="8"/>
      <c r="G762" s="8"/>
    </row>
    <row r="763" spans="1:7" x14ac:dyDescent="0.2">
      <c r="A763" s="8"/>
      <c r="B763" s="8"/>
      <c r="C763" s="8"/>
      <c r="D763" s="8"/>
      <c r="E763" s="8"/>
      <c r="F763" s="8"/>
      <c r="G763" s="8"/>
    </row>
    <row r="764" spans="1:7" x14ac:dyDescent="0.2">
      <c r="A764" s="8"/>
      <c r="B764" s="8"/>
      <c r="C764" s="8"/>
      <c r="D764" s="8"/>
      <c r="E764" s="8"/>
      <c r="F764" s="8"/>
      <c r="G764" s="8"/>
    </row>
    <row r="765" spans="1:7" x14ac:dyDescent="0.2">
      <c r="A765" s="8"/>
      <c r="B765" s="8"/>
      <c r="C765" s="8"/>
      <c r="D765" s="8"/>
      <c r="E765" s="8"/>
      <c r="F765" s="8"/>
      <c r="G765" s="8"/>
    </row>
    <row r="766" spans="1:7" x14ac:dyDescent="0.2">
      <c r="A766" s="8"/>
      <c r="B766" s="8"/>
      <c r="C766" s="8"/>
      <c r="D766" s="8"/>
      <c r="E766" s="8"/>
      <c r="F766" s="8"/>
      <c r="G766" s="8"/>
    </row>
    <row r="767" spans="1:7" x14ac:dyDescent="0.2">
      <c r="A767" s="8"/>
      <c r="B767" s="8"/>
      <c r="C767" s="8"/>
      <c r="D767" s="8"/>
      <c r="E767" s="8"/>
      <c r="F767" s="8"/>
      <c r="G767" s="8"/>
    </row>
    <row r="768" spans="1:7" x14ac:dyDescent="0.2">
      <c r="A768" s="8"/>
      <c r="B768" s="8"/>
      <c r="C768" s="8"/>
      <c r="D768" s="8"/>
      <c r="E768" s="8"/>
      <c r="F768" s="8"/>
      <c r="G768" s="8"/>
    </row>
    <row r="769" spans="1:7" x14ac:dyDescent="0.2">
      <c r="A769" s="8"/>
      <c r="B769" s="8"/>
      <c r="C769" s="8"/>
      <c r="D769" s="8"/>
      <c r="E769" s="8"/>
      <c r="F769" s="8"/>
      <c r="G769" s="8"/>
    </row>
    <row r="770" spans="1:7" x14ac:dyDescent="0.2">
      <c r="A770" s="8"/>
      <c r="B770" s="8"/>
      <c r="C770" s="8"/>
      <c r="D770" s="8"/>
      <c r="E770" s="8"/>
      <c r="F770" s="8"/>
      <c r="G770" s="8"/>
    </row>
    <row r="771" spans="1:7" x14ac:dyDescent="0.2">
      <c r="A771" s="8"/>
      <c r="B771" s="8"/>
      <c r="C771" s="8"/>
      <c r="D771" s="8"/>
      <c r="E771" s="8"/>
      <c r="F771" s="8"/>
      <c r="G771" s="8"/>
    </row>
    <row r="772" spans="1:7" x14ac:dyDescent="0.2">
      <c r="A772" s="8"/>
      <c r="B772" s="8"/>
      <c r="C772" s="8"/>
      <c r="D772" s="8"/>
      <c r="E772" s="8"/>
      <c r="F772" s="8"/>
      <c r="G772" s="8"/>
    </row>
    <row r="773" spans="1:7" x14ac:dyDescent="0.2">
      <c r="A773" s="8"/>
      <c r="B773" s="8"/>
      <c r="C773" s="8"/>
      <c r="D773" s="8"/>
      <c r="E773" s="8"/>
      <c r="F773" s="8"/>
      <c r="G773" s="8"/>
    </row>
    <row r="774" spans="1:7" x14ac:dyDescent="0.2">
      <c r="A774" s="8"/>
      <c r="B774" s="8"/>
      <c r="C774" s="8"/>
      <c r="D774" s="8"/>
      <c r="E774" s="8"/>
      <c r="F774" s="8"/>
      <c r="G774" s="8"/>
    </row>
    <row r="775" spans="1:7" x14ac:dyDescent="0.2">
      <c r="A775" s="8"/>
      <c r="B775" s="8"/>
      <c r="C775" s="8"/>
      <c r="D775" s="8"/>
      <c r="E775" s="8"/>
      <c r="F775" s="8"/>
      <c r="G775" s="8"/>
    </row>
    <row r="776" spans="1:7" x14ac:dyDescent="0.2">
      <c r="A776" s="8"/>
      <c r="B776" s="8"/>
      <c r="C776" s="8"/>
      <c r="D776" s="8"/>
      <c r="E776" s="8"/>
      <c r="F776" s="8"/>
      <c r="G776" s="8"/>
    </row>
    <row r="777" spans="1:7" x14ac:dyDescent="0.2">
      <c r="A777" s="8"/>
      <c r="B777" s="8"/>
      <c r="C777" s="8"/>
      <c r="D777" s="8"/>
      <c r="E777" s="8"/>
      <c r="F777" s="8"/>
      <c r="G777" s="8"/>
    </row>
    <row r="778" spans="1:7" x14ac:dyDescent="0.2">
      <c r="A778" s="8"/>
      <c r="B778" s="8"/>
      <c r="C778" s="8"/>
      <c r="D778" s="8"/>
      <c r="E778" s="8"/>
      <c r="F778" s="8"/>
      <c r="G778" s="8"/>
    </row>
    <row r="779" spans="1:7" x14ac:dyDescent="0.2">
      <c r="A779" s="8"/>
      <c r="B779" s="8"/>
      <c r="C779" s="8"/>
      <c r="D779" s="8"/>
      <c r="E779" s="8"/>
      <c r="F779" s="8"/>
      <c r="G779" s="8"/>
    </row>
    <row r="780" spans="1:7" x14ac:dyDescent="0.2">
      <c r="A780" s="8"/>
      <c r="B780" s="8"/>
      <c r="C780" s="8"/>
      <c r="D780" s="8"/>
      <c r="E780" s="8"/>
      <c r="F780" s="8"/>
      <c r="G780" s="8"/>
    </row>
    <row r="781" spans="1:7" x14ac:dyDescent="0.2">
      <c r="A781" s="8"/>
      <c r="B781" s="8"/>
      <c r="C781" s="8"/>
      <c r="D781" s="8"/>
      <c r="E781" s="8"/>
      <c r="F781" s="8"/>
      <c r="G781" s="8"/>
    </row>
    <row r="782" spans="1:7" x14ac:dyDescent="0.2">
      <c r="A782" s="8"/>
      <c r="B782" s="8"/>
      <c r="C782" s="8"/>
      <c r="D782" s="8"/>
      <c r="E782" s="8"/>
      <c r="F782" s="8"/>
      <c r="G782" s="8"/>
    </row>
    <row r="783" spans="1:7" x14ac:dyDescent="0.2">
      <c r="A783" s="8"/>
      <c r="B783" s="8"/>
      <c r="C783" s="8"/>
      <c r="D783" s="8"/>
      <c r="E783" s="8"/>
      <c r="F783" s="8"/>
      <c r="G783" s="8"/>
    </row>
    <row r="784" spans="1:7" x14ac:dyDescent="0.2">
      <c r="A784" s="8"/>
      <c r="B784" s="8"/>
      <c r="C784" s="8"/>
      <c r="D784" s="8"/>
      <c r="E784" s="8"/>
      <c r="F784" s="8"/>
      <c r="G784" s="8"/>
    </row>
    <row r="785" spans="1:7" x14ac:dyDescent="0.2">
      <c r="A785" s="8"/>
      <c r="B785" s="8"/>
      <c r="C785" s="8"/>
      <c r="D785" s="8"/>
      <c r="E785" s="8"/>
      <c r="F785" s="8"/>
      <c r="G785" s="8"/>
    </row>
    <row r="786" spans="1:7" x14ac:dyDescent="0.2">
      <c r="A786" s="8"/>
      <c r="B786" s="8"/>
      <c r="C786" s="8"/>
      <c r="D786" s="8"/>
      <c r="E786" s="8"/>
      <c r="F786" s="8"/>
      <c r="G786" s="8"/>
    </row>
    <row r="787" spans="1:7" x14ac:dyDescent="0.2">
      <c r="A787" s="8"/>
      <c r="B787" s="8"/>
      <c r="C787" s="8"/>
      <c r="D787" s="8"/>
      <c r="E787" s="8"/>
      <c r="F787" s="8"/>
      <c r="G787" s="8"/>
    </row>
    <row r="788" spans="1:7" x14ac:dyDescent="0.2">
      <c r="A788" s="8"/>
      <c r="B788" s="8"/>
      <c r="C788" s="8"/>
      <c r="D788" s="8"/>
      <c r="E788" s="8"/>
      <c r="F788" s="8"/>
      <c r="G788" s="8"/>
    </row>
    <row r="789" spans="1:7" x14ac:dyDescent="0.2">
      <c r="A789" s="8"/>
      <c r="B789" s="8"/>
      <c r="C789" s="8"/>
      <c r="D789" s="8"/>
      <c r="E789" s="8"/>
      <c r="F789" s="8"/>
      <c r="G789" s="8"/>
    </row>
    <row r="790" spans="1:7" x14ac:dyDescent="0.2">
      <c r="A790" s="8"/>
      <c r="B790" s="8"/>
      <c r="C790" s="8"/>
      <c r="D790" s="8"/>
      <c r="E790" s="8"/>
      <c r="F790" s="8"/>
      <c r="G790" s="8"/>
    </row>
    <row r="791" spans="1:7" x14ac:dyDescent="0.2">
      <c r="A791" s="8"/>
      <c r="B791" s="8"/>
      <c r="C791" s="8"/>
      <c r="D791" s="8"/>
      <c r="E791" s="8"/>
      <c r="F791" s="8"/>
      <c r="G791" s="8"/>
    </row>
    <row r="792" spans="1:7" x14ac:dyDescent="0.2">
      <c r="A792" s="8"/>
      <c r="B792" s="8"/>
      <c r="C792" s="8"/>
      <c r="D792" s="8"/>
      <c r="E792" s="8"/>
      <c r="F792" s="8"/>
      <c r="G792" s="8"/>
    </row>
  </sheetData>
  <mergeCells count="1">
    <mergeCell ref="A5:G5"/>
  </mergeCells>
  <conditionalFormatting sqref="B7:B64">
    <cfRule type="duplicateValues" dxfId="2" priority="1"/>
  </conditionalFormatting>
  <pageMargins left="0.7" right="0.7" top="0.75" bottom="0.75" header="0.3" footer="0.3"/>
  <pageSetup orientation="portrait" r:id="rId1"/>
  <legacyDrawing r:id="rId2"/>
  <tableParts count="1">
    <tablePart r:id="rId3"/>
  </tableParts>
  <extLst>
    <ext xmlns:x14="http://schemas.microsoft.com/office/spreadsheetml/2009/9/main" uri="{CCE6A557-97BC-4b89-ADB6-D9C93CAAB3DF}">
      <x14:dataValidations xmlns:xm="http://schemas.microsoft.com/office/excel/2006/main" count="3">
        <x14:dataValidation type="list" allowBlank="1" showInputMessage="1" showErrorMessage="1" xr:uid="{44F9330F-9F6B-42C1-AAB0-E1008F430BAC}">
          <x14:formula1>
            <xm:f>'Emission Inputs (Optional)'!$N$10:$R$10</xm:f>
          </x14:formula1>
          <xm:sqref>E7:E189</xm:sqref>
        </x14:dataValidation>
        <x14:dataValidation type="list" allowBlank="1" showInputMessage="1" showErrorMessage="1" xr:uid="{93C5FFCA-8294-4C6B-8D24-DA5DE0E310E4}">
          <x14:formula1>
            <xm:f>'Emission Inputs (Optional)'!$L$11:$L$27</xm:f>
          </x14:formula1>
          <xm:sqref>D7:D189</xm:sqref>
        </x14:dataValidation>
        <x14:dataValidation type="list" allowBlank="1" showInputMessage="1" showErrorMessage="1" xr:uid="{B105A6F5-578D-4C61-BF6E-8236FFCD5B0E}">
          <x14:formula1>
            <xm:f>Support!$B$3:$B$3</xm:f>
          </x14:formula1>
          <xm:sqref>C7:C189</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559EEF-A66F-4F00-8B3A-173746500D11}">
  <dimension ref="A1:AU23"/>
  <sheetViews>
    <sheetView zoomScale="130" zoomScaleNormal="130" workbookViewId="0">
      <selection activeCell="AU10" sqref="AU10"/>
    </sheetView>
  </sheetViews>
  <sheetFormatPr baseColWidth="10" defaultColWidth="8.83203125" defaultRowHeight="15" x14ac:dyDescent="0.2"/>
  <cols>
    <col min="1" max="1" width="12.5" bestFit="1" customWidth="1"/>
    <col min="2" max="2" width="22.1640625" customWidth="1"/>
    <col min="3" max="3" width="9.6640625" bestFit="1" customWidth="1"/>
    <col min="4" max="4" width="26.5" customWidth="1"/>
    <col min="5" max="5" width="13.5" customWidth="1"/>
    <col min="6" max="6" width="12.83203125" customWidth="1"/>
    <col min="7" max="7" width="13.5" customWidth="1"/>
    <col min="8" max="8" width="10.5" customWidth="1"/>
    <col min="45" max="47" width="14.1640625" customWidth="1"/>
  </cols>
  <sheetData>
    <row r="1" spans="1:47" ht="16" thickBot="1" x14ac:dyDescent="0.25"/>
    <row r="2" spans="1:47" ht="17" thickBot="1" x14ac:dyDescent="0.25">
      <c r="A2" s="80" t="s">
        <v>5</v>
      </c>
      <c r="B2" s="78" t="s">
        <v>71</v>
      </c>
    </row>
    <row r="3" spans="1:47" ht="33" thickBot="1" x14ac:dyDescent="0.25">
      <c r="A3" s="81" t="s">
        <v>125</v>
      </c>
      <c r="B3" s="79" t="s">
        <v>126</v>
      </c>
      <c r="AS3" s="52" t="s">
        <v>4</v>
      </c>
      <c r="AT3" s="53" t="s">
        <v>137</v>
      </c>
      <c r="AU3" s="54" t="s">
        <v>138</v>
      </c>
    </row>
    <row r="4" spans="1:47" ht="16" thickBot="1" x14ac:dyDescent="0.25">
      <c r="AS4" s="63" t="str">
        <f>'Energy Costs Inputs (Optional)'!A7</f>
        <v>Electricity</v>
      </c>
      <c r="AT4" s="63">
        <f>IF('Energy Costs Inputs (Optional)'!B7&lt;&gt;"",'Energy Costs Inputs (Optional)'!B7/VLOOKUP(RIGHT('Energy Costs Inputs (Optional)'!C7,LEN('Energy Costs Inputs (Optional)'!C7)-1),'Emission Inputs (Optional)'!$T$10:$U$27,2,FALSE),IF('Energy Costs Inputs (Optional)'!G7&lt;&gt;"",'Energy Costs Inputs (Optional)'!G7/VLOOKUP(RIGHT('Energy Costs Inputs (Optional)'!H7,LEN('Energy Costs Inputs (Optional)'!H7)-1),'Emission Inputs (Optional)'!$T$10:$U$27,2,FALSE),""))</f>
        <v>43.960660500000003</v>
      </c>
      <c r="AU4" s="63" t="str">
        <f>IF(AND('Energy Costs Inputs (Optional)'!C7="",'Energy Costs Inputs (Optional)'!H7=""),"","/MMBtu")</f>
        <v>/MMBtu</v>
      </c>
    </row>
    <row r="5" spans="1:47" ht="48" customHeight="1" thickBot="1" x14ac:dyDescent="0.25">
      <c r="A5" s="118" t="s">
        <v>143</v>
      </c>
      <c r="B5" s="119"/>
      <c r="C5" s="119"/>
      <c r="D5" s="119"/>
      <c r="E5" s="119"/>
      <c r="F5" s="119"/>
      <c r="G5" s="119"/>
      <c r="H5" s="120"/>
      <c r="AS5" s="63" t="str">
        <f>'Energy Costs Inputs (Optional)'!A8</f>
        <v>Natural Gas</v>
      </c>
      <c r="AT5" s="63">
        <f>IF('Energy Costs Inputs (Optional)'!B8&lt;&gt;"",'Energy Costs Inputs (Optional)'!B8/VLOOKUP(RIGHT('Energy Costs Inputs (Optional)'!C8,LEN('Energy Costs Inputs (Optional)'!C8)-1),'Emission Inputs (Optional)'!$T$10:$U$27,2,FALSE),IF('Energy Costs Inputs (Optional)'!G8&lt;&gt;"",'Energy Costs Inputs (Optional)'!G8/VLOOKUP(RIGHT('Energy Costs Inputs (Optional)'!H8,LEN('Energy Costs Inputs (Optional)'!H8)-1),'Emission Inputs (Optional)'!$T$10:$U$27,2,FALSE),""))</f>
        <v>5.86</v>
      </c>
      <c r="AU5" s="63" t="str">
        <f>IF(AND('Energy Costs Inputs (Optional)'!C8="",'Energy Costs Inputs (Optional)'!H8=""),"","/MMBtu")</f>
        <v>/MMBtu</v>
      </c>
    </row>
    <row r="6" spans="1:47" ht="65" thickBot="1" x14ac:dyDescent="0.25">
      <c r="A6" s="68" t="s">
        <v>4</v>
      </c>
      <c r="B6" s="69" t="s">
        <v>141</v>
      </c>
      <c r="C6" s="70" t="s">
        <v>138</v>
      </c>
      <c r="D6" s="115" t="s">
        <v>144</v>
      </c>
      <c r="E6" s="68" t="s">
        <v>139</v>
      </c>
      <c r="F6" s="69" t="s">
        <v>140</v>
      </c>
      <c r="G6" s="69" t="s">
        <v>142</v>
      </c>
      <c r="H6" s="70" t="s">
        <v>138</v>
      </c>
      <c r="AS6" s="63" t="str">
        <f>'Energy Costs Inputs (Optional)'!A9</f>
        <v>Diesel</v>
      </c>
      <c r="AT6" s="63">
        <f>IF('Energy Costs Inputs (Optional)'!B9&lt;&gt;"",'Energy Costs Inputs (Optional)'!B9/VLOOKUP(RIGHT('Energy Costs Inputs (Optional)'!C9,LEN('Energy Costs Inputs (Optional)'!C9)-1),'Emission Inputs (Optional)'!$T$10:$U$27,2,FALSE),IF('Energy Costs Inputs (Optional)'!G9&lt;&gt;"",'Energy Costs Inputs (Optional)'!G9/VLOOKUP(RIGHT('Energy Costs Inputs (Optional)'!H9,LEN('Energy Costs Inputs (Optional)'!H9)-1),'Emission Inputs (Optional)'!$T$10:$U$27,2,FALSE),""))</f>
        <v>2.5</v>
      </c>
      <c r="AU6" s="63" t="str">
        <f>IF(AND('Energy Costs Inputs (Optional)'!C9="",'Energy Costs Inputs (Optional)'!H9=""),"","/MMBtu")</f>
        <v>/MMBtu</v>
      </c>
    </row>
    <row r="7" spans="1:47" x14ac:dyDescent="0.2">
      <c r="A7" s="64" t="str" cm="1">
        <f t="array" ref="A7">IF(IFERROR(INDEX('Energy Inputs'!$D$7:$D$189, MATCH(0, COUNTIF($A$5:A5, 'Energy Inputs'!$D$7:$D$189), 0)), "")="","",IFERROR(INDEX('Energy Inputs'!$D$7:$D$189, MATCH(0, COUNTIF($A$5:A5, 'Energy Inputs'!$D$7:$D$189), 0)), ""))</f>
        <v>Electricity</v>
      </c>
      <c r="B7" s="72">
        <f>IF(OR(E7&lt;&gt;"",F7&lt;&gt;"",G7&lt;&gt;""),"",0.15)</f>
        <v>0.15</v>
      </c>
      <c r="C7" s="66" t="str">
        <f>IF(A7="","",_xlfn.CONCAT("/",VLOOKUP(A7,Table13[[Energy Source]:[Units]],2,0),""))</f>
        <v>/kWh</v>
      </c>
      <c r="D7" s="116"/>
      <c r="E7" s="74"/>
      <c r="F7" s="75"/>
      <c r="G7" s="71" t="str">
        <f>IF(AND(E7&gt;0,F7&gt;0),F7/E7,"")</f>
        <v/>
      </c>
      <c r="H7" s="66" t="str">
        <f>IF(OR(A7="",G7=""),"",_xlfn.CONCAT("/",VLOOKUP(A7,Table13[[Energy Source]:[Units]],2,0),""))</f>
        <v/>
      </c>
      <c r="AS7" s="63" t="str">
        <f>'Energy Costs Inputs (Optional)'!A10</f>
        <v/>
      </c>
      <c r="AT7" s="63" t="str">
        <f>IF('Energy Costs Inputs (Optional)'!B10&lt;&gt;"",'Energy Costs Inputs (Optional)'!B10/VLOOKUP(RIGHT('Energy Costs Inputs (Optional)'!C10,LEN('Energy Costs Inputs (Optional)'!C10)-1),'Emission Inputs (Optional)'!$T$10:$U$27,2,FALSE),IF('Energy Costs Inputs (Optional)'!G10&lt;&gt;"",'Energy Costs Inputs (Optional)'!G10/VLOOKUP(RIGHT('Energy Costs Inputs (Optional)'!H10,LEN('Energy Costs Inputs (Optional)'!H10)-1),'Emission Inputs (Optional)'!$T$10:$U$27,2,FALSE),""))</f>
        <v/>
      </c>
      <c r="AU7" s="63" t="str">
        <f>IF(AND('Energy Costs Inputs (Optional)'!C10="",'Energy Costs Inputs (Optional)'!H10=""),"","/MMBtu")</f>
        <v/>
      </c>
    </row>
    <row r="8" spans="1:47" x14ac:dyDescent="0.2">
      <c r="A8" s="64" t="str" cm="1">
        <f t="array" ref="A8">IF(IFERROR(INDEX('Energy Inputs'!$D$7:$D$189, MATCH(0, COUNTIF($A$5:A7, 'Energy Inputs'!$D$7:$D$189), 0)), "")="","",IFERROR(INDEX('Energy Inputs'!$D$7:$D$189, MATCH(0, COUNTIF($A$5:A7, 'Energy Inputs'!$D$7:$D$189), 0)), ""))</f>
        <v>Natural Gas</v>
      </c>
      <c r="B8" s="72">
        <f>IF(OR(E8&lt;&gt;"",F8&lt;&gt;"",G8&lt;&gt;""),"",5.86)</f>
        <v>5.86</v>
      </c>
      <c r="C8" s="66" t="str">
        <f>IF(A8="","",_xlfn.CONCAT("/",VLOOKUP(A8,Table13[[Energy Source]:[Units]],2,0),""))</f>
        <v>/MMBtu</v>
      </c>
      <c r="D8" s="116"/>
      <c r="E8" s="74"/>
      <c r="F8" s="75"/>
      <c r="G8" s="71" t="str">
        <f t="shared" ref="G8:G23" si="0">IF(AND(E8&gt;0,F8&gt;0),F8/E8,"")</f>
        <v/>
      </c>
      <c r="H8" s="66" t="str">
        <f>IF(OR(A8="",G8=""),"",_xlfn.CONCAT("/",VLOOKUP(A8,Table13[[Energy Source]:[Units]],2,0),""))</f>
        <v/>
      </c>
      <c r="AS8" s="63" t="str">
        <f>'Energy Costs Inputs (Optional)'!A11</f>
        <v/>
      </c>
      <c r="AT8" s="63" t="str">
        <f>IF('Energy Costs Inputs (Optional)'!B11&lt;&gt;"",'Energy Costs Inputs (Optional)'!B11/VLOOKUP(RIGHT('Energy Costs Inputs (Optional)'!C11,LEN('Energy Costs Inputs (Optional)'!C11)-1),'Emission Inputs (Optional)'!$T$10:$U$27,2,FALSE),IF('Energy Costs Inputs (Optional)'!G11&lt;&gt;"",'Energy Costs Inputs (Optional)'!G11/VLOOKUP(RIGHT('Energy Costs Inputs (Optional)'!H11,LEN('Energy Costs Inputs (Optional)'!H11)-1),'Emission Inputs (Optional)'!$T$10:$U$27,2,FALSE),""))</f>
        <v/>
      </c>
      <c r="AU8" s="63" t="str">
        <f>IF(AND('Energy Costs Inputs (Optional)'!C11="",'Energy Costs Inputs (Optional)'!H11=""),"","/MMBtu")</f>
        <v/>
      </c>
    </row>
    <row r="9" spans="1:47" x14ac:dyDescent="0.2">
      <c r="A9" s="64" t="str" cm="1">
        <f t="array" ref="A9">IF(IFERROR(INDEX('Energy Inputs'!$D$7:$D$189, MATCH(0, COUNTIF($A$5:A8, 'Energy Inputs'!$D$7:$D$189), 0)), "")="","",IFERROR(INDEX('Energy Inputs'!$D$7:$D$189, MATCH(0, COUNTIF($A$5:A8, 'Energy Inputs'!$D$7:$D$189), 0)), ""))</f>
        <v>Diesel</v>
      </c>
      <c r="B9" s="72">
        <f>IF(OR(E9&lt;&gt;"",F9&lt;&gt;"",G9&lt;&gt;""),"",0.25)</f>
        <v>0.25</v>
      </c>
      <c r="C9" s="66" t="str">
        <f>IF(A9="","",_xlfn.CONCAT("/",VLOOKUP(A9,Table13[[Energy Source]:[Units]],2,0),""))</f>
        <v>/therm</v>
      </c>
      <c r="D9" s="116"/>
      <c r="E9" s="74"/>
      <c r="F9" s="75"/>
      <c r="G9" s="71" t="str">
        <f t="shared" si="0"/>
        <v/>
      </c>
      <c r="H9" s="66" t="str">
        <f>IF(OR(A9="",G9=""),"",_xlfn.CONCAT("/",VLOOKUP(A9,Table13[[Energy Source]:[Units]],2,0),""))</f>
        <v/>
      </c>
      <c r="AS9" s="63" t="str">
        <f>'Energy Costs Inputs (Optional)'!A12</f>
        <v/>
      </c>
      <c r="AT9" s="63" t="str">
        <f>IF('Energy Costs Inputs (Optional)'!B12&lt;&gt;"",'Energy Costs Inputs (Optional)'!B12/VLOOKUP(RIGHT('Energy Costs Inputs (Optional)'!C12,LEN('Energy Costs Inputs (Optional)'!C12)-1),'Emission Inputs (Optional)'!$T$10:$U$27,2,FALSE),IF('Energy Costs Inputs (Optional)'!G12&lt;&gt;"",'Energy Costs Inputs (Optional)'!G12/VLOOKUP(RIGHT('Energy Costs Inputs (Optional)'!H12,LEN('Energy Costs Inputs (Optional)'!H12)-1),'Emission Inputs (Optional)'!$T$10:$U$27,2,FALSE),""))</f>
        <v/>
      </c>
      <c r="AU9" s="63" t="str">
        <f>IF(AND('Energy Costs Inputs (Optional)'!C12="",'Energy Costs Inputs (Optional)'!H12=""),"","/MMBtu")</f>
        <v/>
      </c>
    </row>
    <row r="10" spans="1:47" x14ac:dyDescent="0.2">
      <c r="A10" s="64" t="str" cm="1">
        <f t="array" ref="A10">IF(IFERROR(INDEX('Energy Inputs'!$D$7:$D$189, MATCH(0, COUNTIF($A$5:A9, 'Energy Inputs'!$D$7:$D$189), 0)), "")="","",IFERROR(INDEX('Energy Inputs'!$D$7:$D$189, MATCH(0, COUNTIF($A$5:A9, 'Energy Inputs'!$D$7:$D$189), 0)), ""))</f>
        <v/>
      </c>
      <c r="B10" s="72"/>
      <c r="C10" s="66" t="str">
        <f>IF(A10="","",_xlfn.CONCAT("/",VLOOKUP(A10,Table13[[Energy Source]:[Units]],2,0),""))</f>
        <v/>
      </c>
      <c r="D10" s="116"/>
      <c r="E10" s="74"/>
      <c r="F10" s="75"/>
      <c r="G10" s="71" t="str">
        <f t="shared" si="0"/>
        <v/>
      </c>
      <c r="H10" s="66" t="str">
        <f>IF(OR(A10="",G10=""),"",_xlfn.CONCAT("/",VLOOKUP(A10,Table13[[Energy Source]:[Units]],2,0),""))</f>
        <v/>
      </c>
      <c r="AS10" s="63" t="str">
        <f>'Energy Costs Inputs (Optional)'!A13</f>
        <v/>
      </c>
      <c r="AT10" s="63" t="str">
        <f>IF('Energy Costs Inputs (Optional)'!B13&lt;&gt;"",'Energy Costs Inputs (Optional)'!B13/VLOOKUP(RIGHT('Energy Costs Inputs (Optional)'!C13,LEN('Energy Costs Inputs (Optional)'!C13)-1),'Emission Inputs (Optional)'!$T$10:$U$27,2,FALSE),IF('Energy Costs Inputs (Optional)'!G13&lt;&gt;"",'Energy Costs Inputs (Optional)'!G13/VLOOKUP(RIGHT('Energy Costs Inputs (Optional)'!H13,LEN('Energy Costs Inputs (Optional)'!H13)-1),'Emission Inputs (Optional)'!$T$10:$U$27,2,FALSE),""))</f>
        <v/>
      </c>
      <c r="AU10" s="63" t="str">
        <f>IF(AND('Energy Costs Inputs (Optional)'!C13="",'Energy Costs Inputs (Optional)'!H13=""),"","/MMBtu")</f>
        <v/>
      </c>
    </row>
    <row r="11" spans="1:47" x14ac:dyDescent="0.2">
      <c r="A11" s="64" t="str" cm="1">
        <f t="array" ref="A11">IF(IFERROR(INDEX('Energy Inputs'!$D$7:$D$189, MATCH(0, COUNTIF($A$5:A10, 'Energy Inputs'!$D$7:$D$189), 0)), "")="","",IFERROR(INDEX('Energy Inputs'!$D$7:$D$189, MATCH(0, COUNTIF($A$5:A10, 'Energy Inputs'!$D$7:$D$189), 0)), ""))</f>
        <v/>
      </c>
      <c r="B11" s="72"/>
      <c r="C11" s="66" t="str">
        <f>IF(A11="","",_xlfn.CONCAT("/",VLOOKUP(A11,Table13[[Energy Source]:[Units]],2,0),""))</f>
        <v/>
      </c>
      <c r="D11" s="116"/>
      <c r="E11" s="74"/>
      <c r="F11" s="75"/>
      <c r="G11" s="71" t="str">
        <f t="shared" si="0"/>
        <v/>
      </c>
      <c r="H11" s="66" t="str">
        <f>IF(OR(A11="",G11=""),"",_xlfn.CONCAT("/",VLOOKUP(A11,Table13[[Energy Source]:[Units]],2,0),""))</f>
        <v/>
      </c>
      <c r="AS11" s="63" t="str">
        <f>'Energy Costs Inputs (Optional)'!A14</f>
        <v/>
      </c>
      <c r="AT11" s="63" t="str">
        <f>IF('Energy Costs Inputs (Optional)'!B14&lt;&gt;"",'Energy Costs Inputs (Optional)'!B14/VLOOKUP(RIGHT('Energy Costs Inputs (Optional)'!C14,LEN('Energy Costs Inputs (Optional)'!C14)-1),'Emission Inputs (Optional)'!$T$10:$U$27,2,FALSE),IF('Energy Costs Inputs (Optional)'!G14&lt;&gt;"",'Energy Costs Inputs (Optional)'!G14/VLOOKUP(RIGHT('Energy Costs Inputs (Optional)'!H14,LEN('Energy Costs Inputs (Optional)'!H14)-1),'Emission Inputs (Optional)'!$T$10:$U$27,2,FALSE),""))</f>
        <v/>
      </c>
      <c r="AU11" s="63" t="str">
        <f>IF(AND('Energy Costs Inputs (Optional)'!C14="",'Energy Costs Inputs (Optional)'!H14=""),"","/MMBtu")</f>
        <v/>
      </c>
    </row>
    <row r="12" spans="1:47" x14ac:dyDescent="0.2">
      <c r="A12" s="64" t="str" cm="1">
        <f t="array" ref="A12">IF(IFERROR(INDEX('Energy Inputs'!$D$7:$D$189, MATCH(0, COUNTIF($A$5:A11, 'Energy Inputs'!$D$7:$D$189), 0)), "")="","",IFERROR(INDEX('Energy Inputs'!$D$7:$D$189, MATCH(0, COUNTIF($A$5:A11, 'Energy Inputs'!$D$7:$D$189), 0)), ""))</f>
        <v/>
      </c>
      <c r="B12" s="72"/>
      <c r="C12" s="66" t="str">
        <f>IF(A12="","",_xlfn.CONCAT("/",VLOOKUP(A12,Table13[[Energy Source]:[Units]],2,0),""))</f>
        <v/>
      </c>
      <c r="D12" s="116"/>
      <c r="E12" s="74"/>
      <c r="F12" s="75"/>
      <c r="G12" s="71" t="str">
        <f t="shared" si="0"/>
        <v/>
      </c>
      <c r="H12" s="66" t="str">
        <f>IF(OR(A12="",G12=""),"",_xlfn.CONCAT("/",VLOOKUP(A12,Table13[[Energy Source]:[Units]],2,0),""))</f>
        <v/>
      </c>
      <c r="AS12" s="63" t="str">
        <f>'Energy Costs Inputs (Optional)'!A15</f>
        <v/>
      </c>
      <c r="AT12" s="63" t="str">
        <f>IF('Energy Costs Inputs (Optional)'!B15&lt;&gt;"",'Energy Costs Inputs (Optional)'!B15/VLOOKUP(RIGHT('Energy Costs Inputs (Optional)'!C15,LEN('Energy Costs Inputs (Optional)'!C15)-1),'Emission Inputs (Optional)'!$T$10:$U$27,2,FALSE),IF('Energy Costs Inputs (Optional)'!G15&lt;&gt;"",'Energy Costs Inputs (Optional)'!G15/VLOOKUP(RIGHT('Energy Costs Inputs (Optional)'!H15,LEN('Energy Costs Inputs (Optional)'!H15)-1),'Emission Inputs (Optional)'!$T$10:$U$27,2,FALSE),""))</f>
        <v/>
      </c>
      <c r="AU12" s="63" t="str">
        <f>IF(AND('Energy Costs Inputs (Optional)'!C15="",'Energy Costs Inputs (Optional)'!H15=""),"","/MMBtu")</f>
        <v/>
      </c>
    </row>
    <row r="13" spans="1:47" x14ac:dyDescent="0.2">
      <c r="A13" s="64" t="str" cm="1">
        <f t="array" ref="A13">IF(IFERROR(INDEX('Energy Inputs'!$D$7:$D$189, MATCH(0, COUNTIF($A$5:A12, 'Energy Inputs'!$D$7:$D$189), 0)), "")="","",IFERROR(INDEX('Energy Inputs'!$D$7:$D$189, MATCH(0, COUNTIF($A$5:A12, 'Energy Inputs'!$D$7:$D$189), 0)), ""))</f>
        <v/>
      </c>
      <c r="B13" s="72"/>
      <c r="C13" s="66" t="str">
        <f>IF(A13="","",_xlfn.CONCAT("/",VLOOKUP(A13,Table13[[Energy Source]:[Units]],2,0),""))</f>
        <v/>
      </c>
      <c r="D13" s="116"/>
      <c r="E13" s="74"/>
      <c r="F13" s="75"/>
      <c r="G13" s="71" t="str">
        <f t="shared" si="0"/>
        <v/>
      </c>
      <c r="H13" s="66" t="str">
        <f>IF(OR(A13="",G13=""),"",_xlfn.CONCAT("/",VLOOKUP(A13,Table13[[Energy Source]:[Units]],2,0),""))</f>
        <v/>
      </c>
      <c r="AS13" s="63" t="str">
        <f>'Energy Costs Inputs (Optional)'!A16</f>
        <v/>
      </c>
      <c r="AT13" s="63" t="str">
        <f>IF('Energy Costs Inputs (Optional)'!B16&lt;&gt;"",'Energy Costs Inputs (Optional)'!B16/VLOOKUP(RIGHT('Energy Costs Inputs (Optional)'!C16,LEN('Energy Costs Inputs (Optional)'!C16)-1),'Emission Inputs (Optional)'!$T$10:$U$27,2,FALSE),IF('Energy Costs Inputs (Optional)'!G16&lt;&gt;"",'Energy Costs Inputs (Optional)'!G16/VLOOKUP(RIGHT('Energy Costs Inputs (Optional)'!H16,LEN('Energy Costs Inputs (Optional)'!H16)-1),'Emission Inputs (Optional)'!$T$10:$U$27,2,FALSE),""))</f>
        <v/>
      </c>
      <c r="AU13" s="63" t="str">
        <f>IF(AND('Energy Costs Inputs (Optional)'!C16="",'Energy Costs Inputs (Optional)'!H16=""),"","/MMBtu")</f>
        <v/>
      </c>
    </row>
    <row r="14" spans="1:47" x14ac:dyDescent="0.2">
      <c r="A14" s="64" t="str" cm="1">
        <f t="array" ref="A14">IF(IFERROR(INDEX('Energy Inputs'!$D$7:$D$189, MATCH(0, COUNTIF($A$5:A13, 'Energy Inputs'!$D$7:$D$189), 0)), "")="","",IFERROR(INDEX('Energy Inputs'!$D$7:$D$189, MATCH(0, COUNTIF($A$5:A13, 'Energy Inputs'!$D$7:$D$189), 0)), ""))</f>
        <v/>
      </c>
      <c r="B14" s="72"/>
      <c r="C14" s="66" t="str">
        <f>IF(A14="","",_xlfn.CONCAT("/",VLOOKUP(A14,Table13[[Energy Source]:[Units]],2,0),""))</f>
        <v/>
      </c>
      <c r="D14" s="116"/>
      <c r="E14" s="74"/>
      <c r="F14" s="75"/>
      <c r="G14" s="71" t="str">
        <f t="shared" si="0"/>
        <v/>
      </c>
      <c r="H14" s="66" t="str">
        <f>IF(OR(A14="",G14=""),"",_xlfn.CONCAT("/",VLOOKUP(A14,Table13[[Energy Source]:[Units]],2,0),""))</f>
        <v/>
      </c>
      <c r="AS14" s="63" t="str">
        <f>'Energy Costs Inputs (Optional)'!A17</f>
        <v/>
      </c>
      <c r="AT14" s="63" t="str">
        <f>IF('Energy Costs Inputs (Optional)'!B17&lt;&gt;"",'Energy Costs Inputs (Optional)'!B17/VLOOKUP(RIGHT('Energy Costs Inputs (Optional)'!C17,LEN('Energy Costs Inputs (Optional)'!C17)-1),'Emission Inputs (Optional)'!$T$10:$U$27,2,FALSE),IF('Energy Costs Inputs (Optional)'!G17&lt;&gt;"",'Energy Costs Inputs (Optional)'!G17/VLOOKUP(RIGHT('Energy Costs Inputs (Optional)'!H17,LEN('Energy Costs Inputs (Optional)'!H17)-1),'Emission Inputs (Optional)'!$T$10:$U$27,2,FALSE),""))</f>
        <v/>
      </c>
      <c r="AU14" s="63" t="str">
        <f>IF(AND('Energy Costs Inputs (Optional)'!C17="",'Energy Costs Inputs (Optional)'!H17=""),"","/MMBtu")</f>
        <v/>
      </c>
    </row>
    <row r="15" spans="1:47" x14ac:dyDescent="0.2">
      <c r="A15" s="64" t="str" cm="1">
        <f t="array" ref="A15">IF(IFERROR(INDEX('Energy Inputs'!$D$7:$D$189, MATCH(0, COUNTIF($A$5:A14, 'Energy Inputs'!$D$7:$D$189), 0)), "")="","",IFERROR(INDEX('Energy Inputs'!$D$7:$D$189, MATCH(0, COUNTIF($A$5:A14, 'Energy Inputs'!$D$7:$D$189), 0)), ""))</f>
        <v/>
      </c>
      <c r="B15" s="72"/>
      <c r="C15" s="66" t="str">
        <f>IF(A15="","",_xlfn.CONCAT("/",VLOOKUP(A15,Table13[[Energy Source]:[Units]],2,0),""))</f>
        <v/>
      </c>
      <c r="D15" s="116"/>
      <c r="E15" s="74"/>
      <c r="F15" s="75"/>
      <c r="G15" s="71" t="str">
        <f t="shared" si="0"/>
        <v/>
      </c>
      <c r="H15" s="66" t="str">
        <f>IF(OR(A15="",G15=""),"",_xlfn.CONCAT("/",VLOOKUP(A15,Table13[[Energy Source]:[Units]],2,0),""))</f>
        <v/>
      </c>
      <c r="AS15" s="63" t="str">
        <f>'Energy Costs Inputs (Optional)'!A18</f>
        <v/>
      </c>
      <c r="AT15" s="63" t="str">
        <f>IF('Energy Costs Inputs (Optional)'!B18&lt;&gt;"",'Energy Costs Inputs (Optional)'!B18/VLOOKUP(RIGHT('Energy Costs Inputs (Optional)'!C18,LEN('Energy Costs Inputs (Optional)'!C18)-1),'Emission Inputs (Optional)'!$T$10:$U$27,2,FALSE),IF('Energy Costs Inputs (Optional)'!G18&lt;&gt;"",'Energy Costs Inputs (Optional)'!G18/VLOOKUP(RIGHT('Energy Costs Inputs (Optional)'!H18,LEN('Energy Costs Inputs (Optional)'!H18)-1),'Emission Inputs (Optional)'!$T$10:$U$27,2,FALSE),""))</f>
        <v/>
      </c>
      <c r="AU15" s="63" t="str">
        <f>IF(AND('Energy Costs Inputs (Optional)'!C18="",'Energy Costs Inputs (Optional)'!H18=""),"","/MMBtu")</f>
        <v/>
      </c>
    </row>
    <row r="16" spans="1:47" x14ac:dyDescent="0.2">
      <c r="A16" s="64" t="str" cm="1">
        <f t="array" ref="A16">IF(IFERROR(INDEX('Energy Inputs'!$D$7:$D$189, MATCH(0, COUNTIF($A$5:A15, 'Energy Inputs'!$D$7:$D$189), 0)), "")="","",IFERROR(INDEX('Energy Inputs'!$D$7:$D$189, MATCH(0, COUNTIF($A$5:A15, 'Energy Inputs'!$D$7:$D$189), 0)), ""))</f>
        <v/>
      </c>
      <c r="B16" s="72"/>
      <c r="C16" s="66" t="str">
        <f>IF(A16="","",_xlfn.CONCAT("/",VLOOKUP(A16,Table13[[Energy Source]:[Units]],2,0),""))</f>
        <v/>
      </c>
      <c r="D16" s="116"/>
      <c r="E16" s="74"/>
      <c r="F16" s="75"/>
      <c r="G16" s="71" t="str">
        <f t="shared" si="0"/>
        <v/>
      </c>
      <c r="H16" s="66" t="str">
        <f>IF(OR(A16="",G16=""),"",_xlfn.CONCAT("/",VLOOKUP(A16,Table13[[Energy Source]:[Units]],2,0),""))</f>
        <v/>
      </c>
      <c r="AS16" s="63" t="str">
        <f>'Energy Costs Inputs (Optional)'!A19</f>
        <v/>
      </c>
      <c r="AT16" s="63" t="str">
        <f>IF('Energy Costs Inputs (Optional)'!B19&lt;&gt;"",'Energy Costs Inputs (Optional)'!B19/VLOOKUP(RIGHT('Energy Costs Inputs (Optional)'!C19,LEN('Energy Costs Inputs (Optional)'!C19)-1),'Emission Inputs (Optional)'!$T$10:$U$27,2,FALSE),IF('Energy Costs Inputs (Optional)'!G19&lt;&gt;"",'Energy Costs Inputs (Optional)'!G19/VLOOKUP(RIGHT('Energy Costs Inputs (Optional)'!H19,LEN('Energy Costs Inputs (Optional)'!H19)-1),'Emission Inputs (Optional)'!$T$10:$U$27,2,FALSE),""))</f>
        <v/>
      </c>
      <c r="AU16" s="63" t="str">
        <f>IF(AND('Energy Costs Inputs (Optional)'!C19="",'Energy Costs Inputs (Optional)'!H19=""),"","/MMBtu")</f>
        <v/>
      </c>
    </row>
    <row r="17" spans="1:47" x14ac:dyDescent="0.2">
      <c r="A17" s="64" t="str" cm="1">
        <f t="array" ref="A17">IF(IFERROR(INDEX('Energy Inputs'!$D$7:$D$189, MATCH(0, COUNTIF($A$5:A16, 'Energy Inputs'!$D$7:$D$189), 0)), "")="","",IFERROR(INDEX('Energy Inputs'!$D$7:$D$189, MATCH(0, COUNTIF($A$5:A16, 'Energy Inputs'!$D$7:$D$189), 0)), ""))</f>
        <v/>
      </c>
      <c r="B17" s="72"/>
      <c r="C17" s="66" t="str">
        <f>IF(A17="","",_xlfn.CONCAT("/",VLOOKUP(A17,Table13[[Energy Source]:[Units]],2,0),""))</f>
        <v/>
      </c>
      <c r="D17" s="116"/>
      <c r="E17" s="74"/>
      <c r="F17" s="75"/>
      <c r="G17" s="71" t="str">
        <f t="shared" si="0"/>
        <v/>
      </c>
      <c r="H17" s="66" t="str">
        <f>IF(OR(A17="",G17=""),"",_xlfn.CONCAT("/",VLOOKUP(A17,Table13[[Energy Source]:[Units]],2,0),""))</f>
        <v/>
      </c>
      <c r="AS17" s="63" t="str">
        <f>'Energy Costs Inputs (Optional)'!A20</f>
        <v/>
      </c>
      <c r="AT17" s="63" t="str">
        <f>IF('Energy Costs Inputs (Optional)'!B20&lt;&gt;"",'Energy Costs Inputs (Optional)'!B20/VLOOKUP(RIGHT('Energy Costs Inputs (Optional)'!C20,LEN('Energy Costs Inputs (Optional)'!C20)-1),'Emission Inputs (Optional)'!$T$10:$U$27,2,FALSE),IF('Energy Costs Inputs (Optional)'!G20&lt;&gt;"",'Energy Costs Inputs (Optional)'!G20/VLOOKUP(RIGHT('Energy Costs Inputs (Optional)'!H20,LEN('Energy Costs Inputs (Optional)'!H20)-1),'Emission Inputs (Optional)'!$T$10:$U$27,2,FALSE),""))</f>
        <v/>
      </c>
      <c r="AU17" s="63" t="str">
        <f>IF(AND('Energy Costs Inputs (Optional)'!C20="",'Energy Costs Inputs (Optional)'!H20=""),"","/MMBtu")</f>
        <v/>
      </c>
    </row>
    <row r="18" spans="1:47" x14ac:dyDescent="0.2">
      <c r="A18" s="64" t="str" cm="1">
        <f t="array" ref="A18">IF(IFERROR(INDEX('Energy Inputs'!$D$7:$D$189, MATCH(0, COUNTIF($A$5:A17, 'Energy Inputs'!$D$7:$D$189), 0)), "")="","",IFERROR(INDEX('Energy Inputs'!$D$7:$D$189, MATCH(0, COUNTIF($A$5:A17, 'Energy Inputs'!$D$7:$D$189), 0)), ""))</f>
        <v/>
      </c>
      <c r="B18" s="72"/>
      <c r="C18" s="66" t="str">
        <f>IF(A18="","",_xlfn.CONCAT("/",VLOOKUP(A18,Table13[[Energy Source]:[Units]],2,0),""))</f>
        <v/>
      </c>
      <c r="D18" s="116"/>
      <c r="E18" s="74"/>
      <c r="F18" s="75"/>
      <c r="G18" s="71" t="str">
        <f t="shared" si="0"/>
        <v/>
      </c>
      <c r="H18" s="66" t="str">
        <f>IF(OR(A18="",G18=""),"",_xlfn.CONCAT("/",VLOOKUP(A18,Table13[[Energy Source]:[Units]],2,0),""))</f>
        <v/>
      </c>
      <c r="AS18" s="63" t="str">
        <f>'Energy Costs Inputs (Optional)'!A21</f>
        <v/>
      </c>
      <c r="AT18" s="63" t="str">
        <f>IF('Energy Costs Inputs (Optional)'!B21&lt;&gt;"",'Energy Costs Inputs (Optional)'!B21/VLOOKUP(RIGHT('Energy Costs Inputs (Optional)'!C21,LEN('Energy Costs Inputs (Optional)'!C21)-1),'Emission Inputs (Optional)'!$T$10:$U$27,2,FALSE),IF('Energy Costs Inputs (Optional)'!G21&lt;&gt;"",'Energy Costs Inputs (Optional)'!G21/VLOOKUP(RIGHT('Energy Costs Inputs (Optional)'!H21,LEN('Energy Costs Inputs (Optional)'!H21)-1),'Emission Inputs (Optional)'!$T$10:$U$27,2,FALSE),""))</f>
        <v/>
      </c>
      <c r="AU18" s="63" t="str">
        <f>IF(AND('Energy Costs Inputs (Optional)'!C21="",'Energy Costs Inputs (Optional)'!H21=""),"","/MMBtu")</f>
        <v/>
      </c>
    </row>
    <row r="19" spans="1:47" x14ac:dyDescent="0.2">
      <c r="A19" s="64" t="str" cm="1">
        <f t="array" ref="A19">IF(IFERROR(INDEX('Energy Inputs'!$D$7:$D$189, MATCH(0, COUNTIF($A$5:A18, 'Energy Inputs'!$D$7:$D$189), 0)), "")="","",IFERROR(INDEX('Energy Inputs'!$D$7:$D$189, MATCH(0, COUNTIF($A$5:A18, 'Energy Inputs'!$D$7:$D$189), 0)), ""))</f>
        <v/>
      </c>
      <c r="B19" s="72"/>
      <c r="C19" s="66" t="str">
        <f>IF(A19="","",_xlfn.CONCAT("/",VLOOKUP(A19,Table13[[Energy Source]:[Units]],2,0),""))</f>
        <v/>
      </c>
      <c r="D19" s="116"/>
      <c r="E19" s="74"/>
      <c r="F19" s="75"/>
      <c r="G19" s="71" t="str">
        <f t="shared" si="0"/>
        <v/>
      </c>
      <c r="H19" s="66" t="str">
        <f>IF(OR(A19="",G19=""),"",_xlfn.CONCAT("/",VLOOKUP(A19,Table13[[Energy Source]:[Units]],2,0),""))</f>
        <v/>
      </c>
      <c r="AS19" s="63" t="str">
        <f>'Energy Costs Inputs (Optional)'!A22</f>
        <v/>
      </c>
      <c r="AT19" s="63" t="str">
        <f>IF('Energy Costs Inputs (Optional)'!B22&lt;&gt;"",'Energy Costs Inputs (Optional)'!B22/VLOOKUP(RIGHT('Energy Costs Inputs (Optional)'!C22,LEN('Energy Costs Inputs (Optional)'!C22)-1),'Emission Inputs (Optional)'!$T$10:$U$27,2,FALSE),IF('Energy Costs Inputs (Optional)'!G22&lt;&gt;"",'Energy Costs Inputs (Optional)'!G22/VLOOKUP(RIGHT('Energy Costs Inputs (Optional)'!H22,LEN('Energy Costs Inputs (Optional)'!H22)-1),'Emission Inputs (Optional)'!$T$10:$U$27,2,FALSE),""))</f>
        <v/>
      </c>
      <c r="AU19" s="63" t="str">
        <f>IF(AND('Energy Costs Inputs (Optional)'!C22="",'Energy Costs Inputs (Optional)'!H22=""),"","/MMBtu")</f>
        <v/>
      </c>
    </row>
    <row r="20" spans="1:47" x14ac:dyDescent="0.2">
      <c r="A20" s="64" t="str" cm="1">
        <f t="array" ref="A20">IF(IFERROR(INDEX('Energy Inputs'!$D$7:$D$189, MATCH(0, COUNTIF($A$5:A19, 'Energy Inputs'!$D$7:$D$189), 0)), "")="","",IFERROR(INDEX('Energy Inputs'!$D$7:$D$189, MATCH(0, COUNTIF($A$5:A19, 'Energy Inputs'!$D$7:$D$189), 0)), ""))</f>
        <v/>
      </c>
      <c r="B20" s="72"/>
      <c r="C20" s="66" t="str">
        <f>IF(A20="","",_xlfn.CONCAT("/",VLOOKUP(A20,Table13[[Energy Source]:[Units]],2,0),""))</f>
        <v/>
      </c>
      <c r="D20" s="116"/>
      <c r="E20" s="74"/>
      <c r="F20" s="75"/>
      <c r="G20" s="71" t="str">
        <f t="shared" si="0"/>
        <v/>
      </c>
      <c r="H20" s="66" t="str">
        <f>IF(OR(A20="",G20=""),"",_xlfn.CONCAT("/",VLOOKUP(A20,Table13[[Energy Source]:[Units]],2,0),""))</f>
        <v/>
      </c>
      <c r="AS20" s="63" t="str">
        <f>'Energy Costs Inputs (Optional)'!A23</f>
        <v/>
      </c>
      <c r="AT20" s="63" t="str">
        <f>IF('Energy Costs Inputs (Optional)'!B23&lt;&gt;"",'Energy Costs Inputs (Optional)'!B23/VLOOKUP(RIGHT('Energy Costs Inputs (Optional)'!C23,LEN('Energy Costs Inputs (Optional)'!C23)-1),'Emission Inputs (Optional)'!$T$10:$U$27,2,FALSE),IF('Energy Costs Inputs (Optional)'!G23&lt;&gt;"",'Energy Costs Inputs (Optional)'!G23/VLOOKUP(RIGHT('Energy Costs Inputs (Optional)'!H23,LEN('Energy Costs Inputs (Optional)'!H23)-1),'Emission Inputs (Optional)'!$T$10:$U$27,2,FALSE),""))</f>
        <v/>
      </c>
      <c r="AU20" s="63" t="str">
        <f>IF(AND('Energy Costs Inputs (Optional)'!C23="",'Energy Costs Inputs (Optional)'!H23=""),"","/MMBtu")</f>
        <v/>
      </c>
    </row>
    <row r="21" spans="1:47" x14ac:dyDescent="0.2">
      <c r="A21" s="64" t="str" cm="1">
        <f t="array" ref="A21">IF(IFERROR(INDEX('Energy Inputs'!$D$7:$D$189, MATCH(0, COUNTIF($A$5:A20, 'Energy Inputs'!$D$7:$D$189), 0)), "")="","",IFERROR(INDEX('Energy Inputs'!$D$7:$D$189, MATCH(0, COUNTIF($A$5:A20, 'Energy Inputs'!$D$7:$D$189), 0)), ""))</f>
        <v/>
      </c>
      <c r="B21" s="72"/>
      <c r="C21" s="66" t="str">
        <f>IF(A21="","",_xlfn.CONCAT("/",VLOOKUP(A21,Table13[[Energy Source]:[Units]],2,0),""))</f>
        <v/>
      </c>
      <c r="D21" s="116"/>
      <c r="E21" s="74"/>
      <c r="F21" s="75"/>
      <c r="G21" s="71" t="str">
        <f t="shared" si="0"/>
        <v/>
      </c>
      <c r="H21" s="66" t="str">
        <f>IF(OR(A21="",G21=""),"",_xlfn.CONCAT("/",VLOOKUP(A21,Table13[[Energy Source]:[Units]],2,0),""))</f>
        <v/>
      </c>
    </row>
    <row r="22" spans="1:47" x14ac:dyDescent="0.2">
      <c r="A22" s="64" t="str" cm="1">
        <f t="array" ref="A22">IF(IFERROR(INDEX('Energy Inputs'!$D$7:$D$189, MATCH(0, COUNTIF($A$5:A21, 'Energy Inputs'!$D$7:$D$189), 0)), "")="","",IFERROR(INDEX('Energy Inputs'!$D$7:$D$189, MATCH(0, COUNTIF($A$5:A21, 'Energy Inputs'!$D$7:$D$189), 0)), ""))</f>
        <v/>
      </c>
      <c r="B22" s="72"/>
      <c r="C22" s="66" t="str">
        <f>IF(A22="","",_xlfn.CONCAT("/",VLOOKUP(A22,Table13[[Energy Source]:[Units]],2,0),""))</f>
        <v/>
      </c>
      <c r="D22" s="116"/>
      <c r="E22" s="74"/>
      <c r="F22" s="75"/>
      <c r="G22" s="71" t="str">
        <f t="shared" si="0"/>
        <v/>
      </c>
      <c r="H22" s="66" t="str">
        <f>IF(OR(A22="",G22=""),"",_xlfn.CONCAT("/",VLOOKUP(A22,Table13[[Energy Source]:[Units]],2,0),""))</f>
        <v/>
      </c>
    </row>
    <row r="23" spans="1:47" ht="16" thickBot="1" x14ac:dyDescent="0.25">
      <c r="A23" s="65" t="str" cm="1">
        <f t="array" ref="A23">IF(IFERROR(INDEX('Energy Inputs'!$D$7:$D$189, MATCH(0, COUNTIF($A$5:A22, 'Energy Inputs'!$D$7:$D$189), 0)), "")="","",IFERROR(INDEX('Energy Inputs'!$D$7:$D$189, MATCH(0, COUNTIF($A$5:A22, 'Energy Inputs'!$D$7:$D$189), 0)), ""))</f>
        <v/>
      </c>
      <c r="B23" s="73"/>
      <c r="C23" s="67" t="str">
        <f>IF(A23="","",_xlfn.CONCAT("/",VLOOKUP(A23,Table13[[Energy Source]:[Units]],2,0),""))</f>
        <v/>
      </c>
      <c r="D23" s="117"/>
      <c r="E23" s="76"/>
      <c r="F23" s="77"/>
      <c r="G23" s="71" t="str">
        <f t="shared" si="0"/>
        <v/>
      </c>
      <c r="H23" s="67" t="str">
        <f>IF(OR(A23="",G23=""),"",_xlfn.CONCAT("/",VLOOKUP(A23,Table13[[Energy Source]:[Units]],2,0),""))</f>
        <v/>
      </c>
    </row>
  </sheetData>
  <mergeCells count="2">
    <mergeCell ref="D6:D23"/>
    <mergeCell ref="A5:H5"/>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B7C186-B7B2-4581-A10E-D0520588BC30}">
  <sheetPr codeName="Sheet7"/>
  <dimension ref="B1:U793"/>
  <sheetViews>
    <sheetView zoomScale="150" zoomScaleNormal="115" workbookViewId="0">
      <selection activeCell="M11" sqref="M11:R18"/>
    </sheetView>
  </sheetViews>
  <sheetFormatPr baseColWidth="10" defaultColWidth="8.83203125" defaultRowHeight="15" x14ac:dyDescent="0.2"/>
  <cols>
    <col min="2" max="2" width="11.1640625" customWidth="1"/>
    <col min="3" max="3" width="52.83203125" customWidth="1"/>
    <col min="4" max="4" width="26.1640625" bestFit="1" customWidth="1"/>
    <col min="5" max="6" width="12.83203125" customWidth="1"/>
    <col min="7" max="7" width="30.1640625" customWidth="1"/>
    <col min="8" max="8" width="19" customWidth="1"/>
    <col min="9" max="10" width="16.83203125" customWidth="1"/>
    <col min="11" max="11" width="12.83203125" customWidth="1"/>
    <col min="12" max="12" width="21.83203125" bestFit="1" customWidth="1"/>
    <col min="13" max="13" width="10.5" bestFit="1" customWidth="1"/>
    <col min="14" max="14" width="7.1640625" bestFit="1" customWidth="1"/>
    <col min="15" max="16" width="7.5" bestFit="1" customWidth="1"/>
    <col min="17" max="18" width="7.1640625" bestFit="1" customWidth="1"/>
    <col min="19" max="19" width="12.83203125" customWidth="1"/>
    <col min="20" max="21" width="26.83203125" customWidth="1"/>
    <col min="23" max="23" width="11.83203125" customWidth="1"/>
    <col min="24" max="24" width="12.83203125" customWidth="1"/>
  </cols>
  <sheetData>
    <row r="1" spans="2:21" ht="26.5" customHeight="1" thickBot="1" x14ac:dyDescent="0.25">
      <c r="B1" s="125" t="s">
        <v>122</v>
      </c>
      <c r="C1" s="126"/>
      <c r="D1" s="127"/>
      <c r="E1" s="36"/>
      <c r="F1" s="36"/>
      <c r="G1" s="36"/>
      <c r="H1" s="36"/>
      <c r="K1" s="36"/>
      <c r="L1" s="36"/>
      <c r="M1" s="36"/>
      <c r="N1" s="36"/>
      <c r="O1" s="36"/>
      <c r="P1" s="36"/>
      <c r="Q1" s="36"/>
      <c r="R1" s="36"/>
      <c r="S1" s="36"/>
      <c r="T1" s="36"/>
      <c r="U1" s="36"/>
    </row>
    <row r="2" spans="2:21" ht="16" thickBot="1" x14ac:dyDescent="0.25"/>
    <row r="3" spans="2:21" ht="16" x14ac:dyDescent="0.2">
      <c r="B3" s="48" t="s">
        <v>5</v>
      </c>
      <c r="C3" s="46" t="s">
        <v>71</v>
      </c>
    </row>
    <row r="4" spans="2:21" ht="17" thickBot="1" x14ac:dyDescent="0.25">
      <c r="B4" s="49" t="s">
        <v>125</v>
      </c>
      <c r="C4" s="47" t="s">
        <v>126</v>
      </c>
    </row>
    <row r="6" spans="2:21" ht="16" x14ac:dyDescent="0.2">
      <c r="B6" s="137" t="s">
        <v>64</v>
      </c>
      <c r="C6" s="137"/>
      <c r="D6" s="137"/>
      <c r="F6" s="137" t="s">
        <v>136</v>
      </c>
      <c r="G6" s="137"/>
      <c r="H6" s="137"/>
      <c r="I6" s="137"/>
      <c r="J6" s="137"/>
      <c r="L6" s="137" t="s">
        <v>129</v>
      </c>
      <c r="M6" s="137"/>
      <c r="N6" s="137"/>
      <c r="O6" s="137"/>
      <c r="P6" s="137"/>
      <c r="Q6" s="137"/>
      <c r="R6" s="137"/>
      <c r="T6" s="137" t="s">
        <v>130</v>
      </c>
      <c r="U6" s="137"/>
    </row>
    <row r="7" spans="2:21" ht="16" thickBot="1" x14ac:dyDescent="0.25"/>
    <row r="8" spans="2:21" ht="50.5" customHeight="1" thickBot="1" x14ac:dyDescent="0.25">
      <c r="B8" s="8"/>
      <c r="C8" s="139" t="s">
        <v>83</v>
      </c>
      <c r="D8" s="140"/>
      <c r="F8" s="52" t="s">
        <v>117</v>
      </c>
      <c r="G8" s="53" t="s">
        <v>95</v>
      </c>
      <c r="H8" s="53" t="s">
        <v>89</v>
      </c>
      <c r="I8" s="53" t="s">
        <v>135</v>
      </c>
      <c r="J8" s="54" t="s">
        <v>154</v>
      </c>
      <c r="L8" s="123" t="s">
        <v>78</v>
      </c>
      <c r="M8" s="138"/>
      <c r="N8" s="138"/>
      <c r="O8" s="138"/>
      <c r="P8" s="138"/>
      <c r="Q8" s="138"/>
      <c r="R8" s="124"/>
      <c r="T8" s="123" t="s">
        <v>119</v>
      </c>
      <c r="U8" s="124"/>
    </row>
    <row r="9" spans="2:21" ht="17" x14ac:dyDescent="0.25">
      <c r="B9" s="128" t="s">
        <v>76</v>
      </c>
      <c r="C9" s="135" t="s">
        <v>104</v>
      </c>
      <c r="D9" s="136"/>
      <c r="F9" s="55">
        <v>1</v>
      </c>
      <c r="G9" s="12" t="s">
        <v>102</v>
      </c>
      <c r="H9" s="12" t="s">
        <v>88</v>
      </c>
      <c r="I9" s="12">
        <v>90</v>
      </c>
      <c r="J9" s="56">
        <v>10</v>
      </c>
      <c r="L9" s="20" t="s">
        <v>4</v>
      </c>
      <c r="M9" s="21"/>
      <c r="N9" s="34" t="s">
        <v>98</v>
      </c>
      <c r="O9" s="34"/>
      <c r="P9" s="34"/>
      <c r="Q9" s="34"/>
      <c r="R9" s="35"/>
      <c r="T9" s="30"/>
      <c r="U9" s="31" t="s">
        <v>68</v>
      </c>
    </row>
    <row r="10" spans="2:21" ht="39.5" customHeight="1" thickBot="1" x14ac:dyDescent="0.25">
      <c r="B10" s="130"/>
      <c r="C10" s="10" t="s">
        <v>106</v>
      </c>
      <c r="D10" s="15"/>
      <c r="F10" s="55">
        <v>2</v>
      </c>
      <c r="G10" s="12" t="s">
        <v>103</v>
      </c>
      <c r="H10" s="12" t="s">
        <v>87</v>
      </c>
      <c r="I10" s="12">
        <v>25</v>
      </c>
      <c r="J10" s="56">
        <v>15</v>
      </c>
      <c r="L10" s="22" t="s">
        <v>99</v>
      </c>
      <c r="M10" s="4" t="s">
        <v>95</v>
      </c>
      <c r="N10" s="4" t="s">
        <v>69</v>
      </c>
      <c r="O10" s="4" t="s">
        <v>67</v>
      </c>
      <c r="P10" s="4" t="s">
        <v>68</v>
      </c>
      <c r="Q10" s="4" t="s">
        <v>70</v>
      </c>
      <c r="R10" s="23" t="s">
        <v>97</v>
      </c>
      <c r="T10" s="22" t="s">
        <v>69</v>
      </c>
      <c r="U10" s="32">
        <f>N11/P11</f>
        <v>9.4781712087029862E-7</v>
      </c>
    </row>
    <row r="11" spans="2:21" ht="16" thickBot="1" x14ac:dyDescent="0.25">
      <c r="B11" s="11"/>
      <c r="C11" s="8"/>
      <c r="D11" s="8"/>
      <c r="F11" s="55"/>
      <c r="G11" s="12"/>
      <c r="H11" s="12"/>
      <c r="I11" s="12"/>
      <c r="J11" s="56"/>
      <c r="L11" s="24" t="s">
        <v>0</v>
      </c>
      <c r="M11" s="17" t="str">
        <f>IF(ISBLANK('Emission Inputs (Optional)'!D10),'Emission Inputs (Optional)'!D14,"Custom")</f>
        <v>2023 eGRID</v>
      </c>
      <c r="N11" s="18">
        <f>O11/3600</f>
        <v>5.0712256955402779E-8</v>
      </c>
      <c r="O11" s="18">
        <f>IF('Emission Inputs (Optional)'!D10&lt;&gt;"",'Emission Inputs (Optional)'!D10,('Emission Inputs (Optional)'!D17*0)+((1-'Emission Inputs (Optional)'!D17)*'Emission Inputs (Optional)'!D15))</f>
        <v>1.8256412503945001E-4</v>
      </c>
      <c r="P11" s="18">
        <f>O11*293.07107</f>
        <v>5.3504263468925409E-2</v>
      </c>
      <c r="Q11" s="18">
        <f>N11*1000000</f>
        <v>5.0712256955402782E-2</v>
      </c>
      <c r="R11" s="25">
        <f>P11/10</f>
        <v>5.3504263468925409E-3</v>
      </c>
      <c r="T11" s="22" t="s">
        <v>67</v>
      </c>
      <c r="U11" s="32">
        <f>O11/P11</f>
        <v>3.4121416351330751E-3</v>
      </c>
    </row>
    <row r="12" spans="2:21" ht="14.5" customHeight="1" x14ac:dyDescent="0.2">
      <c r="B12" s="128" t="s">
        <v>77</v>
      </c>
      <c r="C12" s="131" t="s">
        <v>118</v>
      </c>
      <c r="D12" s="132"/>
      <c r="F12" s="55"/>
      <c r="G12" s="12"/>
      <c r="H12" s="12"/>
      <c r="I12" s="12"/>
      <c r="J12" s="56"/>
      <c r="L12" s="24" t="s">
        <v>1</v>
      </c>
      <c r="M12" s="17" t="s">
        <v>96</v>
      </c>
      <c r="N12" s="18">
        <f t="shared" ref="N12:N18" si="0">O12/3600</f>
        <v>5.0149003865247496E-8</v>
      </c>
      <c r="O12" s="18">
        <f>P12/293.07107</f>
        <v>1.8053641391489099E-4</v>
      </c>
      <c r="P12" s="18">
        <f>52.91/1000</f>
        <v>5.2909999999999999E-2</v>
      </c>
      <c r="Q12" s="18">
        <f t="shared" ref="Q12:Q18" si="1">N12*1000000</f>
        <v>5.0149003865247496E-2</v>
      </c>
      <c r="R12" s="25">
        <f t="shared" ref="R12:R18" si="2">P12/10</f>
        <v>5.2909999999999997E-3</v>
      </c>
      <c r="T12" s="22" t="s">
        <v>70</v>
      </c>
      <c r="U12" s="32">
        <f>Q11/P11</f>
        <v>0.94781712087029868</v>
      </c>
    </row>
    <row r="13" spans="2:21" x14ac:dyDescent="0.2">
      <c r="B13" s="129"/>
      <c r="C13" s="44" t="s">
        <v>72</v>
      </c>
      <c r="D13" s="40" t="s">
        <v>73</v>
      </c>
      <c r="F13" s="55"/>
      <c r="G13" s="12"/>
      <c r="H13" s="12"/>
      <c r="I13" s="12"/>
      <c r="J13" s="56"/>
      <c r="L13" s="24" t="s">
        <v>2</v>
      </c>
      <c r="M13" s="17" t="s">
        <v>96</v>
      </c>
      <c r="N13" s="18">
        <f t="shared" si="0"/>
        <v>5.9598740560324384E-8</v>
      </c>
      <c r="O13" s="18">
        <f t="shared" ref="O13:O18" si="3">P13/293.07107</f>
        <v>2.1455546601716779E-4</v>
      </c>
      <c r="P13" s="18">
        <f>62.88/1000</f>
        <v>6.2880000000000005E-2</v>
      </c>
      <c r="Q13" s="18">
        <f t="shared" si="1"/>
        <v>5.9598740560324381E-2</v>
      </c>
      <c r="R13" s="25">
        <f t="shared" si="2"/>
        <v>6.2880000000000002E-3</v>
      </c>
      <c r="T13" s="22" t="s">
        <v>97</v>
      </c>
      <c r="U13" s="32">
        <f>R11/P11</f>
        <v>0.1</v>
      </c>
    </row>
    <row r="14" spans="2:21" x14ac:dyDescent="0.2">
      <c r="B14" s="129"/>
      <c r="C14" s="41" t="s">
        <v>11</v>
      </c>
      <c r="D14" s="43" t="s">
        <v>123</v>
      </c>
      <c r="F14" s="55"/>
      <c r="G14" s="12"/>
      <c r="H14" s="12"/>
      <c r="I14" s="12"/>
      <c r="J14" s="56"/>
      <c r="L14" s="24" t="s">
        <v>3</v>
      </c>
      <c r="M14" s="17" t="s">
        <v>96</v>
      </c>
      <c r="N14" s="18">
        <f t="shared" si="0"/>
        <v>9.6791084383274901E-8</v>
      </c>
      <c r="O14" s="18">
        <f t="shared" si="3"/>
        <v>3.4844790377978966E-4</v>
      </c>
      <c r="P14" s="18">
        <f>102.12/1000</f>
        <v>0.10212</v>
      </c>
      <c r="Q14" s="18">
        <f t="shared" si="1"/>
        <v>9.6791084383274897E-2</v>
      </c>
      <c r="R14" s="25">
        <f t="shared" si="2"/>
        <v>1.0212000000000001E-2</v>
      </c>
      <c r="T14" s="33" t="s">
        <v>68</v>
      </c>
      <c r="U14" s="32">
        <f>P11/P11</f>
        <v>1</v>
      </c>
    </row>
    <row r="15" spans="2:21" x14ac:dyDescent="0.2">
      <c r="B15" s="129"/>
      <c r="C15" s="42" t="s">
        <v>124</v>
      </c>
      <c r="D15" s="45">
        <f>VLOOKUP('Emission Inputs (Optional)'!C14,'Grid Emissions Database - AER'!B4:L55,MATCH('Emission Inputs (Optional)'!D14,'Grid Emissions Database - AER'!B3:L3,0),0)/1000000</f>
        <v>1.8256412503945001E-4</v>
      </c>
      <c r="F15" s="55"/>
      <c r="G15" s="12"/>
      <c r="H15" s="12"/>
      <c r="I15" s="12"/>
      <c r="J15" s="56"/>
      <c r="L15" s="24" t="s">
        <v>57</v>
      </c>
      <c r="M15" s="17" t="s">
        <v>96</v>
      </c>
      <c r="N15" s="18">
        <f t="shared" si="0"/>
        <v>7.0258824674036425E-8</v>
      </c>
      <c r="O15" s="18">
        <f t="shared" si="3"/>
        <v>2.5293176882653111E-4</v>
      </c>
      <c r="P15" s="18">
        <f>163.45/2205</f>
        <v>7.4126984126984125E-2</v>
      </c>
      <c r="Q15" s="18">
        <f t="shared" si="1"/>
        <v>7.0258824674036421E-2</v>
      </c>
      <c r="R15" s="25">
        <f t="shared" si="2"/>
        <v>7.4126984126984125E-3</v>
      </c>
      <c r="T15" s="26"/>
      <c r="U15" s="27"/>
    </row>
    <row r="16" spans="2:21" x14ac:dyDescent="0.2">
      <c r="B16" s="129"/>
      <c r="C16" s="133" t="s">
        <v>75</v>
      </c>
      <c r="D16" s="134"/>
      <c r="F16" s="55"/>
      <c r="G16" s="12"/>
      <c r="H16" s="12"/>
      <c r="I16" s="12"/>
      <c r="J16" s="56"/>
      <c r="L16" s="24" t="s">
        <v>58</v>
      </c>
      <c r="M16" s="17" t="s">
        <v>96</v>
      </c>
      <c r="N16" s="18">
        <f t="shared" si="0"/>
        <v>9.1085225315635691E-8</v>
      </c>
      <c r="O16" s="18">
        <f t="shared" si="3"/>
        <v>3.279068111362885E-4</v>
      </c>
      <c r="P16" s="18">
        <f>96.1/1000</f>
        <v>9.6099999999999991E-2</v>
      </c>
      <c r="Q16" s="18">
        <f t="shared" si="1"/>
        <v>9.108522531563569E-2</v>
      </c>
      <c r="R16" s="25">
        <f t="shared" si="2"/>
        <v>9.6099999999999988E-3</v>
      </c>
      <c r="T16" s="26"/>
      <c r="U16" s="27"/>
    </row>
    <row r="17" spans="2:21" ht="33" thickBot="1" x14ac:dyDescent="0.25">
      <c r="B17" s="130"/>
      <c r="C17" s="39" t="s">
        <v>79</v>
      </c>
      <c r="D17" s="38">
        <v>0</v>
      </c>
      <c r="F17" s="55"/>
      <c r="G17" s="12"/>
      <c r="H17" s="12"/>
      <c r="I17" s="12"/>
      <c r="J17" s="56"/>
      <c r="L17" s="24" t="s">
        <v>66</v>
      </c>
      <c r="M17" s="17" t="s">
        <v>96</v>
      </c>
      <c r="N17" s="18">
        <f t="shared" si="0"/>
        <v>7.0271161341323926E-8</v>
      </c>
      <c r="O17" s="18">
        <f t="shared" si="3"/>
        <v>2.5297618082876616E-4</v>
      </c>
      <c r="P17" s="18">
        <f>74.14/1000</f>
        <v>7.4139999999999998E-2</v>
      </c>
      <c r="Q17" s="18">
        <f t="shared" si="1"/>
        <v>7.0271161341323926E-2</v>
      </c>
      <c r="R17" s="25">
        <f t="shared" si="2"/>
        <v>7.4139999999999996E-3</v>
      </c>
      <c r="T17" s="26"/>
      <c r="U17" s="27"/>
    </row>
    <row r="18" spans="2:21" x14ac:dyDescent="0.2">
      <c r="F18" s="55"/>
      <c r="G18" s="12"/>
      <c r="H18" s="12"/>
      <c r="I18" s="12"/>
      <c r="J18" s="56"/>
      <c r="L18" s="24" t="s">
        <v>65</v>
      </c>
      <c r="M18" s="17" t="s">
        <v>96</v>
      </c>
      <c r="N18" s="18">
        <f t="shared" si="0"/>
        <v>6.6972757760695308E-8</v>
      </c>
      <c r="O18" s="18">
        <f t="shared" si="3"/>
        <v>2.411019279385031E-4</v>
      </c>
      <c r="P18" s="18">
        <f>70.66/1000</f>
        <v>7.0660000000000001E-2</v>
      </c>
      <c r="Q18" s="18">
        <f t="shared" si="1"/>
        <v>6.6972757760695306E-2</v>
      </c>
      <c r="R18" s="25">
        <f t="shared" si="2"/>
        <v>7.0660000000000002E-3</v>
      </c>
      <c r="T18" s="26"/>
      <c r="U18" s="27"/>
    </row>
    <row r="19" spans="2:21" x14ac:dyDescent="0.2">
      <c r="F19" s="55" t="str">
        <f>IF(G19&lt;&gt;"",COUNTA($B$8:G20),"")</f>
        <v/>
      </c>
      <c r="G19" s="12"/>
      <c r="H19" s="12"/>
      <c r="I19" s="12"/>
      <c r="J19" s="56"/>
      <c r="L19" s="26"/>
      <c r="M19" s="19"/>
      <c r="N19" s="19"/>
      <c r="O19" s="19"/>
      <c r="P19" s="19"/>
      <c r="Q19" s="19"/>
      <c r="R19" s="27"/>
      <c r="T19" s="26"/>
      <c r="U19" s="27"/>
    </row>
    <row r="20" spans="2:21" x14ac:dyDescent="0.2">
      <c r="F20" s="55" t="str">
        <f>IF(G20&lt;&gt;"",COUNTA($B$8:G21),"")</f>
        <v/>
      </c>
      <c r="G20" s="12"/>
      <c r="H20" s="12"/>
      <c r="I20" s="12"/>
      <c r="J20" s="56"/>
      <c r="L20" s="26"/>
      <c r="M20" s="19"/>
      <c r="N20" s="19"/>
      <c r="O20" s="19"/>
      <c r="P20" s="19"/>
      <c r="Q20" s="19"/>
      <c r="R20" s="27"/>
      <c r="T20" s="26"/>
      <c r="U20" s="27"/>
    </row>
    <row r="21" spans="2:21" x14ac:dyDescent="0.2">
      <c r="F21" s="55" t="str">
        <f>IF(G21&lt;&gt;"",COUNTA($B$8:G22),"")</f>
        <v/>
      </c>
      <c r="G21" s="12"/>
      <c r="H21" s="12"/>
      <c r="I21" s="12"/>
      <c r="J21" s="56"/>
      <c r="L21" s="26"/>
      <c r="M21" s="19"/>
      <c r="N21" s="19"/>
      <c r="O21" s="19"/>
      <c r="P21" s="19"/>
      <c r="Q21" s="19"/>
      <c r="R21" s="27"/>
      <c r="T21" s="26"/>
      <c r="U21" s="27"/>
    </row>
    <row r="22" spans="2:21" x14ac:dyDescent="0.2">
      <c r="F22" s="55" t="str">
        <f>IF(G22&lt;&gt;"",COUNTA($B$8:G23),"")</f>
        <v/>
      </c>
      <c r="G22" s="12"/>
      <c r="H22" s="12"/>
      <c r="I22" s="12"/>
      <c r="J22" s="56"/>
      <c r="L22" s="26"/>
      <c r="M22" s="19"/>
      <c r="N22" s="19"/>
      <c r="O22" s="19"/>
      <c r="P22" s="19"/>
      <c r="Q22" s="19"/>
      <c r="R22" s="27"/>
      <c r="T22" s="26"/>
      <c r="U22" s="27"/>
    </row>
    <row r="23" spans="2:21" x14ac:dyDescent="0.2">
      <c r="F23" s="55" t="str">
        <f>IF(G23&lt;&gt;"",COUNTA($B$8:G24),"")</f>
        <v/>
      </c>
      <c r="G23" s="12"/>
      <c r="H23" s="12"/>
      <c r="I23" s="12"/>
      <c r="J23" s="56"/>
      <c r="L23" s="26"/>
      <c r="M23" s="19"/>
      <c r="N23" s="19"/>
      <c r="O23" s="19"/>
      <c r="P23" s="19"/>
      <c r="Q23" s="19"/>
      <c r="R23" s="27"/>
      <c r="T23" s="26"/>
      <c r="U23" s="27"/>
    </row>
    <row r="24" spans="2:21" x14ac:dyDescent="0.2">
      <c r="F24" s="55" t="str">
        <f>IF(G24&lt;&gt;"",COUNTA($B$8:G25),"")</f>
        <v/>
      </c>
      <c r="G24" s="12"/>
      <c r="H24" s="12"/>
      <c r="I24" s="12"/>
      <c r="J24" s="56"/>
      <c r="L24" s="26"/>
      <c r="M24" s="19"/>
      <c r="N24" s="19"/>
      <c r="O24" s="19"/>
      <c r="P24" s="19"/>
      <c r="Q24" s="19"/>
      <c r="R24" s="27"/>
      <c r="T24" s="26"/>
      <c r="U24" s="27"/>
    </row>
    <row r="25" spans="2:21" x14ac:dyDescent="0.2">
      <c r="F25" s="55" t="str">
        <f>IF(G25&lt;&gt;"",COUNTA($B$8:G26),"")</f>
        <v/>
      </c>
      <c r="G25" s="12"/>
      <c r="H25" s="12"/>
      <c r="I25" s="12"/>
      <c r="J25" s="56"/>
      <c r="L25" s="26"/>
      <c r="M25" s="19"/>
      <c r="N25" s="19"/>
      <c r="O25" s="19"/>
      <c r="P25" s="19"/>
      <c r="Q25" s="19"/>
      <c r="R25" s="27"/>
      <c r="T25" s="26"/>
      <c r="U25" s="27"/>
    </row>
    <row r="26" spans="2:21" x14ac:dyDescent="0.2">
      <c r="F26" s="55" t="str">
        <f>IF(G26&lt;&gt;"",COUNTA($B$8:G27),"")</f>
        <v/>
      </c>
      <c r="G26" s="12"/>
      <c r="H26" s="12"/>
      <c r="I26" s="12"/>
      <c r="J26" s="56"/>
      <c r="L26" s="26"/>
      <c r="M26" s="19"/>
      <c r="N26" s="19"/>
      <c r="O26" s="19"/>
      <c r="P26" s="19"/>
      <c r="Q26" s="19"/>
      <c r="R26" s="27"/>
      <c r="T26" s="26"/>
      <c r="U26" s="27"/>
    </row>
    <row r="27" spans="2:21" ht="16" thickBot="1" x14ac:dyDescent="0.25">
      <c r="F27" s="55" t="str">
        <f>IF(G27&lt;&gt;"",COUNTA($B$8:G28),"")</f>
        <v/>
      </c>
      <c r="G27" s="12"/>
      <c r="H27" s="12"/>
      <c r="I27" s="12"/>
      <c r="J27" s="56"/>
      <c r="L27" s="28"/>
      <c r="M27" s="15"/>
      <c r="N27" s="15"/>
      <c r="O27" s="15"/>
      <c r="P27" s="15"/>
      <c r="Q27" s="15"/>
      <c r="R27" s="29"/>
      <c r="T27" s="28"/>
      <c r="U27" s="29"/>
    </row>
    <row r="28" spans="2:21" x14ac:dyDescent="0.2">
      <c r="F28" s="55" t="str">
        <f>IF(G28&lt;&gt;"",COUNTA($B$8:G29),"")</f>
        <v/>
      </c>
      <c r="G28" s="12"/>
      <c r="H28" s="12"/>
      <c r="I28" s="12"/>
      <c r="J28" s="56"/>
      <c r="L28" s="121" t="s">
        <v>74</v>
      </c>
      <c r="M28" s="121"/>
      <c r="N28" s="121"/>
      <c r="O28" s="121"/>
      <c r="P28" s="121"/>
      <c r="Q28" s="121"/>
      <c r="R28" s="121"/>
    </row>
    <row r="29" spans="2:21" x14ac:dyDescent="0.2">
      <c r="F29" s="55" t="str">
        <f>IF(G29&lt;&gt;"",COUNTA($B$8:G30),"")</f>
        <v/>
      </c>
      <c r="G29" s="12"/>
      <c r="H29" s="12"/>
      <c r="I29" s="12"/>
      <c r="J29" s="56"/>
    </row>
    <row r="30" spans="2:21" x14ac:dyDescent="0.2">
      <c r="F30" s="55" t="str">
        <f>IF(G30&lt;&gt;"",COUNTA($B$8:G31),"")</f>
        <v/>
      </c>
      <c r="G30" s="12"/>
      <c r="H30" s="12"/>
      <c r="I30" s="12"/>
      <c r="J30" s="56"/>
    </row>
    <row r="31" spans="2:21" x14ac:dyDescent="0.2">
      <c r="F31" s="55" t="str">
        <f>IF(G31&lt;&gt;"",COUNTA($B$8:G32),"")</f>
        <v/>
      </c>
      <c r="G31" s="12"/>
      <c r="H31" s="12"/>
      <c r="I31" s="12"/>
      <c r="J31" s="56"/>
      <c r="L31" s="122" t="s">
        <v>85</v>
      </c>
      <c r="M31" s="122"/>
      <c r="N31" s="122"/>
    </row>
    <row r="32" spans="2:21" x14ac:dyDescent="0.2">
      <c r="F32" s="55" t="str">
        <f>IF(G32&lt;&gt;"",COUNTA($B$8:G33),"")</f>
        <v/>
      </c>
      <c r="G32" s="12"/>
      <c r="H32" s="12"/>
      <c r="I32" s="12"/>
      <c r="J32" s="56"/>
    </row>
    <row r="33" spans="6:10" x14ac:dyDescent="0.2">
      <c r="F33" s="55" t="str">
        <f>IF(G33&lt;&gt;"",COUNTA($B$8:G34),"")</f>
        <v/>
      </c>
      <c r="G33" s="12"/>
      <c r="H33" s="12"/>
      <c r="I33" s="12"/>
      <c r="J33" s="56"/>
    </row>
    <row r="34" spans="6:10" x14ac:dyDescent="0.2">
      <c r="F34" s="55" t="str">
        <f>IF(G34&lt;&gt;"",COUNTA($B$8:G35),"")</f>
        <v/>
      </c>
      <c r="G34" s="12"/>
      <c r="H34" s="12"/>
      <c r="I34" s="12"/>
      <c r="J34" s="56"/>
    </row>
    <row r="35" spans="6:10" x14ac:dyDescent="0.2">
      <c r="F35" s="55" t="str">
        <f>IF(G35&lt;&gt;"",COUNTA($B$8:G36),"")</f>
        <v/>
      </c>
      <c r="G35" s="12"/>
      <c r="H35" s="12"/>
      <c r="I35" s="12"/>
      <c r="J35" s="56"/>
    </row>
    <row r="36" spans="6:10" x14ac:dyDescent="0.2">
      <c r="F36" s="55" t="str">
        <f>IF(G36&lt;&gt;"",COUNTA($B$8:G37),"")</f>
        <v/>
      </c>
      <c r="G36" s="12"/>
      <c r="H36" s="12"/>
      <c r="I36" s="12"/>
      <c r="J36" s="56"/>
    </row>
    <row r="37" spans="6:10" x14ac:dyDescent="0.2">
      <c r="F37" s="55" t="str">
        <f>IF(G37&lt;&gt;"",COUNTA($B$8:G38),"")</f>
        <v/>
      </c>
      <c r="G37" s="12"/>
      <c r="H37" s="12"/>
      <c r="I37" s="12"/>
      <c r="J37" s="56"/>
    </row>
    <row r="38" spans="6:10" x14ac:dyDescent="0.2">
      <c r="F38" s="55" t="str">
        <f>IF(G38&lt;&gt;"",COUNTA($B$8:G39),"")</f>
        <v/>
      </c>
      <c r="G38" s="12"/>
      <c r="H38" s="12"/>
      <c r="I38" s="12"/>
      <c r="J38" s="56"/>
    </row>
    <row r="39" spans="6:10" x14ac:dyDescent="0.2">
      <c r="F39" s="55" t="str">
        <f>IF(G39&lt;&gt;"",COUNTA($B$8:G40),"")</f>
        <v/>
      </c>
      <c r="G39" s="12"/>
      <c r="H39" s="12"/>
      <c r="I39" s="12"/>
      <c r="J39" s="56"/>
    </row>
    <row r="40" spans="6:10" x14ac:dyDescent="0.2">
      <c r="F40" s="55" t="str">
        <f>IF(G40&lt;&gt;"",COUNTA($B$8:G41),"")</f>
        <v/>
      </c>
      <c r="G40" s="12"/>
      <c r="H40" s="12"/>
      <c r="I40" s="12"/>
      <c r="J40" s="56"/>
    </row>
    <row r="41" spans="6:10" x14ac:dyDescent="0.2">
      <c r="F41" s="55" t="str">
        <f>IF(G41&lt;&gt;"",COUNTA($B$8:G42),"")</f>
        <v/>
      </c>
      <c r="G41" s="12"/>
      <c r="H41" s="12"/>
      <c r="I41" s="12"/>
      <c r="J41" s="56"/>
    </row>
    <row r="42" spans="6:10" x14ac:dyDescent="0.2">
      <c r="F42" s="55" t="str">
        <f>IF(G42&lt;&gt;"",COUNTA($B$8:G43),"")</f>
        <v/>
      </c>
      <c r="G42" s="12"/>
      <c r="H42" s="12"/>
      <c r="I42" s="12"/>
      <c r="J42" s="56"/>
    </row>
    <row r="43" spans="6:10" x14ac:dyDescent="0.2">
      <c r="F43" s="55" t="str">
        <f>IF(G43&lt;&gt;"",COUNTA($B$8:G44),"")</f>
        <v/>
      </c>
      <c r="G43" s="12"/>
      <c r="H43" s="12"/>
      <c r="I43" s="12"/>
      <c r="J43" s="56"/>
    </row>
    <row r="44" spans="6:10" x14ac:dyDescent="0.2">
      <c r="F44" s="55" t="str">
        <f>IF(G44&lt;&gt;"",COUNTA($B$8:G45),"")</f>
        <v/>
      </c>
      <c r="G44" s="12"/>
      <c r="H44" s="12"/>
      <c r="I44" s="12"/>
      <c r="J44" s="56"/>
    </row>
    <row r="45" spans="6:10" x14ac:dyDescent="0.2">
      <c r="F45" s="55" t="str">
        <f>IF(G45&lt;&gt;"",COUNTA($B$8:G46),"")</f>
        <v/>
      </c>
      <c r="G45" s="12"/>
      <c r="H45" s="12"/>
      <c r="I45" s="12"/>
      <c r="J45" s="56"/>
    </row>
    <row r="46" spans="6:10" x14ac:dyDescent="0.2">
      <c r="F46" s="55" t="str">
        <f>IF(G46&lt;&gt;"",COUNTA($B$8:G47),"")</f>
        <v/>
      </c>
      <c r="G46" s="12"/>
      <c r="H46" s="12"/>
      <c r="I46" s="12"/>
      <c r="J46" s="56"/>
    </row>
    <row r="47" spans="6:10" x14ac:dyDescent="0.2">
      <c r="F47" s="55" t="str">
        <f>IF(G47&lt;&gt;"",COUNTA($B$8:G48),"")</f>
        <v/>
      </c>
      <c r="G47" s="12"/>
      <c r="H47" s="12"/>
      <c r="I47" s="12"/>
      <c r="J47" s="56"/>
    </row>
    <row r="48" spans="6:10" x14ac:dyDescent="0.2">
      <c r="F48" s="55" t="str">
        <f>IF(G48&lt;&gt;"",COUNTA($B$8:G49),"")</f>
        <v/>
      </c>
      <c r="G48" s="12"/>
      <c r="H48" s="12"/>
      <c r="I48" s="12"/>
      <c r="J48" s="56"/>
    </row>
    <row r="49" spans="6:10" x14ac:dyDescent="0.2">
      <c r="F49" s="55" t="str">
        <f>IF(G49&lt;&gt;"",COUNTA($B$8:G50),"")</f>
        <v/>
      </c>
      <c r="G49" s="12"/>
      <c r="H49" s="12"/>
      <c r="I49" s="12"/>
      <c r="J49" s="56"/>
    </row>
    <row r="50" spans="6:10" x14ac:dyDescent="0.2">
      <c r="F50" s="55" t="str">
        <f>IF(G50&lt;&gt;"",COUNTA($B$8:G51),"")</f>
        <v/>
      </c>
      <c r="G50" s="12"/>
      <c r="H50" s="12"/>
      <c r="I50" s="12"/>
      <c r="J50" s="56"/>
    </row>
    <row r="51" spans="6:10" x14ac:dyDescent="0.2">
      <c r="F51" s="55" t="str">
        <f>IF(G51&lt;&gt;"",COUNTA($B$8:G52),"")</f>
        <v/>
      </c>
      <c r="G51" s="12"/>
      <c r="H51" s="12"/>
      <c r="I51" s="12"/>
      <c r="J51" s="56"/>
    </row>
    <row r="52" spans="6:10" x14ac:dyDescent="0.2">
      <c r="F52" s="55" t="str">
        <f>IF(G52&lt;&gt;"",COUNTA($B$8:G53),"")</f>
        <v/>
      </c>
      <c r="G52" s="12"/>
      <c r="H52" s="12"/>
      <c r="I52" s="12"/>
      <c r="J52" s="56"/>
    </row>
    <row r="53" spans="6:10" x14ac:dyDescent="0.2">
      <c r="F53" s="55" t="str">
        <f>IF(G53&lt;&gt;"",COUNTA($B$8:G54),"")</f>
        <v/>
      </c>
      <c r="G53" s="12"/>
      <c r="H53" s="12"/>
      <c r="I53" s="12"/>
      <c r="J53" s="56"/>
    </row>
    <row r="54" spans="6:10" x14ac:dyDescent="0.2">
      <c r="F54" s="55" t="str">
        <f>IF(G54&lt;&gt;"",COUNTA($B$8:G55),"")</f>
        <v/>
      </c>
      <c r="G54" s="12"/>
      <c r="H54" s="12"/>
      <c r="I54" s="12"/>
      <c r="J54" s="56"/>
    </row>
    <row r="55" spans="6:10" x14ac:dyDescent="0.2">
      <c r="F55" s="55" t="str">
        <f>IF(G55&lt;&gt;"",COUNTA($B$8:G56),"")</f>
        <v/>
      </c>
      <c r="G55" s="12"/>
      <c r="H55" s="12"/>
      <c r="I55" s="12"/>
      <c r="J55" s="56"/>
    </row>
    <row r="56" spans="6:10" x14ac:dyDescent="0.2">
      <c r="F56" s="55" t="str">
        <f>IF(G56&lt;&gt;"",COUNTA($B$8:G57),"")</f>
        <v/>
      </c>
      <c r="G56" s="12"/>
      <c r="H56" s="12"/>
      <c r="I56" s="12"/>
      <c r="J56" s="56"/>
    </row>
    <row r="57" spans="6:10" x14ac:dyDescent="0.2">
      <c r="F57" s="55" t="str">
        <f>IF(G57&lt;&gt;"",COUNTA($B$8:G58),"")</f>
        <v/>
      </c>
      <c r="G57" s="12"/>
      <c r="H57" s="12"/>
      <c r="I57" s="12"/>
      <c r="J57" s="56"/>
    </row>
    <row r="58" spans="6:10" x14ac:dyDescent="0.2">
      <c r="F58" s="55" t="str">
        <f>IF(G58&lt;&gt;"",COUNTA($B$8:G59),"")</f>
        <v/>
      </c>
      <c r="G58" s="12"/>
      <c r="H58" s="12"/>
      <c r="I58" s="12"/>
      <c r="J58" s="56"/>
    </row>
    <row r="59" spans="6:10" x14ac:dyDescent="0.2">
      <c r="F59" s="55" t="str">
        <f>IF(G59&lt;&gt;"",COUNTA($B$8:G60),"")</f>
        <v/>
      </c>
      <c r="G59" s="12"/>
      <c r="H59" s="12"/>
      <c r="I59" s="12"/>
      <c r="J59" s="56"/>
    </row>
    <row r="60" spans="6:10" x14ac:dyDescent="0.2">
      <c r="F60" s="55" t="str">
        <f>IF(G60&lt;&gt;"",COUNTA($B$8:G61),"")</f>
        <v/>
      </c>
      <c r="G60" s="12"/>
      <c r="H60" s="12"/>
      <c r="I60" s="12"/>
      <c r="J60" s="56"/>
    </row>
    <row r="61" spans="6:10" x14ac:dyDescent="0.2">
      <c r="F61" s="55" t="str">
        <f>IF(G61&lt;&gt;"",COUNTA($B$8:G62),"")</f>
        <v/>
      </c>
      <c r="G61" s="12"/>
      <c r="H61" s="12"/>
      <c r="I61" s="12"/>
      <c r="J61" s="56"/>
    </row>
    <row r="62" spans="6:10" x14ac:dyDescent="0.2">
      <c r="F62" s="55" t="str">
        <f>IF(G62&lt;&gt;"",COUNTA($B$8:G63),"")</f>
        <v/>
      </c>
      <c r="G62" s="12"/>
      <c r="H62" s="12"/>
      <c r="I62" s="12"/>
      <c r="J62" s="56"/>
    </row>
    <row r="63" spans="6:10" x14ac:dyDescent="0.2">
      <c r="F63" s="55" t="str">
        <f>IF(G63&lt;&gt;"",COUNTA($B$8:G64),"")</f>
        <v/>
      </c>
      <c r="G63" s="12"/>
      <c r="H63" s="12"/>
      <c r="I63" s="12"/>
      <c r="J63" s="56"/>
    </row>
    <row r="64" spans="6:10" x14ac:dyDescent="0.2">
      <c r="F64" s="55" t="str">
        <f>IF(G64&lt;&gt;"",COUNTA($B$8:G65),"")</f>
        <v/>
      </c>
      <c r="G64" s="12"/>
      <c r="H64" s="12"/>
      <c r="I64" s="12"/>
      <c r="J64" s="56"/>
    </row>
    <row r="65" spans="6:10" x14ac:dyDescent="0.2">
      <c r="F65" s="55" t="str">
        <f>IF(G65&lt;&gt;"",COUNTA($B$8:G66),"")</f>
        <v/>
      </c>
      <c r="G65" s="12"/>
      <c r="H65" s="12"/>
      <c r="I65" s="12"/>
      <c r="J65" s="56"/>
    </row>
    <row r="66" spans="6:10" x14ac:dyDescent="0.2">
      <c r="F66" s="55" t="str">
        <f>IF(G66&lt;&gt;"",COUNTA($B$8:G67),"")</f>
        <v/>
      </c>
      <c r="G66" s="12"/>
      <c r="H66" s="12"/>
      <c r="I66" s="12"/>
      <c r="J66" s="56"/>
    </row>
    <row r="67" spans="6:10" x14ac:dyDescent="0.2">
      <c r="F67" s="55" t="str">
        <f>IF(G67&lt;&gt;"",COUNTA($B$8:G68),"")</f>
        <v/>
      </c>
      <c r="G67" s="12"/>
      <c r="H67" s="12"/>
      <c r="I67" s="12"/>
      <c r="J67" s="56"/>
    </row>
    <row r="68" spans="6:10" x14ac:dyDescent="0.2">
      <c r="F68" s="55" t="str">
        <f>IF(G68&lt;&gt;"",COUNTA($B$8:G69),"")</f>
        <v/>
      </c>
      <c r="G68" s="12"/>
      <c r="H68" s="12"/>
      <c r="I68" s="12"/>
      <c r="J68" s="56"/>
    </row>
    <row r="69" spans="6:10" x14ac:dyDescent="0.2">
      <c r="F69" s="55" t="str">
        <f>IF(G69&lt;&gt;"",COUNTA($B$8:G70),"")</f>
        <v/>
      </c>
      <c r="G69" s="12"/>
      <c r="H69" s="12"/>
      <c r="I69" s="12"/>
      <c r="J69" s="56"/>
    </row>
    <row r="70" spans="6:10" x14ac:dyDescent="0.2">
      <c r="F70" s="55" t="str">
        <f>IF(G70&lt;&gt;"",COUNTA($B$8:G71),"")</f>
        <v/>
      </c>
      <c r="G70" s="12"/>
      <c r="H70" s="12"/>
      <c r="I70" s="12"/>
      <c r="J70" s="56"/>
    </row>
    <row r="71" spans="6:10" x14ac:dyDescent="0.2">
      <c r="F71" s="55" t="str">
        <f>IF(G71&lt;&gt;"",COUNTA($B$8:G72),"")</f>
        <v/>
      </c>
      <c r="G71" s="12"/>
      <c r="H71" s="12"/>
      <c r="I71" s="12"/>
      <c r="J71" s="56"/>
    </row>
    <row r="72" spans="6:10" x14ac:dyDescent="0.2">
      <c r="F72" s="55" t="str">
        <f>IF(G72&lt;&gt;"",COUNTA($B$8:G73),"")</f>
        <v/>
      </c>
      <c r="G72" s="12"/>
      <c r="H72" s="12"/>
      <c r="I72" s="12"/>
      <c r="J72" s="56"/>
    </row>
    <row r="73" spans="6:10" x14ac:dyDescent="0.2">
      <c r="F73" s="55" t="str">
        <f>IF(G73&lt;&gt;"",COUNTA($B$8:G74),"")</f>
        <v/>
      </c>
      <c r="G73" s="12"/>
      <c r="H73" s="12"/>
      <c r="I73" s="12"/>
      <c r="J73" s="56"/>
    </row>
    <row r="74" spans="6:10" x14ac:dyDescent="0.2">
      <c r="F74" s="55" t="str">
        <f>IF(G74&lt;&gt;"",COUNTA($B$8:G75),"")</f>
        <v/>
      </c>
      <c r="G74" s="12"/>
      <c r="H74" s="12"/>
      <c r="I74" s="12"/>
      <c r="J74" s="56"/>
    </row>
    <row r="75" spans="6:10" x14ac:dyDescent="0.2">
      <c r="F75" s="55" t="str">
        <f>IF(G75&lt;&gt;"",COUNTA($B$8:G76),"")</f>
        <v/>
      </c>
      <c r="G75" s="12"/>
      <c r="H75" s="12"/>
      <c r="I75" s="12"/>
      <c r="J75" s="56"/>
    </row>
    <row r="76" spans="6:10" x14ac:dyDescent="0.2">
      <c r="F76" s="55" t="str">
        <f>IF(G76&lt;&gt;"",COUNTA($B$8:G77),"")</f>
        <v/>
      </c>
      <c r="G76" s="12"/>
      <c r="H76" s="12"/>
      <c r="I76" s="12"/>
      <c r="J76" s="56"/>
    </row>
    <row r="77" spans="6:10" x14ac:dyDescent="0.2">
      <c r="F77" s="55" t="str">
        <f>IF(G77&lt;&gt;"",COUNTA($B$8:G78),"")</f>
        <v/>
      </c>
      <c r="G77" s="12"/>
      <c r="H77" s="12"/>
      <c r="I77" s="12"/>
      <c r="J77" s="56"/>
    </row>
    <row r="78" spans="6:10" x14ac:dyDescent="0.2">
      <c r="F78" s="55" t="str">
        <f>IF(G78&lt;&gt;"",COUNTA($B$8:G79),"")</f>
        <v/>
      </c>
      <c r="G78" s="12"/>
      <c r="H78" s="12"/>
      <c r="I78" s="12"/>
      <c r="J78" s="56"/>
    </row>
    <row r="79" spans="6:10" x14ac:dyDescent="0.2">
      <c r="F79" s="55" t="str">
        <f>IF(G79&lt;&gt;"",COUNTA($B$8:G80),"")</f>
        <v/>
      </c>
      <c r="G79" s="12"/>
      <c r="H79" s="12"/>
      <c r="I79" s="12"/>
      <c r="J79" s="56"/>
    </row>
    <row r="80" spans="6:10" x14ac:dyDescent="0.2">
      <c r="F80" s="55" t="str">
        <f>IF(G80&lt;&gt;"",COUNTA($B$8:G81),"")</f>
        <v/>
      </c>
      <c r="G80" s="12"/>
      <c r="H80" s="12"/>
      <c r="I80" s="12"/>
      <c r="J80" s="56"/>
    </row>
    <row r="81" spans="6:10" x14ac:dyDescent="0.2">
      <c r="F81" s="55" t="str">
        <f>IF(G81&lt;&gt;"",COUNTA($B$8:G82),"")</f>
        <v/>
      </c>
      <c r="G81" s="12"/>
      <c r="H81" s="12"/>
      <c r="I81" s="12"/>
      <c r="J81" s="56"/>
    </row>
    <row r="82" spans="6:10" x14ac:dyDescent="0.2">
      <c r="F82" s="55" t="str">
        <f>IF(G82&lt;&gt;"",COUNTA($B$8:G83),"")</f>
        <v/>
      </c>
      <c r="G82" s="12"/>
      <c r="H82" s="12"/>
      <c r="I82" s="12"/>
      <c r="J82" s="56"/>
    </row>
    <row r="83" spans="6:10" x14ac:dyDescent="0.2">
      <c r="F83" s="55" t="str">
        <f>IF(G83&lt;&gt;"",COUNTA($B$8:G84),"")</f>
        <v/>
      </c>
      <c r="G83" s="12"/>
      <c r="H83" s="12"/>
      <c r="I83" s="12"/>
      <c r="J83" s="56"/>
    </row>
    <row r="84" spans="6:10" x14ac:dyDescent="0.2">
      <c r="F84" s="55" t="str">
        <f>IF(G84&lt;&gt;"",COUNTA($B$8:G85),"")</f>
        <v/>
      </c>
      <c r="G84" s="12"/>
      <c r="H84" s="12"/>
      <c r="I84" s="12"/>
      <c r="J84" s="56"/>
    </row>
    <row r="85" spans="6:10" x14ac:dyDescent="0.2">
      <c r="F85" s="55" t="str">
        <f>IF(G85&lt;&gt;"",COUNTA($B$8:G86),"")</f>
        <v/>
      </c>
      <c r="G85" s="12"/>
      <c r="H85" s="12"/>
      <c r="I85" s="12"/>
      <c r="J85" s="56"/>
    </row>
    <row r="86" spans="6:10" x14ac:dyDescent="0.2">
      <c r="F86" s="55" t="str">
        <f>IF(G86&lt;&gt;"",COUNTA($B$8:G87),"")</f>
        <v/>
      </c>
      <c r="G86" s="12"/>
      <c r="H86" s="12"/>
      <c r="I86" s="12"/>
      <c r="J86" s="56"/>
    </row>
    <row r="87" spans="6:10" x14ac:dyDescent="0.2">
      <c r="F87" s="55" t="str">
        <f>IF(G87&lt;&gt;"",COUNTA($B$8:G88),"")</f>
        <v/>
      </c>
      <c r="G87" s="12"/>
      <c r="H87" s="12"/>
      <c r="I87" s="12"/>
      <c r="J87" s="56"/>
    </row>
    <row r="88" spans="6:10" x14ac:dyDescent="0.2">
      <c r="F88" s="55" t="str">
        <f>IF(G88&lt;&gt;"",COUNTA($B$8:G89),"")</f>
        <v/>
      </c>
      <c r="G88" s="12"/>
      <c r="H88" s="12"/>
      <c r="I88" s="12"/>
      <c r="J88" s="56"/>
    </row>
    <row r="89" spans="6:10" x14ac:dyDescent="0.2">
      <c r="F89" s="55" t="str">
        <f>IF(G89&lt;&gt;"",COUNTA($B$8:G90),"")</f>
        <v/>
      </c>
      <c r="G89" s="12"/>
      <c r="H89" s="12"/>
      <c r="I89" s="12"/>
      <c r="J89" s="56"/>
    </row>
    <row r="90" spans="6:10" x14ac:dyDescent="0.2">
      <c r="F90" s="55" t="str">
        <f>IF(G90&lt;&gt;"",COUNTA($B$8:G91),"")</f>
        <v/>
      </c>
      <c r="G90" s="12"/>
      <c r="H90" s="12"/>
      <c r="I90" s="12"/>
      <c r="J90" s="56"/>
    </row>
    <row r="91" spans="6:10" x14ac:dyDescent="0.2">
      <c r="F91" s="55" t="str">
        <f>IF(G91&lt;&gt;"",COUNTA($B$8:G92),"")</f>
        <v/>
      </c>
      <c r="G91" s="12"/>
      <c r="H91" s="12"/>
      <c r="I91" s="12"/>
      <c r="J91" s="56"/>
    </row>
    <row r="92" spans="6:10" x14ac:dyDescent="0.2">
      <c r="F92" s="55" t="str">
        <f>IF(G92&lt;&gt;"",COUNTA($B$8:G93),"")</f>
        <v/>
      </c>
      <c r="G92" s="12"/>
      <c r="H92" s="12"/>
      <c r="I92" s="12"/>
      <c r="J92" s="56"/>
    </row>
    <row r="93" spans="6:10" x14ac:dyDescent="0.2">
      <c r="F93" s="55" t="str">
        <f>IF(G93&lt;&gt;"",COUNTA($B$8:G94),"")</f>
        <v/>
      </c>
      <c r="G93" s="12"/>
      <c r="H93" s="12"/>
      <c r="I93" s="12"/>
      <c r="J93" s="56"/>
    </row>
    <row r="94" spans="6:10" x14ac:dyDescent="0.2">
      <c r="F94" s="55" t="str">
        <f>IF(G94&lt;&gt;"",COUNTA($B$8:G95),"")</f>
        <v/>
      </c>
      <c r="G94" s="12"/>
      <c r="H94" s="12"/>
      <c r="I94" s="12"/>
      <c r="J94" s="56"/>
    </row>
    <row r="95" spans="6:10" x14ac:dyDescent="0.2">
      <c r="F95" s="55" t="str">
        <f>IF(G95&lt;&gt;"",COUNTA($B$8:G96),"")</f>
        <v/>
      </c>
      <c r="G95" s="12"/>
      <c r="H95" s="12"/>
      <c r="I95" s="12"/>
      <c r="J95" s="56"/>
    </row>
    <row r="96" spans="6:10" x14ac:dyDescent="0.2">
      <c r="F96" s="55" t="str">
        <f>IF(G96&lt;&gt;"",COUNTA($B$8:G97),"")</f>
        <v/>
      </c>
      <c r="G96" s="12"/>
      <c r="H96" s="12"/>
      <c r="I96" s="12"/>
      <c r="J96" s="56"/>
    </row>
    <row r="97" spans="6:10" x14ac:dyDescent="0.2">
      <c r="F97" s="55" t="str">
        <f>IF(G97&lt;&gt;"",COUNTA($B$8:G98),"")</f>
        <v/>
      </c>
      <c r="G97" s="12"/>
      <c r="H97" s="12"/>
      <c r="I97" s="12"/>
      <c r="J97" s="56"/>
    </row>
    <row r="98" spans="6:10" x14ac:dyDescent="0.2">
      <c r="F98" s="55" t="str">
        <f>IF(G98&lt;&gt;"",COUNTA($B$8:G99),"")</f>
        <v/>
      </c>
      <c r="G98" s="12"/>
      <c r="H98" s="12"/>
      <c r="I98" s="12"/>
      <c r="J98" s="56"/>
    </row>
    <row r="99" spans="6:10" x14ac:dyDescent="0.2">
      <c r="F99" s="55" t="str">
        <f>IF(G99&lt;&gt;"",COUNTA($B$8:G100),"")</f>
        <v/>
      </c>
      <c r="G99" s="12"/>
      <c r="H99" s="12"/>
      <c r="I99" s="12"/>
      <c r="J99" s="56"/>
    </row>
    <row r="100" spans="6:10" x14ac:dyDescent="0.2">
      <c r="F100" s="55" t="str">
        <f>IF(G100&lt;&gt;"",COUNTA($B$8:G101),"")</f>
        <v/>
      </c>
      <c r="G100" s="12"/>
      <c r="H100" s="12"/>
      <c r="I100" s="12"/>
      <c r="J100" s="56"/>
    </row>
    <row r="101" spans="6:10" x14ac:dyDescent="0.2">
      <c r="F101" s="55" t="str">
        <f>IF(G101&lt;&gt;"",COUNTA($B$8:G102),"")</f>
        <v/>
      </c>
      <c r="G101" s="12"/>
      <c r="H101" s="12"/>
      <c r="I101" s="12"/>
      <c r="J101" s="56"/>
    </row>
    <row r="102" spans="6:10" x14ac:dyDescent="0.2">
      <c r="F102" s="55" t="str">
        <f>IF(G102&lt;&gt;"",COUNTA($B$8:G103),"")</f>
        <v/>
      </c>
      <c r="G102" s="12"/>
      <c r="H102" s="12"/>
      <c r="I102" s="12"/>
      <c r="J102" s="56"/>
    </row>
    <row r="103" spans="6:10" x14ac:dyDescent="0.2">
      <c r="F103" s="55" t="str">
        <f>IF(G103&lt;&gt;"",COUNTA($B$8:G104),"")</f>
        <v/>
      </c>
      <c r="G103" s="12"/>
      <c r="H103" s="12"/>
      <c r="I103" s="12"/>
      <c r="J103" s="56"/>
    </row>
    <row r="104" spans="6:10" x14ac:dyDescent="0.2">
      <c r="F104" s="55" t="str">
        <f>IF(G104&lt;&gt;"",COUNTA($B$8:G105),"")</f>
        <v/>
      </c>
      <c r="G104" s="12"/>
      <c r="H104" s="12"/>
      <c r="I104" s="12"/>
      <c r="J104" s="56"/>
    </row>
    <row r="105" spans="6:10" x14ac:dyDescent="0.2">
      <c r="F105" s="55" t="str">
        <f>IF(G105&lt;&gt;"",COUNTA($B$8:G106),"")</f>
        <v/>
      </c>
      <c r="G105" s="12"/>
      <c r="H105" s="12"/>
      <c r="I105" s="12"/>
      <c r="J105" s="56"/>
    </row>
    <row r="106" spans="6:10" x14ac:dyDescent="0.2">
      <c r="F106" s="55" t="str">
        <f>IF(G106&lt;&gt;"",COUNTA($B$8:G107),"")</f>
        <v/>
      </c>
      <c r="G106" s="12"/>
      <c r="H106" s="12"/>
      <c r="I106" s="12"/>
      <c r="J106" s="56"/>
    </row>
    <row r="107" spans="6:10" x14ac:dyDescent="0.2">
      <c r="F107" s="55" t="str">
        <f>IF(G107&lt;&gt;"",COUNTA($B$8:G108),"")</f>
        <v/>
      </c>
      <c r="G107" s="12"/>
      <c r="H107" s="12"/>
      <c r="I107" s="12"/>
      <c r="J107" s="56"/>
    </row>
    <row r="108" spans="6:10" x14ac:dyDescent="0.2">
      <c r="F108" s="55" t="str">
        <f>IF(G108&lt;&gt;"",COUNTA($B$8:G109),"")</f>
        <v/>
      </c>
      <c r="G108" s="12"/>
      <c r="H108" s="12"/>
      <c r="I108" s="12"/>
      <c r="J108" s="56"/>
    </row>
    <row r="109" spans="6:10" x14ac:dyDescent="0.2">
      <c r="F109" s="55" t="str">
        <f>IF(G109&lt;&gt;"",COUNTA($B$8:G110),"")</f>
        <v/>
      </c>
      <c r="G109" s="12"/>
      <c r="H109" s="12"/>
      <c r="I109" s="12"/>
      <c r="J109" s="56"/>
    </row>
    <row r="110" spans="6:10" x14ac:dyDescent="0.2">
      <c r="F110" s="55" t="str">
        <f>IF(G110&lt;&gt;"",COUNTA($B$8:G111),"")</f>
        <v/>
      </c>
      <c r="G110" s="12"/>
      <c r="H110" s="12"/>
      <c r="I110" s="12"/>
      <c r="J110" s="56"/>
    </row>
    <row r="111" spans="6:10" x14ac:dyDescent="0.2">
      <c r="F111" s="55" t="str">
        <f>IF(G111&lt;&gt;"",COUNTA($B$8:G112),"")</f>
        <v/>
      </c>
      <c r="G111" s="12"/>
      <c r="H111" s="12"/>
      <c r="I111" s="12"/>
      <c r="J111" s="56"/>
    </row>
    <row r="112" spans="6:10" x14ac:dyDescent="0.2">
      <c r="F112" s="55" t="str">
        <f>IF(G112&lt;&gt;"",COUNTA($B$8:G113),"")</f>
        <v/>
      </c>
      <c r="G112" s="12"/>
      <c r="H112" s="12"/>
      <c r="I112" s="12"/>
      <c r="J112" s="56"/>
    </row>
    <row r="113" spans="6:10" x14ac:dyDescent="0.2">
      <c r="F113" s="55" t="str">
        <f>IF(G113&lt;&gt;"",COUNTA($B$8:G114),"")</f>
        <v/>
      </c>
      <c r="G113" s="12"/>
      <c r="H113" s="12"/>
      <c r="I113" s="12"/>
      <c r="J113" s="56"/>
    </row>
    <row r="114" spans="6:10" x14ac:dyDescent="0.2">
      <c r="F114" s="55" t="str">
        <f>IF(G114&lt;&gt;"",COUNTA($B$8:G115),"")</f>
        <v/>
      </c>
      <c r="G114" s="12"/>
      <c r="H114" s="12"/>
      <c r="I114" s="12"/>
      <c r="J114" s="56"/>
    </row>
    <row r="115" spans="6:10" x14ac:dyDescent="0.2">
      <c r="F115" s="55" t="str">
        <f>IF(G115&lt;&gt;"",COUNTA($B$8:G116),"")</f>
        <v/>
      </c>
      <c r="G115" s="12"/>
      <c r="H115" s="12"/>
      <c r="I115" s="12"/>
      <c r="J115" s="56"/>
    </row>
    <row r="116" spans="6:10" x14ac:dyDescent="0.2">
      <c r="F116" s="55" t="str">
        <f>IF(G116&lt;&gt;"",COUNTA($B$8:G117),"")</f>
        <v/>
      </c>
      <c r="G116" s="12"/>
      <c r="H116" s="12"/>
      <c r="I116" s="12"/>
      <c r="J116" s="56"/>
    </row>
    <row r="117" spans="6:10" x14ac:dyDescent="0.2">
      <c r="F117" s="55" t="str">
        <f>IF(G117&lt;&gt;"",COUNTA($B$8:G118),"")</f>
        <v/>
      </c>
      <c r="G117" s="12"/>
      <c r="H117" s="12"/>
      <c r="I117" s="12"/>
      <c r="J117" s="56"/>
    </row>
    <row r="118" spans="6:10" x14ac:dyDescent="0.2">
      <c r="F118" s="55" t="str">
        <f>IF(G118&lt;&gt;"",COUNTA($B$8:G119),"")</f>
        <v/>
      </c>
      <c r="G118" s="12"/>
      <c r="H118" s="12"/>
      <c r="I118" s="12"/>
      <c r="J118" s="56"/>
    </row>
    <row r="119" spans="6:10" x14ac:dyDescent="0.2">
      <c r="F119" s="55" t="str">
        <f>IF(G119&lt;&gt;"",COUNTA($B$8:G120),"")</f>
        <v/>
      </c>
      <c r="G119" s="12"/>
      <c r="H119" s="12"/>
      <c r="I119" s="12"/>
      <c r="J119" s="56"/>
    </row>
    <row r="120" spans="6:10" x14ac:dyDescent="0.2">
      <c r="F120" s="55" t="str">
        <f>IF(G120&lt;&gt;"",COUNTA($B$8:G121),"")</f>
        <v/>
      </c>
      <c r="G120" s="12"/>
      <c r="H120" s="12"/>
      <c r="I120" s="12"/>
      <c r="J120" s="56"/>
    </row>
    <row r="121" spans="6:10" x14ac:dyDescent="0.2">
      <c r="F121" s="55" t="str">
        <f>IF(G121&lt;&gt;"",COUNTA($B$8:G122),"")</f>
        <v/>
      </c>
      <c r="G121" s="12"/>
      <c r="H121" s="12"/>
      <c r="I121" s="12"/>
      <c r="J121" s="56"/>
    </row>
    <row r="122" spans="6:10" x14ac:dyDescent="0.2">
      <c r="F122" s="55" t="str">
        <f>IF(G122&lt;&gt;"",COUNTA($B$8:G123),"")</f>
        <v/>
      </c>
      <c r="G122" s="12"/>
      <c r="H122" s="12"/>
      <c r="I122" s="12"/>
      <c r="J122" s="56"/>
    </row>
    <row r="123" spans="6:10" x14ac:dyDescent="0.2">
      <c r="F123" s="55" t="str">
        <f>IF(G123&lt;&gt;"",COUNTA($B$8:G124),"")</f>
        <v/>
      </c>
      <c r="G123" s="12"/>
      <c r="H123" s="12"/>
      <c r="I123" s="12"/>
      <c r="J123" s="56"/>
    </row>
    <row r="124" spans="6:10" x14ac:dyDescent="0.2">
      <c r="F124" s="55" t="str">
        <f>IF(G124&lt;&gt;"",COUNTA($B$8:G125),"")</f>
        <v/>
      </c>
      <c r="G124" s="12"/>
      <c r="H124" s="12"/>
      <c r="I124" s="12"/>
      <c r="J124" s="56"/>
    </row>
    <row r="125" spans="6:10" x14ac:dyDescent="0.2">
      <c r="F125" s="55" t="str">
        <f>IF(G125&lt;&gt;"",COUNTA($B$8:G126),"")</f>
        <v/>
      </c>
      <c r="G125" s="12"/>
      <c r="H125" s="12"/>
      <c r="I125" s="12"/>
      <c r="J125" s="56"/>
    </row>
    <row r="126" spans="6:10" x14ac:dyDescent="0.2">
      <c r="F126" s="55" t="str">
        <f>IF(G126&lt;&gt;"",COUNTA($B$8:G127),"")</f>
        <v/>
      </c>
      <c r="G126" s="12"/>
      <c r="H126" s="12"/>
      <c r="I126" s="12"/>
      <c r="J126" s="56"/>
    </row>
    <row r="127" spans="6:10" x14ac:dyDescent="0.2">
      <c r="F127" s="55" t="str">
        <f>IF(G127&lt;&gt;"",COUNTA($B$8:G128),"")</f>
        <v/>
      </c>
      <c r="G127" s="12"/>
      <c r="H127" s="12"/>
      <c r="I127" s="12"/>
      <c r="J127" s="56"/>
    </row>
    <row r="128" spans="6:10" x14ac:dyDescent="0.2">
      <c r="F128" s="55" t="str">
        <f>IF(G128&lt;&gt;"",COUNTA($B$8:G129),"")</f>
        <v/>
      </c>
      <c r="G128" s="12"/>
      <c r="H128" s="12"/>
      <c r="I128" s="12"/>
      <c r="J128" s="56"/>
    </row>
    <row r="129" spans="6:10" x14ac:dyDescent="0.2">
      <c r="F129" s="55" t="str">
        <f>IF(G129&lt;&gt;"",COUNTA($B$8:G130),"")</f>
        <v/>
      </c>
      <c r="G129" s="12"/>
      <c r="H129" s="12"/>
      <c r="I129" s="12"/>
      <c r="J129" s="56"/>
    </row>
    <row r="130" spans="6:10" x14ac:dyDescent="0.2">
      <c r="F130" s="55" t="str">
        <f>IF(G130&lt;&gt;"",COUNTA($B$8:G131),"")</f>
        <v/>
      </c>
      <c r="G130" s="12"/>
      <c r="H130" s="12"/>
      <c r="I130" s="12"/>
      <c r="J130" s="56"/>
    </row>
    <row r="131" spans="6:10" x14ac:dyDescent="0.2">
      <c r="F131" s="55" t="str">
        <f>IF(G131&lt;&gt;"",COUNTA($B$8:G132),"")</f>
        <v/>
      </c>
      <c r="G131" s="12"/>
      <c r="H131" s="12"/>
      <c r="I131" s="12"/>
      <c r="J131" s="56"/>
    </row>
    <row r="132" spans="6:10" x14ac:dyDescent="0.2">
      <c r="F132" s="55" t="str">
        <f>IF(G132&lt;&gt;"",COUNTA($B$8:G133),"")</f>
        <v/>
      </c>
      <c r="G132" s="12"/>
      <c r="H132" s="12"/>
      <c r="I132" s="12"/>
      <c r="J132" s="56"/>
    </row>
    <row r="133" spans="6:10" x14ac:dyDescent="0.2">
      <c r="F133" s="55" t="str">
        <f>IF(G133&lt;&gt;"",COUNTA($B$8:G134),"")</f>
        <v/>
      </c>
      <c r="G133" s="12"/>
      <c r="H133" s="12"/>
      <c r="I133" s="12"/>
      <c r="J133" s="56"/>
    </row>
    <row r="134" spans="6:10" x14ac:dyDescent="0.2">
      <c r="F134" s="55" t="str">
        <f>IF(G134&lt;&gt;"",COUNTA($B$8:G135),"")</f>
        <v/>
      </c>
      <c r="G134" s="12"/>
      <c r="H134" s="12"/>
      <c r="I134" s="12"/>
      <c r="J134" s="56"/>
    </row>
    <row r="135" spans="6:10" x14ac:dyDescent="0.2">
      <c r="F135" s="55" t="str">
        <f>IF(G135&lt;&gt;"",COUNTA($B$8:G136),"")</f>
        <v/>
      </c>
      <c r="G135" s="12"/>
      <c r="H135" s="12"/>
      <c r="I135" s="12"/>
      <c r="J135" s="56"/>
    </row>
    <row r="136" spans="6:10" x14ac:dyDescent="0.2">
      <c r="F136" s="55" t="str">
        <f>IF(G136&lt;&gt;"",COUNTA($B$8:G137),"")</f>
        <v/>
      </c>
      <c r="G136" s="12"/>
      <c r="H136" s="12"/>
      <c r="I136" s="12"/>
      <c r="J136" s="56"/>
    </row>
    <row r="137" spans="6:10" x14ac:dyDescent="0.2">
      <c r="F137" s="55" t="str">
        <f>IF(G137&lt;&gt;"",COUNTA($B$8:G138),"")</f>
        <v/>
      </c>
      <c r="G137" s="12"/>
      <c r="H137" s="12"/>
      <c r="I137" s="12"/>
      <c r="J137" s="56"/>
    </row>
    <row r="138" spans="6:10" x14ac:dyDescent="0.2">
      <c r="F138" s="55" t="str">
        <f>IF(G138&lt;&gt;"",COUNTA($B$8:G139),"")</f>
        <v/>
      </c>
      <c r="G138" s="12"/>
      <c r="H138" s="12"/>
      <c r="I138" s="12"/>
      <c r="J138" s="56"/>
    </row>
    <row r="139" spans="6:10" x14ac:dyDescent="0.2">
      <c r="F139" s="55" t="str">
        <f>IF(G139&lt;&gt;"",COUNTA($B$8:G140),"")</f>
        <v/>
      </c>
      <c r="G139" s="12"/>
      <c r="H139" s="12"/>
      <c r="I139" s="12"/>
      <c r="J139" s="56"/>
    </row>
    <row r="140" spans="6:10" x14ac:dyDescent="0.2">
      <c r="F140" s="55" t="str">
        <f>IF(G140&lt;&gt;"",COUNTA($B$8:G141),"")</f>
        <v/>
      </c>
      <c r="G140" s="12"/>
      <c r="H140" s="12"/>
      <c r="I140" s="12"/>
      <c r="J140" s="56"/>
    </row>
    <row r="141" spans="6:10" x14ac:dyDescent="0.2">
      <c r="F141" s="55" t="str">
        <f>IF(G141&lt;&gt;"",COUNTA($B$8:G142),"")</f>
        <v/>
      </c>
      <c r="G141" s="12"/>
      <c r="H141" s="12"/>
      <c r="I141" s="12"/>
      <c r="J141" s="56"/>
    </row>
    <row r="142" spans="6:10" x14ac:dyDescent="0.2">
      <c r="F142" s="55" t="str">
        <f>IF(G142&lt;&gt;"",COUNTA($B$8:G143),"")</f>
        <v/>
      </c>
      <c r="G142" s="12"/>
      <c r="H142" s="12"/>
      <c r="I142" s="12"/>
      <c r="J142" s="56"/>
    </row>
    <row r="143" spans="6:10" x14ac:dyDescent="0.2">
      <c r="F143" s="55" t="str">
        <f>IF(G143&lt;&gt;"",COUNTA($B$8:G144),"")</f>
        <v/>
      </c>
      <c r="G143" s="12"/>
      <c r="H143" s="12"/>
      <c r="I143" s="12"/>
      <c r="J143" s="56"/>
    </row>
    <row r="144" spans="6:10" x14ac:dyDescent="0.2">
      <c r="F144" s="55" t="str">
        <f>IF(G144&lt;&gt;"",COUNTA($B$8:G145),"")</f>
        <v/>
      </c>
      <c r="G144" s="12"/>
      <c r="H144" s="12"/>
      <c r="I144" s="12"/>
      <c r="J144" s="56"/>
    </row>
    <row r="145" spans="6:10" x14ac:dyDescent="0.2">
      <c r="F145" s="55" t="str">
        <f>IF(G145&lt;&gt;"",COUNTA($B$8:G146),"")</f>
        <v/>
      </c>
      <c r="G145" s="12"/>
      <c r="H145" s="12"/>
      <c r="I145" s="12"/>
      <c r="J145" s="56"/>
    </row>
    <row r="146" spans="6:10" x14ac:dyDescent="0.2">
      <c r="F146" s="55" t="str">
        <f>IF(G146&lt;&gt;"",COUNTA($B$8:G147),"")</f>
        <v/>
      </c>
      <c r="G146" s="12"/>
      <c r="H146" s="12"/>
      <c r="I146" s="12"/>
      <c r="J146" s="56"/>
    </row>
    <row r="147" spans="6:10" x14ac:dyDescent="0.2">
      <c r="F147" s="55" t="str">
        <f>IF(G147&lt;&gt;"",COUNTA($B$8:G148),"")</f>
        <v/>
      </c>
      <c r="G147" s="12"/>
      <c r="H147" s="12"/>
      <c r="I147" s="12"/>
      <c r="J147" s="56"/>
    </row>
    <row r="148" spans="6:10" x14ac:dyDescent="0.2">
      <c r="F148" s="55" t="str">
        <f>IF(G148&lt;&gt;"",COUNTA($B$8:G149),"")</f>
        <v/>
      </c>
      <c r="G148" s="12"/>
      <c r="H148" s="12"/>
      <c r="I148" s="12"/>
      <c r="J148" s="56"/>
    </row>
    <row r="149" spans="6:10" x14ac:dyDescent="0.2">
      <c r="F149" s="55" t="str">
        <f>IF(G149&lt;&gt;"",COUNTA($B$8:G150),"")</f>
        <v/>
      </c>
      <c r="G149" s="12"/>
      <c r="H149" s="12"/>
      <c r="I149" s="12"/>
      <c r="J149" s="56"/>
    </row>
    <row r="150" spans="6:10" x14ac:dyDescent="0.2">
      <c r="F150" s="55" t="str">
        <f>IF(G150&lt;&gt;"",COUNTA($B$8:G151),"")</f>
        <v/>
      </c>
      <c r="G150" s="12"/>
      <c r="H150" s="12"/>
      <c r="I150" s="12"/>
      <c r="J150" s="56"/>
    </row>
    <row r="151" spans="6:10" x14ac:dyDescent="0.2">
      <c r="F151" s="55" t="str">
        <f>IF(G151&lt;&gt;"",COUNTA($B$8:G152),"")</f>
        <v/>
      </c>
      <c r="G151" s="12"/>
      <c r="H151" s="12"/>
      <c r="I151" s="12"/>
      <c r="J151" s="56"/>
    </row>
    <row r="152" spans="6:10" x14ac:dyDescent="0.2">
      <c r="F152" s="55" t="str">
        <f>IF(G152&lt;&gt;"",COUNTA($B$8:G153),"")</f>
        <v/>
      </c>
      <c r="G152" s="12"/>
      <c r="H152" s="12"/>
      <c r="I152" s="12"/>
      <c r="J152" s="56"/>
    </row>
    <row r="153" spans="6:10" x14ac:dyDescent="0.2">
      <c r="F153" s="55" t="str">
        <f>IF(G153&lt;&gt;"",COUNTA($B$8:G154),"")</f>
        <v/>
      </c>
      <c r="G153" s="12"/>
      <c r="H153" s="12"/>
      <c r="I153" s="12"/>
      <c r="J153" s="56"/>
    </row>
    <row r="154" spans="6:10" x14ac:dyDescent="0.2">
      <c r="F154" s="55" t="str">
        <f>IF(G154&lt;&gt;"",COUNTA($B$8:G155),"")</f>
        <v/>
      </c>
      <c r="G154" s="12"/>
      <c r="H154" s="12"/>
      <c r="I154" s="12"/>
      <c r="J154" s="56"/>
    </row>
    <row r="155" spans="6:10" x14ac:dyDescent="0.2">
      <c r="F155" s="55" t="str">
        <f>IF(G155&lt;&gt;"",COUNTA($B$8:G156),"")</f>
        <v/>
      </c>
      <c r="G155" s="12"/>
      <c r="H155" s="12"/>
      <c r="I155" s="12"/>
      <c r="J155" s="56"/>
    </row>
    <row r="156" spans="6:10" x14ac:dyDescent="0.2">
      <c r="F156" s="55" t="str">
        <f>IF(G156&lt;&gt;"",COUNTA($B$8:G157),"")</f>
        <v/>
      </c>
      <c r="G156" s="12"/>
      <c r="H156" s="12"/>
      <c r="I156" s="12"/>
      <c r="J156" s="56"/>
    </row>
    <row r="157" spans="6:10" x14ac:dyDescent="0.2">
      <c r="F157" s="55" t="str">
        <f>IF(G157&lt;&gt;"",COUNTA($B$8:G158),"")</f>
        <v/>
      </c>
      <c r="G157" s="12"/>
      <c r="H157" s="12"/>
      <c r="I157" s="12"/>
      <c r="J157" s="56"/>
    </row>
    <row r="158" spans="6:10" x14ac:dyDescent="0.2">
      <c r="F158" s="55" t="str">
        <f>IF(G158&lt;&gt;"",COUNTA($B$8:G159),"")</f>
        <v/>
      </c>
      <c r="G158" s="12"/>
      <c r="H158" s="12"/>
      <c r="I158" s="12"/>
      <c r="J158" s="56"/>
    </row>
    <row r="159" spans="6:10" x14ac:dyDescent="0.2">
      <c r="F159" s="55" t="str">
        <f>IF(G159&lt;&gt;"",COUNTA($B$8:G160),"")</f>
        <v/>
      </c>
      <c r="G159" s="12"/>
      <c r="H159" s="12"/>
      <c r="I159" s="12"/>
      <c r="J159" s="56"/>
    </row>
    <row r="160" spans="6:10" x14ac:dyDescent="0.2">
      <c r="F160" s="55" t="str">
        <f>IF(G160&lt;&gt;"",COUNTA($B$8:G161),"")</f>
        <v/>
      </c>
      <c r="G160" s="12"/>
      <c r="H160" s="12"/>
      <c r="I160" s="12"/>
      <c r="J160" s="56"/>
    </row>
    <row r="161" spans="6:10" x14ac:dyDescent="0.2">
      <c r="F161" s="55" t="str">
        <f>IF(G161&lt;&gt;"",COUNTA($B$8:G162),"")</f>
        <v/>
      </c>
      <c r="G161" s="12"/>
      <c r="H161" s="12"/>
      <c r="I161" s="12"/>
      <c r="J161" s="56"/>
    </row>
    <row r="162" spans="6:10" x14ac:dyDescent="0.2">
      <c r="F162" s="55" t="str">
        <f>IF(G162&lt;&gt;"",COUNTA($B$8:G163),"")</f>
        <v/>
      </c>
      <c r="G162" s="12"/>
      <c r="H162" s="12"/>
      <c r="I162" s="12"/>
      <c r="J162" s="56"/>
    </row>
    <row r="163" spans="6:10" x14ac:dyDescent="0.2">
      <c r="F163" s="55" t="str">
        <f>IF(G163&lt;&gt;"",COUNTA($B$8:G164),"")</f>
        <v/>
      </c>
      <c r="G163" s="12"/>
      <c r="H163" s="12"/>
      <c r="I163" s="12"/>
      <c r="J163" s="56"/>
    </row>
    <row r="164" spans="6:10" x14ac:dyDescent="0.2">
      <c r="F164" s="55" t="str">
        <f>IF(G164&lt;&gt;"",COUNTA($B$8:G165),"")</f>
        <v/>
      </c>
      <c r="G164" s="12"/>
      <c r="H164" s="12"/>
      <c r="I164" s="12"/>
      <c r="J164" s="56"/>
    </row>
    <row r="165" spans="6:10" x14ac:dyDescent="0.2">
      <c r="F165" s="55" t="str">
        <f>IF(G165&lt;&gt;"",COUNTA($B$8:G166),"")</f>
        <v/>
      </c>
      <c r="G165" s="12"/>
      <c r="H165" s="12"/>
      <c r="I165" s="12"/>
      <c r="J165" s="56"/>
    </row>
    <row r="166" spans="6:10" x14ac:dyDescent="0.2">
      <c r="F166" s="55" t="str">
        <f>IF(G166&lt;&gt;"",COUNTA($B$8:G167),"")</f>
        <v/>
      </c>
      <c r="G166" s="12"/>
      <c r="H166" s="12"/>
      <c r="I166" s="12"/>
      <c r="J166" s="56"/>
    </row>
    <row r="167" spans="6:10" x14ac:dyDescent="0.2">
      <c r="F167" s="55" t="str">
        <f>IF(G167&lt;&gt;"",COUNTA($B$8:G168),"")</f>
        <v/>
      </c>
      <c r="G167" s="12"/>
      <c r="H167" s="12"/>
      <c r="I167" s="12"/>
      <c r="J167" s="56"/>
    </row>
    <row r="168" spans="6:10" x14ac:dyDescent="0.2">
      <c r="F168" s="55" t="str">
        <f>IF(G168&lt;&gt;"",COUNTA($B$8:G169),"")</f>
        <v/>
      </c>
      <c r="G168" s="12"/>
      <c r="H168" s="12"/>
      <c r="I168" s="12"/>
      <c r="J168" s="56"/>
    </row>
    <row r="169" spans="6:10" x14ac:dyDescent="0.2">
      <c r="F169" s="55" t="str">
        <f>IF(G169&lt;&gt;"",COUNTA($B$8:G170),"")</f>
        <v/>
      </c>
      <c r="G169" s="12"/>
      <c r="H169" s="12"/>
      <c r="I169" s="12"/>
      <c r="J169" s="56"/>
    </row>
    <row r="170" spans="6:10" x14ac:dyDescent="0.2">
      <c r="F170" s="55" t="str">
        <f>IF(G170&lt;&gt;"",COUNTA($B$8:G171),"")</f>
        <v/>
      </c>
      <c r="G170" s="12"/>
      <c r="H170" s="12"/>
      <c r="I170" s="12"/>
      <c r="J170" s="56"/>
    </row>
    <row r="171" spans="6:10" x14ac:dyDescent="0.2">
      <c r="F171" s="55" t="str">
        <f>IF(G171&lt;&gt;"",COUNTA($B$8:G172),"")</f>
        <v/>
      </c>
      <c r="G171" s="12"/>
      <c r="H171" s="12"/>
      <c r="I171" s="12"/>
      <c r="J171" s="56"/>
    </row>
    <row r="172" spans="6:10" x14ac:dyDescent="0.2">
      <c r="F172" s="55" t="str">
        <f>IF(G172&lt;&gt;"",COUNTA($B$8:G173),"")</f>
        <v/>
      </c>
      <c r="G172" s="12"/>
      <c r="H172" s="12"/>
      <c r="I172" s="12"/>
      <c r="J172" s="56"/>
    </row>
    <row r="173" spans="6:10" x14ac:dyDescent="0.2">
      <c r="F173" s="55" t="str">
        <f>IF(G173&lt;&gt;"",COUNTA($B$8:G174),"")</f>
        <v/>
      </c>
      <c r="G173" s="12"/>
      <c r="H173" s="12"/>
      <c r="I173" s="12"/>
      <c r="J173" s="56"/>
    </row>
    <row r="174" spans="6:10" x14ac:dyDescent="0.2">
      <c r="F174" s="55" t="str">
        <f>IF(G174&lt;&gt;"",COUNTA($B$8:G175),"")</f>
        <v/>
      </c>
      <c r="G174" s="12"/>
      <c r="H174" s="12"/>
      <c r="I174" s="12"/>
      <c r="J174" s="56"/>
    </row>
    <row r="175" spans="6:10" x14ac:dyDescent="0.2">
      <c r="F175" s="55" t="str">
        <f>IF(G175&lt;&gt;"",COUNTA($B$8:G176),"")</f>
        <v/>
      </c>
      <c r="G175" s="12"/>
      <c r="H175" s="12"/>
      <c r="I175" s="12"/>
      <c r="J175" s="56"/>
    </row>
    <row r="176" spans="6:10" x14ac:dyDescent="0.2">
      <c r="F176" s="55" t="str">
        <f>IF(G176&lt;&gt;"",COUNTA($B$8:G177),"")</f>
        <v/>
      </c>
      <c r="G176" s="12"/>
      <c r="H176" s="12"/>
      <c r="I176" s="12"/>
      <c r="J176" s="56"/>
    </row>
    <row r="177" spans="6:10" x14ac:dyDescent="0.2">
      <c r="F177" s="55" t="str">
        <f>IF(G177&lt;&gt;"",COUNTA($B$8:G178),"")</f>
        <v/>
      </c>
      <c r="G177" s="12"/>
      <c r="H177" s="12"/>
      <c r="I177" s="12"/>
      <c r="J177" s="56"/>
    </row>
    <row r="178" spans="6:10" x14ac:dyDescent="0.2">
      <c r="F178" s="55" t="str">
        <f>IF(G178&lt;&gt;"",COUNTA($B$8:G179),"")</f>
        <v/>
      </c>
      <c r="G178" s="12"/>
      <c r="H178" s="12"/>
      <c r="I178" s="12"/>
      <c r="J178" s="56"/>
    </row>
    <row r="179" spans="6:10" x14ac:dyDescent="0.2">
      <c r="F179" s="55" t="str">
        <f>IF(G179&lt;&gt;"",COUNTA($B$8:G180),"")</f>
        <v/>
      </c>
      <c r="G179" s="12"/>
      <c r="H179" s="12"/>
      <c r="I179" s="12"/>
      <c r="J179" s="56"/>
    </row>
    <row r="180" spans="6:10" x14ac:dyDescent="0.2">
      <c r="F180" s="55" t="str">
        <f>IF(G180&lt;&gt;"",COUNTA($B$8:G181),"")</f>
        <v/>
      </c>
      <c r="G180" s="12"/>
      <c r="H180" s="12"/>
      <c r="I180" s="12"/>
      <c r="J180" s="56"/>
    </row>
    <row r="181" spans="6:10" x14ac:dyDescent="0.2">
      <c r="F181" s="55" t="str">
        <f>IF(G181&lt;&gt;"",COUNTA($B$8:G182),"")</f>
        <v/>
      </c>
      <c r="G181" s="12"/>
      <c r="H181" s="12"/>
      <c r="I181" s="12"/>
      <c r="J181" s="56"/>
    </row>
    <row r="182" spans="6:10" x14ac:dyDescent="0.2">
      <c r="F182" s="55" t="str">
        <f>IF(G182&lt;&gt;"",COUNTA($B$8:G183),"")</f>
        <v/>
      </c>
      <c r="G182" s="12"/>
      <c r="H182" s="12"/>
      <c r="I182" s="12"/>
      <c r="J182" s="56"/>
    </row>
    <row r="183" spans="6:10" x14ac:dyDescent="0.2">
      <c r="F183" s="55" t="str">
        <f>IF(G183&lt;&gt;"",COUNTA($B$8:G184),"")</f>
        <v/>
      </c>
      <c r="G183" s="12"/>
      <c r="H183" s="12"/>
      <c r="I183" s="12"/>
      <c r="J183" s="56"/>
    </row>
    <row r="184" spans="6:10" x14ac:dyDescent="0.2">
      <c r="F184" s="55" t="str">
        <f>IF(G184&lt;&gt;"",COUNTA($B$8:G185),"")</f>
        <v/>
      </c>
      <c r="G184" s="12"/>
      <c r="H184" s="12"/>
      <c r="I184" s="12"/>
      <c r="J184" s="56"/>
    </row>
    <row r="185" spans="6:10" x14ac:dyDescent="0.2">
      <c r="F185" s="55" t="str">
        <f>IF(G185&lt;&gt;"",COUNTA($B$8:G186),"")</f>
        <v/>
      </c>
      <c r="G185" s="12"/>
      <c r="H185" s="12"/>
      <c r="I185" s="12"/>
      <c r="J185" s="56"/>
    </row>
    <row r="186" spans="6:10" x14ac:dyDescent="0.2">
      <c r="F186" s="55" t="str">
        <f>IF(G186&lt;&gt;"",COUNTA($B$8:G187),"")</f>
        <v/>
      </c>
      <c r="G186" s="12"/>
      <c r="H186" s="12"/>
      <c r="I186" s="12"/>
      <c r="J186" s="56"/>
    </row>
    <row r="187" spans="6:10" x14ac:dyDescent="0.2">
      <c r="F187" s="55" t="str">
        <f>IF(G187&lt;&gt;"",COUNTA($B$8:G188),"")</f>
        <v/>
      </c>
      <c r="G187" s="12"/>
      <c r="H187" s="12"/>
      <c r="I187" s="12"/>
      <c r="J187" s="56"/>
    </row>
    <row r="188" spans="6:10" x14ac:dyDescent="0.2">
      <c r="F188" s="55" t="str">
        <f>IF(G188&lt;&gt;"",COUNTA($B$8:G189),"")</f>
        <v/>
      </c>
      <c r="G188" s="12"/>
      <c r="H188" s="12"/>
      <c r="I188" s="12"/>
      <c r="J188" s="56"/>
    </row>
    <row r="189" spans="6:10" x14ac:dyDescent="0.2">
      <c r="F189" s="55" t="str">
        <f>IF(G189&lt;&gt;"",COUNTA($B$8:G190),"")</f>
        <v/>
      </c>
      <c r="G189" s="12"/>
      <c r="H189" s="12"/>
      <c r="I189" s="12"/>
      <c r="J189" s="56"/>
    </row>
    <row r="190" spans="6:10" x14ac:dyDescent="0.2">
      <c r="F190" s="55" t="str">
        <f>IF(G190&lt;&gt;"",COUNTA($B$8:G191),"")</f>
        <v/>
      </c>
      <c r="G190" s="12"/>
      <c r="H190" s="12"/>
      <c r="I190" s="12"/>
      <c r="J190" s="56"/>
    </row>
    <row r="191" spans="6:10" ht="16" thickBot="1" x14ac:dyDescent="0.25">
      <c r="F191" s="57" t="str">
        <f>IF(G191&lt;&gt;"",COUNTA($B$8:G192),"")</f>
        <v/>
      </c>
      <c r="G191" s="58"/>
      <c r="H191" s="58"/>
      <c r="I191" s="58"/>
      <c r="J191" s="59"/>
    </row>
    <row r="192" spans="6:10" x14ac:dyDescent="0.2">
      <c r="I192" s="8"/>
      <c r="J192" s="8"/>
    </row>
    <row r="193" spans="9:10" x14ac:dyDescent="0.2">
      <c r="I193" s="8"/>
      <c r="J193" s="8"/>
    </row>
    <row r="194" spans="9:10" x14ac:dyDescent="0.2">
      <c r="I194" s="8"/>
      <c r="J194" s="8"/>
    </row>
    <row r="195" spans="9:10" x14ac:dyDescent="0.2">
      <c r="I195" s="8"/>
      <c r="J195" s="8"/>
    </row>
    <row r="196" spans="9:10" x14ac:dyDescent="0.2">
      <c r="I196" s="8"/>
      <c r="J196" s="8"/>
    </row>
    <row r="197" spans="9:10" x14ac:dyDescent="0.2">
      <c r="I197" s="8"/>
      <c r="J197" s="8"/>
    </row>
    <row r="198" spans="9:10" x14ac:dyDescent="0.2">
      <c r="I198" s="8"/>
      <c r="J198" s="8"/>
    </row>
    <row r="199" spans="9:10" x14ac:dyDescent="0.2">
      <c r="I199" s="8"/>
      <c r="J199" s="8"/>
    </row>
    <row r="200" spans="9:10" x14ac:dyDescent="0.2">
      <c r="I200" s="8"/>
      <c r="J200" s="8"/>
    </row>
    <row r="201" spans="9:10" x14ac:dyDescent="0.2">
      <c r="I201" s="8"/>
      <c r="J201" s="8"/>
    </row>
    <row r="202" spans="9:10" x14ac:dyDescent="0.2">
      <c r="I202" s="8"/>
      <c r="J202" s="8"/>
    </row>
    <row r="203" spans="9:10" x14ac:dyDescent="0.2">
      <c r="I203" s="8"/>
      <c r="J203" s="8"/>
    </row>
    <row r="204" spans="9:10" x14ac:dyDescent="0.2">
      <c r="I204" s="8"/>
      <c r="J204" s="8"/>
    </row>
    <row r="205" spans="9:10" x14ac:dyDescent="0.2">
      <c r="I205" s="8"/>
      <c r="J205" s="8"/>
    </row>
    <row r="206" spans="9:10" x14ac:dyDescent="0.2">
      <c r="I206" s="8"/>
      <c r="J206" s="8"/>
    </row>
    <row r="207" spans="9:10" x14ac:dyDescent="0.2">
      <c r="I207" s="8"/>
      <c r="J207" s="8"/>
    </row>
    <row r="208" spans="9:10" x14ac:dyDescent="0.2">
      <c r="I208" s="8"/>
      <c r="J208" s="8"/>
    </row>
    <row r="209" spans="9:10" x14ac:dyDescent="0.2">
      <c r="I209" s="8"/>
      <c r="J209" s="8"/>
    </row>
    <row r="210" spans="9:10" x14ac:dyDescent="0.2">
      <c r="I210" s="8"/>
      <c r="J210" s="8"/>
    </row>
    <row r="211" spans="9:10" x14ac:dyDescent="0.2">
      <c r="I211" s="8"/>
      <c r="J211" s="8"/>
    </row>
    <row r="212" spans="9:10" x14ac:dyDescent="0.2">
      <c r="I212" s="8"/>
      <c r="J212" s="8"/>
    </row>
    <row r="213" spans="9:10" x14ac:dyDescent="0.2">
      <c r="I213" s="8"/>
      <c r="J213" s="8"/>
    </row>
    <row r="214" spans="9:10" x14ac:dyDescent="0.2">
      <c r="I214" s="8"/>
      <c r="J214" s="8"/>
    </row>
    <row r="215" spans="9:10" x14ac:dyDescent="0.2">
      <c r="I215" s="8"/>
      <c r="J215" s="8"/>
    </row>
    <row r="216" spans="9:10" x14ac:dyDescent="0.2">
      <c r="I216" s="8"/>
      <c r="J216" s="8"/>
    </row>
    <row r="217" spans="9:10" x14ac:dyDescent="0.2">
      <c r="I217" s="8"/>
      <c r="J217" s="8"/>
    </row>
    <row r="218" spans="9:10" x14ac:dyDescent="0.2">
      <c r="I218" s="8"/>
      <c r="J218" s="8"/>
    </row>
    <row r="219" spans="9:10" x14ac:dyDescent="0.2">
      <c r="I219" s="8"/>
      <c r="J219" s="8"/>
    </row>
    <row r="220" spans="9:10" x14ac:dyDescent="0.2">
      <c r="I220" s="8"/>
      <c r="J220" s="8"/>
    </row>
    <row r="221" spans="9:10" x14ac:dyDescent="0.2">
      <c r="I221" s="8"/>
      <c r="J221" s="8"/>
    </row>
    <row r="222" spans="9:10" x14ac:dyDescent="0.2">
      <c r="I222" s="8"/>
      <c r="J222" s="8"/>
    </row>
    <row r="223" spans="9:10" x14ac:dyDescent="0.2">
      <c r="I223" s="8"/>
      <c r="J223" s="8"/>
    </row>
    <row r="224" spans="9:10" x14ac:dyDescent="0.2">
      <c r="I224" s="8"/>
      <c r="J224" s="8"/>
    </row>
    <row r="225" spans="9:10" x14ac:dyDescent="0.2">
      <c r="I225" s="8"/>
      <c r="J225" s="8"/>
    </row>
    <row r="226" spans="9:10" x14ac:dyDescent="0.2">
      <c r="I226" s="8"/>
      <c r="J226" s="8"/>
    </row>
    <row r="227" spans="9:10" x14ac:dyDescent="0.2">
      <c r="I227" s="8"/>
      <c r="J227" s="8"/>
    </row>
    <row r="228" spans="9:10" x14ac:dyDescent="0.2">
      <c r="I228" s="8"/>
      <c r="J228" s="8"/>
    </row>
    <row r="229" spans="9:10" x14ac:dyDescent="0.2">
      <c r="I229" s="8"/>
      <c r="J229" s="8"/>
    </row>
    <row r="230" spans="9:10" x14ac:dyDescent="0.2">
      <c r="I230" s="8"/>
      <c r="J230" s="8"/>
    </row>
    <row r="231" spans="9:10" x14ac:dyDescent="0.2">
      <c r="I231" s="8"/>
      <c r="J231" s="8"/>
    </row>
    <row r="232" spans="9:10" x14ac:dyDescent="0.2">
      <c r="I232" s="8"/>
      <c r="J232" s="8"/>
    </row>
    <row r="233" spans="9:10" x14ac:dyDescent="0.2">
      <c r="I233" s="8"/>
      <c r="J233" s="8"/>
    </row>
    <row r="234" spans="9:10" x14ac:dyDescent="0.2">
      <c r="I234" s="8"/>
      <c r="J234" s="8"/>
    </row>
    <row r="235" spans="9:10" x14ac:dyDescent="0.2">
      <c r="I235" s="8"/>
      <c r="J235" s="8"/>
    </row>
    <row r="236" spans="9:10" x14ac:dyDescent="0.2">
      <c r="I236" s="8"/>
      <c r="J236" s="8"/>
    </row>
    <row r="237" spans="9:10" x14ac:dyDescent="0.2">
      <c r="I237" s="8"/>
      <c r="J237" s="8"/>
    </row>
    <row r="238" spans="9:10" x14ac:dyDescent="0.2">
      <c r="I238" s="8"/>
      <c r="J238" s="8"/>
    </row>
    <row r="239" spans="9:10" x14ac:dyDescent="0.2">
      <c r="I239" s="8"/>
      <c r="J239" s="8"/>
    </row>
    <row r="240" spans="9:10" x14ac:dyDescent="0.2">
      <c r="I240" s="8"/>
      <c r="J240" s="8"/>
    </row>
    <row r="241" spans="9:10" x14ac:dyDescent="0.2">
      <c r="I241" s="8"/>
      <c r="J241" s="8"/>
    </row>
    <row r="242" spans="9:10" x14ac:dyDescent="0.2">
      <c r="I242" s="8"/>
      <c r="J242" s="8"/>
    </row>
    <row r="243" spans="9:10" x14ac:dyDescent="0.2">
      <c r="I243" s="8"/>
      <c r="J243" s="8"/>
    </row>
    <row r="244" spans="9:10" x14ac:dyDescent="0.2">
      <c r="I244" s="8"/>
      <c r="J244" s="8"/>
    </row>
    <row r="245" spans="9:10" x14ac:dyDescent="0.2">
      <c r="I245" s="8"/>
      <c r="J245" s="8"/>
    </row>
    <row r="246" spans="9:10" x14ac:dyDescent="0.2">
      <c r="I246" s="8"/>
      <c r="J246" s="8"/>
    </row>
    <row r="247" spans="9:10" x14ac:dyDescent="0.2">
      <c r="I247" s="8"/>
      <c r="J247" s="8"/>
    </row>
    <row r="248" spans="9:10" x14ac:dyDescent="0.2">
      <c r="I248" s="8"/>
      <c r="J248" s="8"/>
    </row>
    <row r="249" spans="9:10" x14ac:dyDescent="0.2">
      <c r="I249" s="8"/>
      <c r="J249" s="8"/>
    </row>
    <row r="250" spans="9:10" x14ac:dyDescent="0.2">
      <c r="I250" s="8"/>
      <c r="J250" s="8"/>
    </row>
    <row r="251" spans="9:10" x14ac:dyDescent="0.2">
      <c r="I251" s="8"/>
      <c r="J251" s="8"/>
    </row>
    <row r="252" spans="9:10" x14ac:dyDescent="0.2">
      <c r="I252" s="8"/>
      <c r="J252" s="8"/>
    </row>
    <row r="253" spans="9:10" x14ac:dyDescent="0.2">
      <c r="I253" s="8"/>
      <c r="J253" s="8"/>
    </row>
    <row r="254" spans="9:10" x14ac:dyDescent="0.2">
      <c r="I254" s="8"/>
      <c r="J254" s="8"/>
    </row>
    <row r="255" spans="9:10" x14ac:dyDescent="0.2">
      <c r="I255" s="8"/>
      <c r="J255" s="8"/>
    </row>
    <row r="256" spans="9:10" x14ac:dyDescent="0.2">
      <c r="I256" s="8"/>
      <c r="J256" s="8"/>
    </row>
    <row r="257" spans="9:10" x14ac:dyDescent="0.2">
      <c r="I257" s="8"/>
      <c r="J257" s="8"/>
    </row>
    <row r="258" spans="9:10" x14ac:dyDescent="0.2">
      <c r="I258" s="8"/>
      <c r="J258" s="8"/>
    </row>
    <row r="259" spans="9:10" x14ac:dyDescent="0.2">
      <c r="I259" s="8"/>
      <c r="J259" s="8"/>
    </row>
    <row r="260" spans="9:10" x14ac:dyDescent="0.2">
      <c r="I260" s="8"/>
      <c r="J260" s="8"/>
    </row>
    <row r="261" spans="9:10" x14ac:dyDescent="0.2">
      <c r="I261" s="8"/>
      <c r="J261" s="8"/>
    </row>
    <row r="262" spans="9:10" x14ac:dyDescent="0.2">
      <c r="I262" s="8"/>
      <c r="J262" s="8"/>
    </row>
    <row r="263" spans="9:10" x14ac:dyDescent="0.2">
      <c r="I263" s="8"/>
      <c r="J263" s="8"/>
    </row>
    <row r="264" spans="9:10" x14ac:dyDescent="0.2">
      <c r="I264" s="8"/>
      <c r="J264" s="8"/>
    </row>
    <row r="265" spans="9:10" x14ac:dyDescent="0.2">
      <c r="I265" s="8"/>
      <c r="J265" s="8"/>
    </row>
    <row r="266" spans="9:10" x14ac:dyDescent="0.2">
      <c r="I266" s="8"/>
      <c r="J266" s="8"/>
    </row>
    <row r="267" spans="9:10" x14ac:dyDescent="0.2">
      <c r="I267" s="8"/>
      <c r="J267" s="8"/>
    </row>
    <row r="268" spans="9:10" x14ac:dyDescent="0.2">
      <c r="I268" s="8"/>
      <c r="J268" s="8"/>
    </row>
    <row r="269" spans="9:10" x14ac:dyDescent="0.2">
      <c r="I269" s="8"/>
      <c r="J269" s="8"/>
    </row>
    <row r="270" spans="9:10" x14ac:dyDescent="0.2">
      <c r="I270" s="8"/>
      <c r="J270" s="8"/>
    </row>
    <row r="271" spans="9:10" x14ac:dyDescent="0.2">
      <c r="I271" s="8"/>
      <c r="J271" s="8"/>
    </row>
    <row r="272" spans="9:10" x14ac:dyDescent="0.2">
      <c r="I272" s="8"/>
      <c r="J272" s="8"/>
    </row>
    <row r="273" spans="9:10" x14ac:dyDescent="0.2">
      <c r="I273" s="8"/>
      <c r="J273" s="8"/>
    </row>
    <row r="274" spans="9:10" x14ac:dyDescent="0.2">
      <c r="I274" s="8"/>
      <c r="J274" s="8"/>
    </row>
    <row r="275" spans="9:10" x14ac:dyDescent="0.2">
      <c r="I275" s="8"/>
      <c r="J275" s="8"/>
    </row>
    <row r="276" spans="9:10" x14ac:dyDescent="0.2">
      <c r="I276" s="8"/>
      <c r="J276" s="8"/>
    </row>
    <row r="277" spans="9:10" x14ac:dyDescent="0.2">
      <c r="I277" s="8"/>
      <c r="J277" s="8"/>
    </row>
    <row r="278" spans="9:10" x14ac:dyDescent="0.2">
      <c r="I278" s="8"/>
      <c r="J278" s="8"/>
    </row>
    <row r="279" spans="9:10" x14ac:dyDescent="0.2">
      <c r="I279" s="8"/>
      <c r="J279" s="8"/>
    </row>
    <row r="280" spans="9:10" x14ac:dyDescent="0.2">
      <c r="I280" s="8"/>
      <c r="J280" s="8"/>
    </row>
    <row r="281" spans="9:10" x14ac:dyDescent="0.2">
      <c r="I281" s="8"/>
      <c r="J281" s="8"/>
    </row>
    <row r="282" spans="9:10" x14ac:dyDescent="0.2">
      <c r="I282" s="8"/>
      <c r="J282" s="8"/>
    </row>
    <row r="283" spans="9:10" x14ac:dyDescent="0.2">
      <c r="I283" s="8"/>
      <c r="J283" s="8"/>
    </row>
    <row r="284" spans="9:10" x14ac:dyDescent="0.2">
      <c r="I284" s="8"/>
      <c r="J284" s="8"/>
    </row>
    <row r="285" spans="9:10" x14ac:dyDescent="0.2">
      <c r="I285" s="8"/>
      <c r="J285" s="8"/>
    </row>
    <row r="286" spans="9:10" x14ac:dyDescent="0.2">
      <c r="I286" s="8"/>
      <c r="J286" s="8"/>
    </row>
    <row r="287" spans="9:10" x14ac:dyDescent="0.2">
      <c r="I287" s="8"/>
      <c r="J287" s="8"/>
    </row>
    <row r="288" spans="9:10" x14ac:dyDescent="0.2">
      <c r="I288" s="8"/>
      <c r="J288" s="8"/>
    </row>
    <row r="289" spans="9:10" x14ac:dyDescent="0.2">
      <c r="I289" s="8"/>
      <c r="J289" s="8"/>
    </row>
    <row r="290" spans="9:10" x14ac:dyDescent="0.2">
      <c r="I290" s="8"/>
      <c r="J290" s="8"/>
    </row>
    <row r="291" spans="9:10" x14ac:dyDescent="0.2">
      <c r="I291" s="8"/>
      <c r="J291" s="8"/>
    </row>
    <row r="292" spans="9:10" x14ac:dyDescent="0.2">
      <c r="I292" s="8"/>
      <c r="J292" s="8"/>
    </row>
    <row r="293" spans="9:10" x14ac:dyDescent="0.2">
      <c r="I293" s="8"/>
      <c r="J293" s="8"/>
    </row>
    <row r="294" spans="9:10" x14ac:dyDescent="0.2">
      <c r="I294" s="8"/>
      <c r="J294" s="8"/>
    </row>
    <row r="295" spans="9:10" x14ac:dyDescent="0.2">
      <c r="I295" s="8"/>
      <c r="J295" s="8"/>
    </row>
    <row r="296" spans="9:10" x14ac:dyDescent="0.2">
      <c r="I296" s="8"/>
      <c r="J296" s="8"/>
    </row>
    <row r="297" spans="9:10" x14ac:dyDescent="0.2">
      <c r="I297" s="8"/>
      <c r="J297" s="8"/>
    </row>
    <row r="298" spans="9:10" x14ac:dyDescent="0.2">
      <c r="I298" s="8"/>
      <c r="J298" s="8"/>
    </row>
    <row r="299" spans="9:10" x14ac:dyDescent="0.2">
      <c r="I299" s="8"/>
      <c r="J299" s="8"/>
    </row>
    <row r="300" spans="9:10" x14ac:dyDescent="0.2">
      <c r="I300" s="8"/>
      <c r="J300" s="8"/>
    </row>
    <row r="301" spans="9:10" x14ac:dyDescent="0.2">
      <c r="I301" s="8"/>
      <c r="J301" s="8"/>
    </row>
    <row r="302" spans="9:10" x14ac:dyDescent="0.2">
      <c r="I302" s="8"/>
      <c r="J302" s="8"/>
    </row>
    <row r="303" spans="9:10" x14ac:dyDescent="0.2">
      <c r="I303" s="8"/>
      <c r="J303" s="8"/>
    </row>
    <row r="304" spans="9:10" x14ac:dyDescent="0.2">
      <c r="I304" s="8"/>
      <c r="J304" s="8"/>
    </row>
    <row r="305" spans="9:10" x14ac:dyDescent="0.2">
      <c r="I305" s="8"/>
      <c r="J305" s="8"/>
    </row>
    <row r="306" spans="9:10" x14ac:dyDescent="0.2">
      <c r="I306" s="8"/>
      <c r="J306" s="8"/>
    </row>
    <row r="307" spans="9:10" x14ac:dyDescent="0.2">
      <c r="I307" s="8"/>
      <c r="J307" s="8"/>
    </row>
    <row r="308" spans="9:10" x14ac:dyDescent="0.2">
      <c r="I308" s="8"/>
      <c r="J308" s="8"/>
    </row>
    <row r="309" spans="9:10" x14ac:dyDescent="0.2">
      <c r="I309" s="8"/>
      <c r="J309" s="8"/>
    </row>
    <row r="310" spans="9:10" x14ac:dyDescent="0.2">
      <c r="I310" s="8"/>
      <c r="J310" s="8"/>
    </row>
    <row r="311" spans="9:10" x14ac:dyDescent="0.2">
      <c r="I311" s="8"/>
      <c r="J311" s="8"/>
    </row>
    <row r="312" spans="9:10" x14ac:dyDescent="0.2">
      <c r="I312" s="8"/>
      <c r="J312" s="8"/>
    </row>
    <row r="313" spans="9:10" x14ac:dyDescent="0.2">
      <c r="I313" s="8"/>
      <c r="J313" s="8"/>
    </row>
    <row r="314" spans="9:10" x14ac:dyDescent="0.2">
      <c r="I314" s="8"/>
      <c r="J314" s="8"/>
    </row>
    <row r="315" spans="9:10" x14ac:dyDescent="0.2">
      <c r="I315" s="8"/>
      <c r="J315" s="8"/>
    </row>
    <row r="316" spans="9:10" x14ac:dyDescent="0.2">
      <c r="I316" s="8"/>
      <c r="J316" s="8"/>
    </row>
    <row r="317" spans="9:10" x14ac:dyDescent="0.2">
      <c r="I317" s="8"/>
      <c r="J317" s="8"/>
    </row>
    <row r="318" spans="9:10" x14ac:dyDescent="0.2">
      <c r="I318" s="8"/>
      <c r="J318" s="8"/>
    </row>
    <row r="319" spans="9:10" x14ac:dyDescent="0.2">
      <c r="I319" s="8"/>
      <c r="J319" s="8"/>
    </row>
    <row r="320" spans="9:10" x14ac:dyDescent="0.2">
      <c r="I320" s="8"/>
      <c r="J320" s="8"/>
    </row>
    <row r="321" spans="9:10" x14ac:dyDescent="0.2">
      <c r="I321" s="8"/>
      <c r="J321" s="8"/>
    </row>
    <row r="322" spans="9:10" x14ac:dyDescent="0.2">
      <c r="I322" s="8"/>
      <c r="J322" s="8"/>
    </row>
    <row r="323" spans="9:10" x14ac:dyDescent="0.2">
      <c r="I323" s="8"/>
      <c r="J323" s="8"/>
    </row>
    <row r="324" spans="9:10" x14ac:dyDescent="0.2">
      <c r="I324" s="8"/>
      <c r="J324" s="8"/>
    </row>
    <row r="325" spans="9:10" x14ac:dyDescent="0.2">
      <c r="I325" s="8"/>
      <c r="J325" s="8"/>
    </row>
    <row r="326" spans="9:10" x14ac:dyDescent="0.2">
      <c r="I326" s="8"/>
      <c r="J326" s="8"/>
    </row>
    <row r="327" spans="9:10" x14ac:dyDescent="0.2">
      <c r="I327" s="8"/>
      <c r="J327" s="8"/>
    </row>
    <row r="328" spans="9:10" x14ac:dyDescent="0.2">
      <c r="I328" s="8"/>
      <c r="J328" s="8"/>
    </row>
    <row r="329" spans="9:10" x14ac:dyDescent="0.2">
      <c r="I329" s="8"/>
      <c r="J329" s="8"/>
    </row>
    <row r="330" spans="9:10" x14ac:dyDescent="0.2">
      <c r="I330" s="8"/>
      <c r="J330" s="8"/>
    </row>
    <row r="331" spans="9:10" x14ac:dyDescent="0.2">
      <c r="I331" s="8"/>
      <c r="J331" s="8"/>
    </row>
    <row r="332" spans="9:10" x14ac:dyDescent="0.2">
      <c r="I332" s="8"/>
      <c r="J332" s="8"/>
    </row>
    <row r="333" spans="9:10" x14ac:dyDescent="0.2">
      <c r="I333" s="8"/>
      <c r="J333" s="8"/>
    </row>
    <row r="334" spans="9:10" x14ac:dyDescent="0.2">
      <c r="I334" s="8"/>
      <c r="J334" s="8"/>
    </row>
    <row r="335" spans="9:10" x14ac:dyDescent="0.2">
      <c r="I335" s="8"/>
      <c r="J335" s="8"/>
    </row>
    <row r="336" spans="9:10" x14ac:dyDescent="0.2">
      <c r="I336" s="8"/>
      <c r="J336" s="8"/>
    </row>
    <row r="337" spans="9:10" x14ac:dyDescent="0.2">
      <c r="I337" s="8"/>
      <c r="J337" s="8"/>
    </row>
    <row r="338" spans="9:10" x14ac:dyDescent="0.2">
      <c r="I338" s="8"/>
      <c r="J338" s="8"/>
    </row>
    <row r="339" spans="9:10" x14ac:dyDescent="0.2">
      <c r="I339" s="8"/>
      <c r="J339" s="8"/>
    </row>
    <row r="340" spans="9:10" x14ac:dyDescent="0.2">
      <c r="I340" s="8"/>
      <c r="J340" s="8"/>
    </row>
    <row r="341" spans="9:10" x14ac:dyDescent="0.2">
      <c r="I341" s="8"/>
      <c r="J341" s="8"/>
    </row>
    <row r="342" spans="9:10" x14ac:dyDescent="0.2">
      <c r="I342" s="8"/>
      <c r="J342" s="8"/>
    </row>
    <row r="343" spans="9:10" x14ac:dyDescent="0.2">
      <c r="I343" s="8"/>
      <c r="J343" s="8"/>
    </row>
    <row r="344" spans="9:10" x14ac:dyDescent="0.2">
      <c r="I344" s="8"/>
      <c r="J344" s="8"/>
    </row>
    <row r="345" spans="9:10" x14ac:dyDescent="0.2">
      <c r="I345" s="8"/>
      <c r="J345" s="8"/>
    </row>
    <row r="346" spans="9:10" x14ac:dyDescent="0.2">
      <c r="I346" s="8"/>
      <c r="J346" s="8"/>
    </row>
    <row r="347" spans="9:10" x14ac:dyDescent="0.2">
      <c r="I347" s="8"/>
      <c r="J347" s="8"/>
    </row>
    <row r="348" spans="9:10" x14ac:dyDescent="0.2">
      <c r="I348" s="8"/>
      <c r="J348" s="8"/>
    </row>
    <row r="349" spans="9:10" x14ac:dyDescent="0.2">
      <c r="I349" s="8"/>
      <c r="J349" s="8"/>
    </row>
    <row r="350" spans="9:10" x14ac:dyDescent="0.2">
      <c r="I350" s="8"/>
      <c r="J350" s="8"/>
    </row>
    <row r="351" spans="9:10" x14ac:dyDescent="0.2">
      <c r="I351" s="8"/>
      <c r="J351" s="8"/>
    </row>
    <row r="352" spans="9:10" x14ac:dyDescent="0.2">
      <c r="I352" s="8"/>
      <c r="J352" s="8"/>
    </row>
    <row r="353" spans="9:10" x14ac:dyDescent="0.2">
      <c r="I353" s="8"/>
      <c r="J353" s="8"/>
    </row>
    <row r="354" spans="9:10" x14ac:dyDescent="0.2">
      <c r="I354" s="8"/>
      <c r="J354" s="8"/>
    </row>
    <row r="355" spans="9:10" x14ac:dyDescent="0.2">
      <c r="I355" s="8"/>
      <c r="J355" s="8"/>
    </row>
    <row r="356" spans="9:10" x14ac:dyDescent="0.2">
      <c r="I356" s="8"/>
      <c r="J356" s="8"/>
    </row>
    <row r="357" spans="9:10" x14ac:dyDescent="0.2">
      <c r="I357" s="8"/>
      <c r="J357" s="8"/>
    </row>
    <row r="358" spans="9:10" x14ac:dyDescent="0.2">
      <c r="I358" s="8"/>
      <c r="J358" s="8"/>
    </row>
    <row r="359" spans="9:10" x14ac:dyDescent="0.2">
      <c r="I359" s="8"/>
      <c r="J359" s="8"/>
    </row>
    <row r="360" spans="9:10" x14ac:dyDescent="0.2">
      <c r="I360" s="8"/>
      <c r="J360" s="8"/>
    </row>
    <row r="361" spans="9:10" x14ac:dyDescent="0.2">
      <c r="I361" s="8"/>
      <c r="J361" s="8"/>
    </row>
    <row r="362" spans="9:10" x14ac:dyDescent="0.2">
      <c r="I362" s="8"/>
      <c r="J362" s="8"/>
    </row>
    <row r="363" spans="9:10" x14ac:dyDescent="0.2">
      <c r="I363" s="8"/>
      <c r="J363" s="8"/>
    </row>
    <row r="364" spans="9:10" x14ac:dyDescent="0.2">
      <c r="I364" s="8"/>
      <c r="J364" s="8"/>
    </row>
    <row r="365" spans="9:10" x14ac:dyDescent="0.2">
      <c r="I365" s="8"/>
      <c r="J365" s="8"/>
    </row>
    <row r="366" spans="9:10" x14ac:dyDescent="0.2">
      <c r="I366" s="8"/>
      <c r="J366" s="8"/>
    </row>
    <row r="367" spans="9:10" x14ac:dyDescent="0.2">
      <c r="I367" s="8"/>
      <c r="J367" s="8"/>
    </row>
    <row r="368" spans="9:10" x14ac:dyDescent="0.2">
      <c r="I368" s="8"/>
      <c r="J368" s="8"/>
    </row>
    <row r="369" spans="9:10" x14ac:dyDescent="0.2">
      <c r="I369" s="8"/>
      <c r="J369" s="8"/>
    </row>
    <row r="370" spans="9:10" x14ac:dyDescent="0.2">
      <c r="I370" s="8"/>
      <c r="J370" s="8"/>
    </row>
    <row r="371" spans="9:10" x14ac:dyDescent="0.2">
      <c r="I371" s="8"/>
      <c r="J371" s="8"/>
    </row>
    <row r="372" spans="9:10" x14ac:dyDescent="0.2">
      <c r="I372" s="8"/>
      <c r="J372" s="8"/>
    </row>
    <row r="373" spans="9:10" x14ac:dyDescent="0.2">
      <c r="I373" s="8"/>
      <c r="J373" s="8"/>
    </row>
    <row r="374" spans="9:10" x14ac:dyDescent="0.2">
      <c r="I374" s="8"/>
      <c r="J374" s="8"/>
    </row>
    <row r="375" spans="9:10" x14ac:dyDescent="0.2">
      <c r="I375" s="8"/>
      <c r="J375" s="8"/>
    </row>
    <row r="376" spans="9:10" x14ac:dyDescent="0.2">
      <c r="I376" s="8"/>
      <c r="J376" s="8"/>
    </row>
    <row r="377" spans="9:10" x14ac:dyDescent="0.2">
      <c r="I377" s="8"/>
      <c r="J377" s="8"/>
    </row>
    <row r="378" spans="9:10" x14ac:dyDescent="0.2">
      <c r="I378" s="8"/>
      <c r="J378" s="8"/>
    </row>
    <row r="379" spans="9:10" x14ac:dyDescent="0.2">
      <c r="I379" s="8"/>
      <c r="J379" s="8"/>
    </row>
    <row r="380" spans="9:10" x14ac:dyDescent="0.2">
      <c r="I380" s="8"/>
      <c r="J380" s="8"/>
    </row>
    <row r="381" spans="9:10" x14ac:dyDescent="0.2">
      <c r="I381" s="8"/>
      <c r="J381" s="8"/>
    </row>
    <row r="382" spans="9:10" x14ac:dyDescent="0.2">
      <c r="I382" s="8"/>
      <c r="J382" s="8"/>
    </row>
    <row r="383" spans="9:10" x14ac:dyDescent="0.2">
      <c r="I383" s="8"/>
      <c r="J383" s="8"/>
    </row>
    <row r="384" spans="9:10" x14ac:dyDescent="0.2">
      <c r="I384" s="8"/>
      <c r="J384" s="8"/>
    </row>
    <row r="385" spans="9:10" x14ac:dyDescent="0.2">
      <c r="I385" s="8"/>
      <c r="J385" s="8"/>
    </row>
    <row r="386" spans="9:10" x14ac:dyDescent="0.2">
      <c r="I386" s="8"/>
      <c r="J386" s="8"/>
    </row>
    <row r="387" spans="9:10" x14ac:dyDescent="0.2">
      <c r="I387" s="8"/>
      <c r="J387" s="8"/>
    </row>
    <row r="388" spans="9:10" x14ac:dyDescent="0.2">
      <c r="I388" s="8"/>
      <c r="J388" s="8"/>
    </row>
    <row r="389" spans="9:10" x14ac:dyDescent="0.2">
      <c r="I389" s="8"/>
      <c r="J389" s="8"/>
    </row>
    <row r="390" spans="9:10" x14ac:dyDescent="0.2">
      <c r="I390" s="8"/>
      <c r="J390" s="8"/>
    </row>
    <row r="391" spans="9:10" x14ac:dyDescent="0.2">
      <c r="I391" s="8"/>
      <c r="J391" s="8"/>
    </row>
    <row r="392" spans="9:10" x14ac:dyDescent="0.2">
      <c r="I392" s="8"/>
      <c r="J392" s="8"/>
    </row>
    <row r="393" spans="9:10" x14ac:dyDescent="0.2">
      <c r="I393" s="8"/>
      <c r="J393" s="8"/>
    </row>
    <row r="394" spans="9:10" x14ac:dyDescent="0.2">
      <c r="I394" s="8"/>
      <c r="J394" s="8"/>
    </row>
    <row r="395" spans="9:10" x14ac:dyDescent="0.2">
      <c r="I395" s="8"/>
      <c r="J395" s="8"/>
    </row>
    <row r="396" spans="9:10" x14ac:dyDescent="0.2">
      <c r="I396" s="8"/>
      <c r="J396" s="8"/>
    </row>
    <row r="397" spans="9:10" x14ac:dyDescent="0.2">
      <c r="I397" s="8"/>
      <c r="J397" s="8"/>
    </row>
    <row r="398" spans="9:10" x14ac:dyDescent="0.2">
      <c r="I398" s="8"/>
      <c r="J398" s="8"/>
    </row>
    <row r="399" spans="9:10" x14ac:dyDescent="0.2">
      <c r="I399" s="8"/>
      <c r="J399" s="8"/>
    </row>
    <row r="400" spans="9:10" x14ac:dyDescent="0.2">
      <c r="I400" s="8"/>
      <c r="J400" s="8"/>
    </row>
    <row r="401" spans="9:10" x14ac:dyDescent="0.2">
      <c r="I401" s="8"/>
      <c r="J401" s="8"/>
    </row>
    <row r="402" spans="9:10" x14ac:dyDescent="0.2">
      <c r="I402" s="8"/>
      <c r="J402" s="8"/>
    </row>
    <row r="403" spans="9:10" x14ac:dyDescent="0.2">
      <c r="I403" s="8"/>
      <c r="J403" s="8"/>
    </row>
    <row r="404" spans="9:10" x14ac:dyDescent="0.2">
      <c r="I404" s="8"/>
      <c r="J404" s="8"/>
    </row>
    <row r="405" spans="9:10" x14ac:dyDescent="0.2">
      <c r="I405" s="8"/>
      <c r="J405" s="8"/>
    </row>
    <row r="406" spans="9:10" x14ac:dyDescent="0.2">
      <c r="I406" s="8"/>
      <c r="J406" s="8"/>
    </row>
    <row r="407" spans="9:10" x14ac:dyDescent="0.2">
      <c r="I407" s="8"/>
      <c r="J407" s="8"/>
    </row>
    <row r="408" spans="9:10" x14ac:dyDescent="0.2">
      <c r="I408" s="8"/>
      <c r="J408" s="8"/>
    </row>
    <row r="409" spans="9:10" x14ac:dyDescent="0.2">
      <c r="I409" s="8"/>
      <c r="J409" s="8"/>
    </row>
    <row r="410" spans="9:10" x14ac:dyDescent="0.2">
      <c r="I410" s="8"/>
      <c r="J410" s="8"/>
    </row>
    <row r="411" spans="9:10" x14ac:dyDescent="0.2">
      <c r="I411" s="8"/>
      <c r="J411" s="8"/>
    </row>
    <row r="412" spans="9:10" x14ac:dyDescent="0.2">
      <c r="I412" s="8"/>
      <c r="J412" s="8"/>
    </row>
    <row r="413" spans="9:10" x14ac:dyDescent="0.2">
      <c r="I413" s="8"/>
      <c r="J413" s="8"/>
    </row>
    <row r="414" spans="9:10" x14ac:dyDescent="0.2">
      <c r="I414" s="8"/>
      <c r="J414" s="8"/>
    </row>
    <row r="415" spans="9:10" x14ac:dyDescent="0.2">
      <c r="I415" s="8"/>
      <c r="J415" s="8"/>
    </row>
    <row r="416" spans="9:10" x14ac:dyDescent="0.2">
      <c r="I416" s="8"/>
      <c r="J416" s="8"/>
    </row>
    <row r="417" spans="9:10" x14ac:dyDescent="0.2">
      <c r="I417" s="8"/>
      <c r="J417" s="8"/>
    </row>
    <row r="418" spans="9:10" x14ac:dyDescent="0.2">
      <c r="I418" s="8"/>
      <c r="J418" s="8"/>
    </row>
    <row r="419" spans="9:10" x14ac:dyDescent="0.2">
      <c r="I419" s="8"/>
      <c r="J419" s="8"/>
    </row>
    <row r="420" spans="9:10" x14ac:dyDescent="0.2">
      <c r="I420" s="8"/>
      <c r="J420" s="8"/>
    </row>
    <row r="421" spans="9:10" x14ac:dyDescent="0.2">
      <c r="I421" s="8"/>
      <c r="J421" s="8"/>
    </row>
    <row r="422" spans="9:10" x14ac:dyDescent="0.2">
      <c r="I422" s="8"/>
      <c r="J422" s="8"/>
    </row>
    <row r="423" spans="9:10" x14ac:dyDescent="0.2">
      <c r="I423" s="8"/>
      <c r="J423" s="8"/>
    </row>
    <row r="424" spans="9:10" x14ac:dyDescent="0.2">
      <c r="I424" s="8"/>
      <c r="J424" s="8"/>
    </row>
    <row r="425" spans="9:10" x14ac:dyDescent="0.2">
      <c r="I425" s="8"/>
      <c r="J425" s="8"/>
    </row>
    <row r="426" spans="9:10" x14ac:dyDescent="0.2">
      <c r="I426" s="8"/>
      <c r="J426" s="8"/>
    </row>
    <row r="427" spans="9:10" x14ac:dyDescent="0.2">
      <c r="I427" s="8"/>
      <c r="J427" s="8"/>
    </row>
    <row r="428" spans="9:10" x14ac:dyDescent="0.2">
      <c r="I428" s="8"/>
      <c r="J428" s="8"/>
    </row>
    <row r="429" spans="9:10" x14ac:dyDescent="0.2">
      <c r="I429" s="8"/>
      <c r="J429" s="8"/>
    </row>
    <row r="430" spans="9:10" x14ac:dyDescent="0.2">
      <c r="I430" s="8"/>
      <c r="J430" s="8"/>
    </row>
    <row r="431" spans="9:10" x14ac:dyDescent="0.2">
      <c r="I431" s="8"/>
      <c r="J431" s="8"/>
    </row>
    <row r="432" spans="9:10" x14ac:dyDescent="0.2">
      <c r="I432" s="8"/>
      <c r="J432" s="8"/>
    </row>
    <row r="433" spans="9:10" x14ac:dyDescent="0.2">
      <c r="I433" s="8"/>
      <c r="J433" s="8"/>
    </row>
    <row r="434" spans="9:10" x14ac:dyDescent="0.2">
      <c r="I434" s="8"/>
      <c r="J434" s="8"/>
    </row>
    <row r="435" spans="9:10" x14ac:dyDescent="0.2">
      <c r="I435" s="8"/>
      <c r="J435" s="8"/>
    </row>
    <row r="436" spans="9:10" x14ac:dyDescent="0.2">
      <c r="I436" s="8"/>
      <c r="J436" s="8"/>
    </row>
    <row r="437" spans="9:10" x14ac:dyDescent="0.2">
      <c r="I437" s="8"/>
      <c r="J437" s="8"/>
    </row>
    <row r="438" spans="9:10" x14ac:dyDescent="0.2">
      <c r="I438" s="8"/>
      <c r="J438" s="8"/>
    </row>
    <row r="439" spans="9:10" x14ac:dyDescent="0.2">
      <c r="I439" s="8"/>
      <c r="J439" s="8"/>
    </row>
    <row r="440" spans="9:10" x14ac:dyDescent="0.2">
      <c r="I440" s="8"/>
      <c r="J440" s="8"/>
    </row>
    <row r="441" spans="9:10" x14ac:dyDescent="0.2">
      <c r="I441" s="8"/>
      <c r="J441" s="8"/>
    </row>
    <row r="442" spans="9:10" x14ac:dyDescent="0.2">
      <c r="I442" s="8"/>
      <c r="J442" s="8"/>
    </row>
    <row r="443" spans="9:10" x14ac:dyDescent="0.2">
      <c r="I443" s="8"/>
      <c r="J443" s="8"/>
    </row>
    <row r="444" spans="9:10" x14ac:dyDescent="0.2">
      <c r="I444" s="8"/>
      <c r="J444" s="8"/>
    </row>
    <row r="445" spans="9:10" x14ac:dyDescent="0.2">
      <c r="I445" s="8"/>
      <c r="J445" s="8"/>
    </row>
    <row r="446" spans="9:10" x14ac:dyDescent="0.2">
      <c r="I446" s="8"/>
      <c r="J446" s="8"/>
    </row>
    <row r="447" spans="9:10" x14ac:dyDescent="0.2">
      <c r="I447" s="8"/>
      <c r="J447" s="8"/>
    </row>
    <row r="448" spans="9:10" x14ac:dyDescent="0.2">
      <c r="I448" s="8"/>
      <c r="J448" s="8"/>
    </row>
    <row r="449" spans="9:10" x14ac:dyDescent="0.2">
      <c r="I449" s="8"/>
      <c r="J449" s="8"/>
    </row>
    <row r="450" spans="9:10" x14ac:dyDescent="0.2">
      <c r="I450" s="8"/>
      <c r="J450" s="8"/>
    </row>
    <row r="451" spans="9:10" x14ac:dyDescent="0.2">
      <c r="I451" s="8"/>
      <c r="J451" s="8"/>
    </row>
    <row r="452" spans="9:10" x14ac:dyDescent="0.2">
      <c r="I452" s="8"/>
      <c r="J452" s="8"/>
    </row>
    <row r="453" spans="9:10" x14ac:dyDescent="0.2">
      <c r="I453" s="8"/>
      <c r="J453" s="8"/>
    </row>
    <row r="454" spans="9:10" x14ac:dyDescent="0.2">
      <c r="I454" s="8"/>
      <c r="J454" s="8"/>
    </row>
    <row r="455" spans="9:10" x14ac:dyDescent="0.2">
      <c r="I455" s="8"/>
      <c r="J455" s="8"/>
    </row>
    <row r="456" spans="9:10" x14ac:dyDescent="0.2">
      <c r="I456" s="8"/>
      <c r="J456" s="8"/>
    </row>
    <row r="457" spans="9:10" x14ac:dyDescent="0.2">
      <c r="I457" s="8"/>
      <c r="J457" s="8"/>
    </row>
    <row r="458" spans="9:10" x14ac:dyDescent="0.2">
      <c r="I458" s="8"/>
      <c r="J458" s="8"/>
    </row>
    <row r="459" spans="9:10" x14ac:dyDescent="0.2">
      <c r="I459" s="8"/>
      <c r="J459" s="8"/>
    </row>
    <row r="460" spans="9:10" x14ac:dyDescent="0.2">
      <c r="I460" s="8"/>
      <c r="J460" s="8"/>
    </row>
    <row r="461" spans="9:10" x14ac:dyDescent="0.2">
      <c r="I461" s="8"/>
      <c r="J461" s="8"/>
    </row>
    <row r="462" spans="9:10" x14ac:dyDescent="0.2">
      <c r="I462" s="8"/>
      <c r="J462" s="8"/>
    </row>
    <row r="463" spans="9:10" x14ac:dyDescent="0.2">
      <c r="I463" s="8"/>
      <c r="J463" s="8"/>
    </row>
    <row r="464" spans="9:10" x14ac:dyDescent="0.2">
      <c r="I464" s="8"/>
      <c r="J464" s="8"/>
    </row>
    <row r="465" spans="9:10" x14ac:dyDescent="0.2">
      <c r="I465" s="8"/>
      <c r="J465" s="8"/>
    </row>
    <row r="466" spans="9:10" x14ac:dyDescent="0.2">
      <c r="I466" s="8"/>
      <c r="J466" s="8"/>
    </row>
    <row r="467" spans="9:10" x14ac:dyDescent="0.2">
      <c r="I467" s="8"/>
      <c r="J467" s="8"/>
    </row>
    <row r="468" spans="9:10" x14ac:dyDescent="0.2">
      <c r="I468" s="8"/>
      <c r="J468" s="8"/>
    </row>
    <row r="469" spans="9:10" x14ac:dyDescent="0.2">
      <c r="I469" s="8"/>
      <c r="J469" s="8"/>
    </row>
    <row r="470" spans="9:10" x14ac:dyDescent="0.2">
      <c r="I470" s="8"/>
      <c r="J470" s="8"/>
    </row>
    <row r="471" spans="9:10" x14ac:dyDescent="0.2">
      <c r="I471" s="8"/>
      <c r="J471" s="8"/>
    </row>
    <row r="472" spans="9:10" x14ac:dyDescent="0.2">
      <c r="I472" s="8"/>
      <c r="J472" s="8"/>
    </row>
    <row r="473" spans="9:10" x14ac:dyDescent="0.2">
      <c r="I473" s="8"/>
      <c r="J473" s="8"/>
    </row>
    <row r="474" spans="9:10" x14ac:dyDescent="0.2">
      <c r="I474" s="8"/>
      <c r="J474" s="8"/>
    </row>
    <row r="475" spans="9:10" x14ac:dyDescent="0.2">
      <c r="I475" s="8"/>
      <c r="J475" s="8"/>
    </row>
    <row r="476" spans="9:10" x14ac:dyDescent="0.2">
      <c r="I476" s="8"/>
      <c r="J476" s="8"/>
    </row>
    <row r="477" spans="9:10" x14ac:dyDescent="0.2">
      <c r="I477" s="8"/>
      <c r="J477" s="8"/>
    </row>
    <row r="478" spans="9:10" x14ac:dyDescent="0.2">
      <c r="I478" s="8"/>
      <c r="J478" s="8"/>
    </row>
    <row r="479" spans="9:10" x14ac:dyDescent="0.2">
      <c r="I479" s="8"/>
      <c r="J479" s="8"/>
    </row>
    <row r="480" spans="9:10" x14ac:dyDescent="0.2">
      <c r="I480" s="8"/>
      <c r="J480" s="8"/>
    </row>
    <row r="481" spans="9:10" x14ac:dyDescent="0.2">
      <c r="I481" s="8"/>
      <c r="J481" s="8"/>
    </row>
    <row r="482" spans="9:10" x14ac:dyDescent="0.2">
      <c r="I482" s="8"/>
      <c r="J482" s="8"/>
    </row>
    <row r="483" spans="9:10" x14ac:dyDescent="0.2">
      <c r="I483" s="8"/>
      <c r="J483" s="8"/>
    </row>
    <row r="484" spans="9:10" x14ac:dyDescent="0.2">
      <c r="I484" s="8"/>
      <c r="J484" s="8"/>
    </row>
    <row r="485" spans="9:10" x14ac:dyDescent="0.2">
      <c r="I485" s="8"/>
      <c r="J485" s="8"/>
    </row>
    <row r="486" spans="9:10" x14ac:dyDescent="0.2">
      <c r="I486" s="8"/>
      <c r="J486" s="8"/>
    </row>
    <row r="487" spans="9:10" x14ac:dyDescent="0.2">
      <c r="I487" s="8"/>
      <c r="J487" s="8"/>
    </row>
    <row r="488" spans="9:10" x14ac:dyDescent="0.2">
      <c r="I488" s="8"/>
      <c r="J488" s="8"/>
    </row>
    <row r="489" spans="9:10" x14ac:dyDescent="0.2">
      <c r="I489" s="8"/>
      <c r="J489" s="8"/>
    </row>
    <row r="490" spans="9:10" x14ac:dyDescent="0.2">
      <c r="I490" s="8"/>
      <c r="J490" s="8"/>
    </row>
    <row r="491" spans="9:10" x14ac:dyDescent="0.2">
      <c r="I491" s="8"/>
      <c r="J491" s="8"/>
    </row>
    <row r="492" spans="9:10" x14ac:dyDescent="0.2">
      <c r="I492" s="8"/>
      <c r="J492" s="8"/>
    </row>
    <row r="493" spans="9:10" x14ac:dyDescent="0.2">
      <c r="I493" s="8"/>
      <c r="J493" s="8"/>
    </row>
    <row r="494" spans="9:10" x14ac:dyDescent="0.2">
      <c r="I494" s="8"/>
      <c r="J494" s="8"/>
    </row>
    <row r="495" spans="9:10" x14ac:dyDescent="0.2">
      <c r="I495" s="8"/>
      <c r="J495" s="8"/>
    </row>
    <row r="496" spans="9:10" x14ac:dyDescent="0.2">
      <c r="I496" s="8"/>
      <c r="J496" s="8"/>
    </row>
    <row r="497" spans="9:10" x14ac:dyDescent="0.2">
      <c r="I497" s="8"/>
      <c r="J497" s="8"/>
    </row>
    <row r="498" spans="9:10" x14ac:dyDescent="0.2">
      <c r="I498" s="8"/>
      <c r="J498" s="8"/>
    </row>
    <row r="499" spans="9:10" x14ac:dyDescent="0.2">
      <c r="I499" s="8"/>
      <c r="J499" s="8"/>
    </row>
    <row r="500" spans="9:10" x14ac:dyDescent="0.2">
      <c r="I500" s="8"/>
      <c r="J500" s="8"/>
    </row>
    <row r="501" spans="9:10" x14ac:dyDescent="0.2">
      <c r="I501" s="8"/>
      <c r="J501" s="8"/>
    </row>
    <row r="502" spans="9:10" x14ac:dyDescent="0.2">
      <c r="I502" s="8"/>
      <c r="J502" s="8"/>
    </row>
    <row r="503" spans="9:10" x14ac:dyDescent="0.2">
      <c r="I503" s="8"/>
      <c r="J503" s="8"/>
    </row>
    <row r="504" spans="9:10" x14ac:dyDescent="0.2">
      <c r="I504" s="8"/>
      <c r="J504" s="8"/>
    </row>
    <row r="505" spans="9:10" x14ac:dyDescent="0.2">
      <c r="I505" s="8"/>
      <c r="J505" s="8"/>
    </row>
    <row r="506" spans="9:10" x14ac:dyDescent="0.2">
      <c r="I506" s="8"/>
      <c r="J506" s="8"/>
    </row>
    <row r="507" spans="9:10" x14ac:dyDescent="0.2">
      <c r="I507" s="8"/>
      <c r="J507" s="8"/>
    </row>
    <row r="508" spans="9:10" x14ac:dyDescent="0.2">
      <c r="I508" s="8"/>
      <c r="J508" s="8"/>
    </row>
    <row r="509" spans="9:10" x14ac:dyDescent="0.2">
      <c r="I509" s="8"/>
      <c r="J509" s="8"/>
    </row>
    <row r="510" spans="9:10" x14ac:dyDescent="0.2">
      <c r="I510" s="8"/>
      <c r="J510" s="8"/>
    </row>
    <row r="511" spans="9:10" x14ac:dyDescent="0.2">
      <c r="I511" s="8"/>
      <c r="J511" s="8"/>
    </row>
    <row r="512" spans="9:10" x14ac:dyDescent="0.2">
      <c r="I512" s="8"/>
      <c r="J512" s="8"/>
    </row>
    <row r="513" spans="9:10" x14ac:dyDescent="0.2">
      <c r="I513" s="8"/>
      <c r="J513" s="8"/>
    </row>
    <row r="514" spans="9:10" x14ac:dyDescent="0.2">
      <c r="I514" s="8"/>
      <c r="J514" s="8"/>
    </row>
    <row r="515" spans="9:10" x14ac:dyDescent="0.2">
      <c r="I515" s="8"/>
      <c r="J515" s="8"/>
    </row>
    <row r="516" spans="9:10" x14ac:dyDescent="0.2">
      <c r="I516" s="8"/>
      <c r="J516" s="8"/>
    </row>
    <row r="517" spans="9:10" x14ac:dyDescent="0.2">
      <c r="I517" s="8"/>
      <c r="J517" s="8"/>
    </row>
    <row r="518" spans="9:10" x14ac:dyDescent="0.2">
      <c r="I518" s="8"/>
      <c r="J518" s="8"/>
    </row>
    <row r="519" spans="9:10" x14ac:dyDescent="0.2">
      <c r="I519" s="8"/>
      <c r="J519" s="8"/>
    </row>
    <row r="520" spans="9:10" x14ac:dyDescent="0.2">
      <c r="I520" s="8"/>
      <c r="J520" s="8"/>
    </row>
    <row r="521" spans="9:10" x14ac:dyDescent="0.2">
      <c r="I521" s="8"/>
      <c r="J521" s="8"/>
    </row>
    <row r="522" spans="9:10" x14ac:dyDescent="0.2">
      <c r="I522" s="8"/>
      <c r="J522" s="8"/>
    </row>
    <row r="523" spans="9:10" x14ac:dyDescent="0.2">
      <c r="I523" s="8"/>
      <c r="J523" s="8"/>
    </row>
    <row r="524" spans="9:10" x14ac:dyDescent="0.2">
      <c r="I524" s="8"/>
      <c r="J524" s="8"/>
    </row>
    <row r="525" spans="9:10" x14ac:dyDescent="0.2">
      <c r="I525" s="8"/>
      <c r="J525" s="8"/>
    </row>
    <row r="526" spans="9:10" x14ac:dyDescent="0.2">
      <c r="I526" s="8"/>
      <c r="J526" s="8"/>
    </row>
    <row r="527" spans="9:10" x14ac:dyDescent="0.2">
      <c r="I527" s="8"/>
      <c r="J527" s="8"/>
    </row>
    <row r="528" spans="9:10" x14ac:dyDescent="0.2">
      <c r="I528" s="8"/>
      <c r="J528" s="8"/>
    </row>
    <row r="529" spans="9:10" x14ac:dyDescent="0.2">
      <c r="I529" s="8"/>
      <c r="J529" s="8"/>
    </row>
    <row r="530" spans="9:10" x14ac:dyDescent="0.2">
      <c r="I530" s="8"/>
      <c r="J530" s="8"/>
    </row>
    <row r="531" spans="9:10" x14ac:dyDescent="0.2">
      <c r="I531" s="8"/>
      <c r="J531" s="8"/>
    </row>
    <row r="532" spans="9:10" x14ac:dyDescent="0.2">
      <c r="I532" s="8"/>
      <c r="J532" s="8"/>
    </row>
    <row r="533" spans="9:10" x14ac:dyDescent="0.2">
      <c r="I533" s="8"/>
      <c r="J533" s="8"/>
    </row>
    <row r="534" spans="9:10" x14ac:dyDescent="0.2">
      <c r="I534" s="8"/>
      <c r="J534" s="8"/>
    </row>
    <row r="535" spans="9:10" x14ac:dyDescent="0.2">
      <c r="I535" s="8"/>
      <c r="J535" s="8"/>
    </row>
    <row r="536" spans="9:10" x14ac:dyDescent="0.2">
      <c r="I536" s="8"/>
      <c r="J536" s="8"/>
    </row>
    <row r="537" spans="9:10" x14ac:dyDescent="0.2">
      <c r="I537" s="8"/>
      <c r="J537" s="8"/>
    </row>
    <row r="538" spans="9:10" x14ac:dyDescent="0.2">
      <c r="I538" s="8"/>
      <c r="J538" s="8"/>
    </row>
    <row r="539" spans="9:10" x14ac:dyDescent="0.2">
      <c r="I539" s="8"/>
      <c r="J539" s="8"/>
    </row>
    <row r="540" spans="9:10" x14ac:dyDescent="0.2">
      <c r="I540" s="8"/>
      <c r="J540" s="8"/>
    </row>
    <row r="541" spans="9:10" x14ac:dyDescent="0.2">
      <c r="I541" s="8"/>
      <c r="J541" s="8"/>
    </row>
    <row r="542" spans="9:10" x14ac:dyDescent="0.2">
      <c r="I542" s="8"/>
      <c r="J542" s="8"/>
    </row>
    <row r="543" spans="9:10" x14ac:dyDescent="0.2">
      <c r="I543" s="8"/>
      <c r="J543" s="8"/>
    </row>
    <row r="544" spans="9:10" x14ac:dyDescent="0.2">
      <c r="I544" s="8"/>
      <c r="J544" s="8"/>
    </row>
    <row r="545" spans="9:10" x14ac:dyDescent="0.2">
      <c r="I545" s="8"/>
      <c r="J545" s="8"/>
    </row>
    <row r="546" spans="9:10" x14ac:dyDescent="0.2">
      <c r="I546" s="8"/>
      <c r="J546" s="8"/>
    </row>
    <row r="547" spans="9:10" x14ac:dyDescent="0.2">
      <c r="I547" s="8"/>
      <c r="J547" s="8"/>
    </row>
    <row r="548" spans="9:10" x14ac:dyDescent="0.2">
      <c r="I548" s="8"/>
      <c r="J548" s="8"/>
    </row>
    <row r="549" spans="9:10" x14ac:dyDescent="0.2">
      <c r="I549" s="8"/>
      <c r="J549" s="8"/>
    </row>
    <row r="550" spans="9:10" x14ac:dyDescent="0.2">
      <c r="I550" s="8"/>
      <c r="J550" s="8"/>
    </row>
    <row r="551" spans="9:10" x14ac:dyDescent="0.2">
      <c r="I551" s="8"/>
      <c r="J551" s="8"/>
    </row>
    <row r="552" spans="9:10" x14ac:dyDescent="0.2">
      <c r="I552" s="8"/>
      <c r="J552" s="8"/>
    </row>
    <row r="553" spans="9:10" x14ac:dyDescent="0.2">
      <c r="I553" s="8"/>
      <c r="J553" s="8"/>
    </row>
    <row r="554" spans="9:10" x14ac:dyDescent="0.2">
      <c r="I554" s="8"/>
      <c r="J554" s="8"/>
    </row>
    <row r="555" spans="9:10" x14ac:dyDescent="0.2">
      <c r="I555" s="8"/>
      <c r="J555" s="8"/>
    </row>
    <row r="556" spans="9:10" x14ac:dyDescent="0.2">
      <c r="I556" s="8"/>
      <c r="J556" s="8"/>
    </row>
    <row r="557" spans="9:10" x14ac:dyDescent="0.2">
      <c r="I557" s="8"/>
      <c r="J557" s="8"/>
    </row>
    <row r="558" spans="9:10" x14ac:dyDescent="0.2">
      <c r="I558" s="8"/>
      <c r="J558" s="8"/>
    </row>
    <row r="559" spans="9:10" x14ac:dyDescent="0.2">
      <c r="I559" s="8"/>
      <c r="J559" s="8"/>
    </row>
    <row r="560" spans="9:10" x14ac:dyDescent="0.2">
      <c r="I560" s="8"/>
      <c r="J560" s="8"/>
    </row>
    <row r="561" spans="9:10" x14ac:dyDescent="0.2">
      <c r="I561" s="8"/>
      <c r="J561" s="8"/>
    </row>
    <row r="562" spans="9:10" x14ac:dyDescent="0.2">
      <c r="I562" s="8"/>
      <c r="J562" s="8"/>
    </row>
    <row r="563" spans="9:10" x14ac:dyDescent="0.2">
      <c r="I563" s="8"/>
      <c r="J563" s="8"/>
    </row>
    <row r="564" spans="9:10" x14ac:dyDescent="0.2">
      <c r="I564" s="8"/>
      <c r="J564" s="8"/>
    </row>
    <row r="565" spans="9:10" x14ac:dyDescent="0.2">
      <c r="I565" s="8"/>
      <c r="J565" s="8"/>
    </row>
    <row r="566" spans="9:10" x14ac:dyDescent="0.2">
      <c r="I566" s="8"/>
      <c r="J566" s="8"/>
    </row>
    <row r="567" spans="9:10" x14ac:dyDescent="0.2">
      <c r="I567" s="8"/>
      <c r="J567" s="8"/>
    </row>
    <row r="568" spans="9:10" x14ac:dyDescent="0.2">
      <c r="I568" s="8"/>
      <c r="J568" s="8"/>
    </row>
    <row r="569" spans="9:10" x14ac:dyDescent="0.2">
      <c r="I569" s="8"/>
      <c r="J569" s="8"/>
    </row>
    <row r="570" spans="9:10" x14ac:dyDescent="0.2">
      <c r="I570" s="8"/>
      <c r="J570" s="8"/>
    </row>
    <row r="571" spans="9:10" x14ac:dyDescent="0.2">
      <c r="I571" s="8"/>
      <c r="J571" s="8"/>
    </row>
    <row r="572" spans="9:10" x14ac:dyDescent="0.2">
      <c r="I572" s="8"/>
      <c r="J572" s="8"/>
    </row>
    <row r="573" spans="9:10" x14ac:dyDescent="0.2">
      <c r="I573" s="8"/>
      <c r="J573" s="8"/>
    </row>
    <row r="574" spans="9:10" x14ac:dyDescent="0.2">
      <c r="I574" s="8"/>
      <c r="J574" s="8"/>
    </row>
    <row r="575" spans="9:10" x14ac:dyDescent="0.2">
      <c r="I575" s="8"/>
      <c r="J575" s="8"/>
    </row>
    <row r="576" spans="9:10" x14ac:dyDescent="0.2">
      <c r="I576" s="8"/>
      <c r="J576" s="8"/>
    </row>
    <row r="577" spans="9:10" x14ac:dyDescent="0.2">
      <c r="I577" s="8"/>
      <c r="J577" s="8"/>
    </row>
    <row r="578" spans="9:10" x14ac:dyDescent="0.2">
      <c r="I578" s="8"/>
      <c r="J578" s="8"/>
    </row>
    <row r="579" spans="9:10" x14ac:dyDescent="0.2">
      <c r="I579" s="8"/>
      <c r="J579" s="8"/>
    </row>
    <row r="580" spans="9:10" x14ac:dyDescent="0.2">
      <c r="I580" s="8"/>
      <c r="J580" s="8"/>
    </row>
    <row r="581" spans="9:10" x14ac:dyDescent="0.2">
      <c r="I581" s="8"/>
      <c r="J581" s="8"/>
    </row>
    <row r="582" spans="9:10" x14ac:dyDescent="0.2">
      <c r="I582" s="8"/>
      <c r="J582" s="8"/>
    </row>
    <row r="583" spans="9:10" x14ac:dyDescent="0.2">
      <c r="I583" s="8"/>
      <c r="J583" s="8"/>
    </row>
    <row r="584" spans="9:10" x14ac:dyDescent="0.2">
      <c r="I584" s="8"/>
      <c r="J584" s="8"/>
    </row>
    <row r="585" spans="9:10" x14ac:dyDescent="0.2">
      <c r="I585" s="8"/>
      <c r="J585" s="8"/>
    </row>
    <row r="586" spans="9:10" x14ac:dyDescent="0.2">
      <c r="I586" s="8"/>
      <c r="J586" s="8"/>
    </row>
    <row r="587" spans="9:10" x14ac:dyDescent="0.2">
      <c r="I587" s="8"/>
      <c r="J587" s="8"/>
    </row>
    <row r="588" spans="9:10" x14ac:dyDescent="0.2">
      <c r="I588" s="8"/>
      <c r="J588" s="8"/>
    </row>
    <row r="589" spans="9:10" x14ac:dyDescent="0.2">
      <c r="I589" s="8"/>
      <c r="J589" s="8"/>
    </row>
    <row r="590" spans="9:10" x14ac:dyDescent="0.2">
      <c r="I590" s="8"/>
      <c r="J590" s="8"/>
    </row>
    <row r="591" spans="9:10" x14ac:dyDescent="0.2">
      <c r="I591" s="8"/>
      <c r="J591" s="8"/>
    </row>
    <row r="592" spans="9:10" x14ac:dyDescent="0.2">
      <c r="I592" s="8"/>
      <c r="J592" s="8"/>
    </row>
    <row r="593" spans="9:10" x14ac:dyDescent="0.2">
      <c r="I593" s="8"/>
      <c r="J593" s="8"/>
    </row>
    <row r="594" spans="9:10" x14ac:dyDescent="0.2">
      <c r="I594" s="8"/>
      <c r="J594" s="8"/>
    </row>
    <row r="595" spans="9:10" x14ac:dyDescent="0.2">
      <c r="I595" s="8"/>
      <c r="J595" s="8"/>
    </row>
    <row r="596" spans="9:10" x14ac:dyDescent="0.2">
      <c r="I596" s="8"/>
      <c r="J596" s="8"/>
    </row>
    <row r="597" spans="9:10" x14ac:dyDescent="0.2">
      <c r="I597" s="8"/>
      <c r="J597" s="8"/>
    </row>
    <row r="598" spans="9:10" x14ac:dyDescent="0.2">
      <c r="I598" s="8"/>
      <c r="J598" s="8"/>
    </row>
    <row r="599" spans="9:10" x14ac:dyDescent="0.2">
      <c r="I599" s="8"/>
      <c r="J599" s="8"/>
    </row>
    <row r="600" spans="9:10" x14ac:dyDescent="0.2">
      <c r="I600" s="8"/>
      <c r="J600" s="8"/>
    </row>
    <row r="601" spans="9:10" x14ac:dyDescent="0.2">
      <c r="I601" s="8"/>
      <c r="J601" s="8"/>
    </row>
    <row r="602" spans="9:10" x14ac:dyDescent="0.2">
      <c r="I602" s="8"/>
      <c r="J602" s="8"/>
    </row>
    <row r="603" spans="9:10" x14ac:dyDescent="0.2">
      <c r="I603" s="8"/>
      <c r="J603" s="8"/>
    </row>
    <row r="604" spans="9:10" x14ac:dyDescent="0.2">
      <c r="I604" s="8"/>
      <c r="J604" s="8"/>
    </row>
    <row r="605" spans="9:10" x14ac:dyDescent="0.2">
      <c r="I605" s="8"/>
      <c r="J605" s="8"/>
    </row>
    <row r="606" spans="9:10" x14ac:dyDescent="0.2">
      <c r="I606" s="8"/>
      <c r="J606" s="8"/>
    </row>
    <row r="607" spans="9:10" x14ac:dyDescent="0.2">
      <c r="I607" s="8"/>
      <c r="J607" s="8"/>
    </row>
    <row r="608" spans="9:10" x14ac:dyDescent="0.2">
      <c r="I608" s="8"/>
      <c r="J608" s="8"/>
    </row>
    <row r="609" spans="9:10" x14ac:dyDescent="0.2">
      <c r="I609" s="8"/>
      <c r="J609" s="8"/>
    </row>
    <row r="610" spans="9:10" x14ac:dyDescent="0.2">
      <c r="I610" s="8"/>
      <c r="J610" s="8"/>
    </row>
    <row r="611" spans="9:10" x14ac:dyDescent="0.2">
      <c r="I611" s="8"/>
      <c r="J611" s="8"/>
    </row>
    <row r="612" spans="9:10" x14ac:dyDescent="0.2">
      <c r="I612" s="8"/>
      <c r="J612" s="8"/>
    </row>
    <row r="613" spans="9:10" x14ac:dyDescent="0.2">
      <c r="I613" s="8"/>
      <c r="J613" s="8"/>
    </row>
    <row r="614" spans="9:10" x14ac:dyDescent="0.2">
      <c r="I614" s="8"/>
      <c r="J614" s="8"/>
    </row>
    <row r="615" spans="9:10" x14ac:dyDescent="0.2">
      <c r="I615" s="8"/>
      <c r="J615" s="8"/>
    </row>
    <row r="616" spans="9:10" x14ac:dyDescent="0.2">
      <c r="I616" s="8"/>
      <c r="J616" s="8"/>
    </row>
    <row r="617" spans="9:10" x14ac:dyDescent="0.2">
      <c r="I617" s="8"/>
      <c r="J617" s="8"/>
    </row>
    <row r="618" spans="9:10" x14ac:dyDescent="0.2">
      <c r="I618" s="8"/>
      <c r="J618" s="8"/>
    </row>
    <row r="619" spans="9:10" x14ac:dyDescent="0.2">
      <c r="I619" s="8"/>
      <c r="J619" s="8"/>
    </row>
    <row r="620" spans="9:10" x14ac:dyDescent="0.2">
      <c r="I620" s="8"/>
      <c r="J620" s="8"/>
    </row>
    <row r="621" spans="9:10" x14ac:dyDescent="0.2">
      <c r="I621" s="8"/>
      <c r="J621" s="8"/>
    </row>
    <row r="622" spans="9:10" x14ac:dyDescent="0.2">
      <c r="I622" s="8"/>
      <c r="J622" s="8"/>
    </row>
    <row r="623" spans="9:10" x14ac:dyDescent="0.2">
      <c r="I623" s="8"/>
      <c r="J623" s="8"/>
    </row>
    <row r="624" spans="9:10" x14ac:dyDescent="0.2">
      <c r="I624" s="8"/>
      <c r="J624" s="8"/>
    </row>
    <row r="625" spans="9:10" x14ac:dyDescent="0.2">
      <c r="I625" s="8"/>
      <c r="J625" s="8"/>
    </row>
    <row r="626" spans="9:10" x14ac:dyDescent="0.2">
      <c r="I626" s="8"/>
      <c r="J626" s="8"/>
    </row>
    <row r="627" spans="9:10" x14ac:dyDescent="0.2">
      <c r="I627" s="8"/>
      <c r="J627" s="8"/>
    </row>
    <row r="628" spans="9:10" x14ac:dyDescent="0.2">
      <c r="I628" s="8"/>
      <c r="J628" s="8"/>
    </row>
    <row r="629" spans="9:10" x14ac:dyDescent="0.2">
      <c r="I629" s="8"/>
      <c r="J629" s="8"/>
    </row>
    <row r="630" spans="9:10" x14ac:dyDescent="0.2">
      <c r="I630" s="8"/>
      <c r="J630" s="8"/>
    </row>
    <row r="631" spans="9:10" x14ac:dyDescent="0.2">
      <c r="I631" s="8"/>
      <c r="J631" s="8"/>
    </row>
    <row r="632" spans="9:10" x14ac:dyDescent="0.2">
      <c r="I632" s="8"/>
      <c r="J632" s="8"/>
    </row>
    <row r="633" spans="9:10" x14ac:dyDescent="0.2">
      <c r="I633" s="8"/>
      <c r="J633" s="8"/>
    </row>
    <row r="634" spans="9:10" x14ac:dyDescent="0.2">
      <c r="I634" s="8"/>
      <c r="J634" s="8"/>
    </row>
    <row r="635" spans="9:10" x14ac:dyDescent="0.2">
      <c r="I635" s="8"/>
      <c r="J635" s="8"/>
    </row>
    <row r="636" spans="9:10" x14ac:dyDescent="0.2">
      <c r="I636" s="8"/>
      <c r="J636" s="8"/>
    </row>
    <row r="637" spans="9:10" x14ac:dyDescent="0.2">
      <c r="I637" s="8"/>
      <c r="J637" s="8"/>
    </row>
    <row r="638" spans="9:10" x14ac:dyDescent="0.2">
      <c r="I638" s="8"/>
      <c r="J638" s="8"/>
    </row>
    <row r="639" spans="9:10" x14ac:dyDescent="0.2">
      <c r="I639" s="8"/>
      <c r="J639" s="8"/>
    </row>
    <row r="640" spans="9:10" x14ac:dyDescent="0.2">
      <c r="I640" s="8"/>
      <c r="J640" s="8"/>
    </row>
    <row r="641" spans="9:10" x14ac:dyDescent="0.2">
      <c r="I641" s="8"/>
      <c r="J641" s="8"/>
    </row>
    <row r="642" spans="9:10" x14ac:dyDescent="0.2">
      <c r="I642" s="8"/>
      <c r="J642" s="8"/>
    </row>
    <row r="643" spans="9:10" x14ac:dyDescent="0.2">
      <c r="I643" s="8"/>
      <c r="J643" s="8"/>
    </row>
    <row r="644" spans="9:10" x14ac:dyDescent="0.2">
      <c r="I644" s="8"/>
      <c r="J644" s="8"/>
    </row>
    <row r="645" spans="9:10" x14ac:dyDescent="0.2">
      <c r="I645" s="8"/>
      <c r="J645" s="8"/>
    </row>
    <row r="646" spans="9:10" x14ac:dyDescent="0.2">
      <c r="I646" s="8"/>
      <c r="J646" s="8"/>
    </row>
    <row r="647" spans="9:10" x14ac:dyDescent="0.2">
      <c r="I647" s="8"/>
      <c r="J647" s="8"/>
    </row>
    <row r="648" spans="9:10" x14ac:dyDescent="0.2">
      <c r="I648" s="8"/>
      <c r="J648" s="8"/>
    </row>
    <row r="649" spans="9:10" x14ac:dyDescent="0.2">
      <c r="I649" s="8"/>
      <c r="J649" s="8"/>
    </row>
    <row r="650" spans="9:10" x14ac:dyDescent="0.2">
      <c r="I650" s="8"/>
      <c r="J650" s="8"/>
    </row>
    <row r="651" spans="9:10" x14ac:dyDescent="0.2">
      <c r="I651" s="8"/>
      <c r="J651" s="8"/>
    </row>
    <row r="652" spans="9:10" x14ac:dyDescent="0.2">
      <c r="I652" s="8"/>
      <c r="J652" s="8"/>
    </row>
    <row r="653" spans="9:10" x14ac:dyDescent="0.2">
      <c r="I653" s="8"/>
      <c r="J653" s="8"/>
    </row>
    <row r="654" spans="9:10" x14ac:dyDescent="0.2">
      <c r="I654" s="8"/>
      <c r="J654" s="8"/>
    </row>
    <row r="655" spans="9:10" x14ac:dyDescent="0.2">
      <c r="I655" s="8"/>
      <c r="J655" s="8"/>
    </row>
    <row r="656" spans="9:10" x14ac:dyDescent="0.2">
      <c r="I656" s="8"/>
      <c r="J656" s="8"/>
    </row>
    <row r="657" spans="9:10" x14ac:dyDescent="0.2">
      <c r="I657" s="8"/>
      <c r="J657" s="8"/>
    </row>
    <row r="658" spans="9:10" x14ac:dyDescent="0.2">
      <c r="I658" s="8"/>
      <c r="J658" s="8"/>
    </row>
    <row r="659" spans="9:10" x14ac:dyDescent="0.2">
      <c r="I659" s="8"/>
      <c r="J659" s="8"/>
    </row>
    <row r="660" spans="9:10" x14ac:dyDescent="0.2">
      <c r="I660" s="8"/>
      <c r="J660" s="8"/>
    </row>
    <row r="661" spans="9:10" x14ac:dyDescent="0.2">
      <c r="I661" s="8"/>
      <c r="J661" s="8"/>
    </row>
    <row r="662" spans="9:10" x14ac:dyDescent="0.2">
      <c r="I662" s="8"/>
      <c r="J662" s="8"/>
    </row>
    <row r="663" spans="9:10" x14ac:dyDescent="0.2">
      <c r="I663" s="8"/>
      <c r="J663" s="8"/>
    </row>
    <row r="664" spans="9:10" x14ac:dyDescent="0.2">
      <c r="I664" s="8"/>
      <c r="J664" s="8"/>
    </row>
    <row r="665" spans="9:10" x14ac:dyDescent="0.2">
      <c r="I665" s="8"/>
      <c r="J665" s="8"/>
    </row>
    <row r="666" spans="9:10" x14ac:dyDescent="0.2">
      <c r="I666" s="8"/>
      <c r="J666" s="8"/>
    </row>
    <row r="667" spans="9:10" x14ac:dyDescent="0.2">
      <c r="I667" s="8"/>
      <c r="J667" s="8"/>
    </row>
    <row r="668" spans="9:10" x14ac:dyDescent="0.2">
      <c r="I668" s="8"/>
      <c r="J668" s="8"/>
    </row>
    <row r="669" spans="9:10" x14ac:dyDescent="0.2">
      <c r="I669" s="8"/>
      <c r="J669" s="8"/>
    </row>
    <row r="670" spans="9:10" x14ac:dyDescent="0.2">
      <c r="I670" s="8"/>
      <c r="J670" s="8"/>
    </row>
    <row r="671" spans="9:10" x14ac:dyDescent="0.2">
      <c r="I671" s="8"/>
      <c r="J671" s="8"/>
    </row>
    <row r="672" spans="9:10" x14ac:dyDescent="0.2">
      <c r="I672" s="8"/>
      <c r="J672" s="8"/>
    </row>
    <row r="673" spans="9:10" x14ac:dyDescent="0.2">
      <c r="I673" s="8"/>
      <c r="J673" s="8"/>
    </row>
    <row r="674" spans="9:10" x14ac:dyDescent="0.2">
      <c r="I674" s="8"/>
      <c r="J674" s="8"/>
    </row>
    <row r="675" spans="9:10" x14ac:dyDescent="0.2">
      <c r="I675" s="8"/>
      <c r="J675" s="8"/>
    </row>
    <row r="676" spans="9:10" x14ac:dyDescent="0.2">
      <c r="I676" s="8"/>
      <c r="J676" s="8"/>
    </row>
    <row r="677" spans="9:10" x14ac:dyDescent="0.2">
      <c r="I677" s="8"/>
      <c r="J677" s="8"/>
    </row>
    <row r="678" spans="9:10" x14ac:dyDescent="0.2">
      <c r="I678" s="8"/>
      <c r="J678" s="8"/>
    </row>
    <row r="679" spans="9:10" x14ac:dyDescent="0.2">
      <c r="I679" s="8"/>
      <c r="J679" s="8"/>
    </row>
    <row r="680" spans="9:10" x14ac:dyDescent="0.2">
      <c r="I680" s="8"/>
      <c r="J680" s="8"/>
    </row>
    <row r="681" spans="9:10" x14ac:dyDescent="0.2">
      <c r="I681" s="8"/>
      <c r="J681" s="8"/>
    </row>
    <row r="682" spans="9:10" x14ac:dyDescent="0.2">
      <c r="I682" s="8"/>
      <c r="J682" s="8"/>
    </row>
    <row r="683" spans="9:10" x14ac:dyDescent="0.2">
      <c r="I683" s="8"/>
      <c r="J683" s="8"/>
    </row>
    <row r="684" spans="9:10" x14ac:dyDescent="0.2">
      <c r="I684" s="8"/>
      <c r="J684" s="8"/>
    </row>
    <row r="685" spans="9:10" x14ac:dyDescent="0.2">
      <c r="I685" s="8"/>
      <c r="J685" s="8"/>
    </row>
    <row r="686" spans="9:10" x14ac:dyDescent="0.2">
      <c r="I686" s="8"/>
      <c r="J686" s="8"/>
    </row>
    <row r="687" spans="9:10" x14ac:dyDescent="0.2">
      <c r="I687" s="8"/>
      <c r="J687" s="8"/>
    </row>
    <row r="688" spans="9:10" x14ac:dyDescent="0.2">
      <c r="I688" s="8"/>
      <c r="J688" s="8"/>
    </row>
    <row r="689" spans="9:10" x14ac:dyDescent="0.2">
      <c r="I689" s="8"/>
      <c r="J689" s="8"/>
    </row>
    <row r="690" spans="9:10" x14ac:dyDescent="0.2">
      <c r="I690" s="8"/>
      <c r="J690" s="8"/>
    </row>
    <row r="691" spans="9:10" x14ac:dyDescent="0.2">
      <c r="I691" s="8"/>
      <c r="J691" s="8"/>
    </row>
    <row r="692" spans="9:10" x14ac:dyDescent="0.2">
      <c r="I692" s="8"/>
      <c r="J692" s="8"/>
    </row>
    <row r="693" spans="9:10" x14ac:dyDescent="0.2">
      <c r="I693" s="8"/>
      <c r="J693" s="8"/>
    </row>
    <row r="694" spans="9:10" x14ac:dyDescent="0.2">
      <c r="I694" s="8"/>
      <c r="J694" s="8"/>
    </row>
    <row r="695" spans="9:10" x14ac:dyDescent="0.2">
      <c r="I695" s="8"/>
      <c r="J695" s="8"/>
    </row>
    <row r="696" spans="9:10" x14ac:dyDescent="0.2">
      <c r="I696" s="8"/>
      <c r="J696" s="8"/>
    </row>
    <row r="697" spans="9:10" x14ac:dyDescent="0.2">
      <c r="I697" s="8"/>
      <c r="J697" s="8"/>
    </row>
    <row r="698" spans="9:10" x14ac:dyDescent="0.2">
      <c r="I698" s="8"/>
      <c r="J698" s="8"/>
    </row>
    <row r="699" spans="9:10" x14ac:dyDescent="0.2">
      <c r="I699" s="8"/>
      <c r="J699" s="8"/>
    </row>
    <row r="700" spans="9:10" x14ac:dyDescent="0.2">
      <c r="I700" s="8"/>
      <c r="J700" s="8"/>
    </row>
    <row r="701" spans="9:10" x14ac:dyDescent="0.2">
      <c r="I701" s="8"/>
      <c r="J701" s="8"/>
    </row>
    <row r="702" spans="9:10" x14ac:dyDescent="0.2">
      <c r="I702" s="8"/>
      <c r="J702" s="8"/>
    </row>
    <row r="703" spans="9:10" x14ac:dyDescent="0.2">
      <c r="I703" s="8"/>
      <c r="J703" s="8"/>
    </row>
    <row r="704" spans="9:10" x14ac:dyDescent="0.2">
      <c r="I704" s="8"/>
      <c r="J704" s="8"/>
    </row>
    <row r="705" spans="9:10" x14ac:dyDescent="0.2">
      <c r="I705" s="8"/>
      <c r="J705" s="8"/>
    </row>
    <row r="706" spans="9:10" x14ac:dyDescent="0.2">
      <c r="I706" s="8"/>
      <c r="J706" s="8"/>
    </row>
    <row r="707" spans="9:10" x14ac:dyDescent="0.2">
      <c r="I707" s="8"/>
      <c r="J707" s="8"/>
    </row>
    <row r="708" spans="9:10" x14ac:dyDescent="0.2">
      <c r="I708" s="8"/>
      <c r="J708" s="8"/>
    </row>
    <row r="709" spans="9:10" x14ac:dyDescent="0.2">
      <c r="I709" s="8"/>
      <c r="J709" s="8"/>
    </row>
    <row r="710" spans="9:10" x14ac:dyDescent="0.2">
      <c r="I710" s="8"/>
      <c r="J710" s="8"/>
    </row>
    <row r="711" spans="9:10" x14ac:dyDescent="0.2">
      <c r="I711" s="8"/>
      <c r="J711" s="8"/>
    </row>
    <row r="712" spans="9:10" x14ac:dyDescent="0.2">
      <c r="I712" s="8"/>
      <c r="J712" s="8"/>
    </row>
    <row r="713" spans="9:10" x14ac:dyDescent="0.2">
      <c r="I713" s="8"/>
      <c r="J713" s="8"/>
    </row>
    <row r="714" spans="9:10" x14ac:dyDescent="0.2">
      <c r="I714" s="8"/>
      <c r="J714" s="8"/>
    </row>
    <row r="715" spans="9:10" x14ac:dyDescent="0.2">
      <c r="I715" s="8"/>
      <c r="J715" s="8"/>
    </row>
    <row r="716" spans="9:10" x14ac:dyDescent="0.2">
      <c r="I716" s="8"/>
      <c r="J716" s="8"/>
    </row>
    <row r="717" spans="9:10" x14ac:dyDescent="0.2">
      <c r="I717" s="8"/>
      <c r="J717" s="8"/>
    </row>
    <row r="718" spans="9:10" x14ac:dyDescent="0.2">
      <c r="I718" s="8"/>
      <c r="J718" s="8"/>
    </row>
    <row r="719" spans="9:10" x14ac:dyDescent="0.2">
      <c r="I719" s="8"/>
      <c r="J719" s="8"/>
    </row>
    <row r="720" spans="9:10" x14ac:dyDescent="0.2">
      <c r="I720" s="8"/>
      <c r="J720" s="8"/>
    </row>
    <row r="721" spans="9:10" x14ac:dyDescent="0.2">
      <c r="I721" s="8"/>
      <c r="J721" s="8"/>
    </row>
    <row r="722" spans="9:10" x14ac:dyDescent="0.2">
      <c r="I722" s="8"/>
      <c r="J722" s="8"/>
    </row>
    <row r="723" spans="9:10" x14ac:dyDescent="0.2">
      <c r="I723" s="8"/>
      <c r="J723" s="8"/>
    </row>
    <row r="724" spans="9:10" x14ac:dyDescent="0.2">
      <c r="I724" s="8"/>
      <c r="J724" s="8"/>
    </row>
    <row r="725" spans="9:10" x14ac:dyDescent="0.2">
      <c r="I725" s="8"/>
      <c r="J725" s="8"/>
    </row>
    <row r="726" spans="9:10" x14ac:dyDescent="0.2">
      <c r="I726" s="8"/>
      <c r="J726" s="8"/>
    </row>
    <row r="727" spans="9:10" x14ac:dyDescent="0.2">
      <c r="I727" s="8"/>
      <c r="J727" s="8"/>
    </row>
    <row r="728" spans="9:10" x14ac:dyDescent="0.2">
      <c r="I728" s="8"/>
      <c r="J728" s="8"/>
    </row>
    <row r="729" spans="9:10" x14ac:dyDescent="0.2">
      <c r="I729" s="8"/>
      <c r="J729" s="8"/>
    </row>
    <row r="730" spans="9:10" x14ac:dyDescent="0.2">
      <c r="I730" s="8"/>
      <c r="J730" s="8"/>
    </row>
    <row r="731" spans="9:10" x14ac:dyDescent="0.2">
      <c r="I731" s="8"/>
      <c r="J731" s="8"/>
    </row>
    <row r="732" spans="9:10" x14ac:dyDescent="0.2">
      <c r="I732" s="8"/>
      <c r="J732" s="8"/>
    </row>
    <row r="733" spans="9:10" x14ac:dyDescent="0.2">
      <c r="I733" s="8"/>
      <c r="J733" s="8"/>
    </row>
    <row r="734" spans="9:10" x14ac:dyDescent="0.2">
      <c r="I734" s="8"/>
      <c r="J734" s="8"/>
    </row>
    <row r="735" spans="9:10" x14ac:dyDescent="0.2">
      <c r="I735" s="8"/>
      <c r="J735" s="8"/>
    </row>
    <row r="736" spans="9:10" x14ac:dyDescent="0.2">
      <c r="I736" s="8"/>
      <c r="J736" s="8"/>
    </row>
    <row r="737" spans="9:10" x14ac:dyDescent="0.2">
      <c r="I737" s="8"/>
      <c r="J737" s="8"/>
    </row>
    <row r="738" spans="9:10" x14ac:dyDescent="0.2">
      <c r="I738" s="8"/>
      <c r="J738" s="8"/>
    </row>
    <row r="739" spans="9:10" x14ac:dyDescent="0.2">
      <c r="I739" s="8"/>
      <c r="J739" s="8"/>
    </row>
    <row r="740" spans="9:10" x14ac:dyDescent="0.2">
      <c r="I740" s="8"/>
      <c r="J740" s="8"/>
    </row>
    <row r="741" spans="9:10" x14ac:dyDescent="0.2">
      <c r="I741" s="8"/>
      <c r="J741" s="8"/>
    </row>
    <row r="742" spans="9:10" x14ac:dyDescent="0.2">
      <c r="I742" s="8"/>
      <c r="J742" s="8"/>
    </row>
    <row r="743" spans="9:10" x14ac:dyDescent="0.2">
      <c r="I743" s="8"/>
      <c r="J743" s="8"/>
    </row>
    <row r="744" spans="9:10" x14ac:dyDescent="0.2">
      <c r="I744" s="8"/>
      <c r="J744" s="8"/>
    </row>
    <row r="745" spans="9:10" x14ac:dyDescent="0.2">
      <c r="I745" s="8"/>
      <c r="J745" s="8"/>
    </row>
    <row r="746" spans="9:10" x14ac:dyDescent="0.2">
      <c r="I746" s="8"/>
      <c r="J746" s="8"/>
    </row>
    <row r="747" spans="9:10" x14ac:dyDescent="0.2">
      <c r="I747" s="8"/>
      <c r="J747" s="8"/>
    </row>
    <row r="748" spans="9:10" x14ac:dyDescent="0.2">
      <c r="I748" s="8"/>
      <c r="J748" s="8"/>
    </row>
    <row r="749" spans="9:10" x14ac:dyDescent="0.2">
      <c r="I749" s="8"/>
      <c r="J749" s="8"/>
    </row>
    <row r="750" spans="9:10" x14ac:dyDescent="0.2">
      <c r="I750" s="8"/>
      <c r="J750" s="8"/>
    </row>
    <row r="751" spans="9:10" x14ac:dyDescent="0.2">
      <c r="I751" s="8"/>
      <c r="J751" s="8"/>
    </row>
    <row r="752" spans="9:10" x14ac:dyDescent="0.2">
      <c r="I752" s="8"/>
      <c r="J752" s="8"/>
    </row>
    <row r="753" spans="9:10" x14ac:dyDescent="0.2">
      <c r="I753" s="8"/>
      <c r="J753" s="8"/>
    </row>
    <row r="754" spans="9:10" x14ac:dyDescent="0.2">
      <c r="I754" s="8"/>
      <c r="J754" s="8"/>
    </row>
    <row r="755" spans="9:10" x14ac:dyDescent="0.2">
      <c r="I755" s="8"/>
      <c r="J755" s="8"/>
    </row>
    <row r="756" spans="9:10" x14ac:dyDescent="0.2">
      <c r="I756" s="8"/>
      <c r="J756" s="8"/>
    </row>
    <row r="757" spans="9:10" x14ac:dyDescent="0.2">
      <c r="I757" s="8"/>
      <c r="J757" s="8"/>
    </row>
    <row r="758" spans="9:10" x14ac:dyDescent="0.2">
      <c r="I758" s="8"/>
      <c r="J758" s="8"/>
    </row>
    <row r="759" spans="9:10" x14ac:dyDescent="0.2">
      <c r="I759" s="8"/>
      <c r="J759" s="8"/>
    </row>
    <row r="760" spans="9:10" x14ac:dyDescent="0.2">
      <c r="I760" s="8"/>
      <c r="J760" s="8"/>
    </row>
    <row r="761" spans="9:10" x14ac:dyDescent="0.2">
      <c r="I761" s="8"/>
      <c r="J761" s="8"/>
    </row>
    <row r="762" spans="9:10" x14ac:dyDescent="0.2">
      <c r="I762" s="8"/>
      <c r="J762" s="8"/>
    </row>
    <row r="763" spans="9:10" x14ac:dyDescent="0.2">
      <c r="I763" s="8"/>
      <c r="J763" s="8"/>
    </row>
    <row r="764" spans="9:10" x14ac:dyDescent="0.2">
      <c r="I764" s="8"/>
      <c r="J764" s="8"/>
    </row>
    <row r="765" spans="9:10" x14ac:dyDescent="0.2">
      <c r="I765" s="8"/>
      <c r="J765" s="8"/>
    </row>
    <row r="766" spans="9:10" x14ac:dyDescent="0.2">
      <c r="I766" s="8"/>
      <c r="J766" s="8"/>
    </row>
    <row r="767" spans="9:10" x14ac:dyDescent="0.2">
      <c r="I767" s="8"/>
      <c r="J767" s="8"/>
    </row>
    <row r="768" spans="9:10" x14ac:dyDescent="0.2">
      <c r="I768" s="8"/>
      <c r="J768" s="8"/>
    </row>
    <row r="769" spans="9:10" x14ac:dyDescent="0.2">
      <c r="I769" s="8"/>
      <c r="J769" s="8"/>
    </row>
    <row r="770" spans="9:10" x14ac:dyDescent="0.2">
      <c r="I770" s="8"/>
      <c r="J770" s="8"/>
    </row>
    <row r="771" spans="9:10" x14ac:dyDescent="0.2">
      <c r="I771" s="8"/>
      <c r="J771" s="8"/>
    </row>
    <row r="772" spans="9:10" x14ac:dyDescent="0.2">
      <c r="I772" s="8"/>
      <c r="J772" s="8"/>
    </row>
    <row r="773" spans="9:10" x14ac:dyDescent="0.2">
      <c r="I773" s="8"/>
      <c r="J773" s="8"/>
    </row>
    <row r="774" spans="9:10" x14ac:dyDescent="0.2">
      <c r="I774" s="8"/>
      <c r="J774" s="8"/>
    </row>
    <row r="775" spans="9:10" x14ac:dyDescent="0.2">
      <c r="I775" s="8"/>
      <c r="J775" s="8"/>
    </row>
    <row r="776" spans="9:10" x14ac:dyDescent="0.2">
      <c r="I776" s="8"/>
      <c r="J776" s="8"/>
    </row>
    <row r="777" spans="9:10" x14ac:dyDescent="0.2">
      <c r="I777" s="8"/>
      <c r="J777" s="8"/>
    </row>
    <row r="778" spans="9:10" x14ac:dyDescent="0.2">
      <c r="I778" s="8"/>
      <c r="J778" s="8"/>
    </row>
    <row r="779" spans="9:10" x14ac:dyDescent="0.2">
      <c r="I779" s="8"/>
      <c r="J779" s="8"/>
    </row>
    <row r="780" spans="9:10" x14ac:dyDescent="0.2">
      <c r="I780" s="8"/>
      <c r="J780" s="8"/>
    </row>
    <row r="781" spans="9:10" x14ac:dyDescent="0.2">
      <c r="I781" s="8"/>
      <c r="J781" s="8"/>
    </row>
    <row r="782" spans="9:10" x14ac:dyDescent="0.2">
      <c r="I782" s="8"/>
      <c r="J782" s="8"/>
    </row>
    <row r="783" spans="9:10" x14ac:dyDescent="0.2">
      <c r="I783" s="8"/>
      <c r="J783" s="8"/>
    </row>
    <row r="784" spans="9:10" x14ac:dyDescent="0.2">
      <c r="I784" s="8"/>
      <c r="J784" s="8"/>
    </row>
    <row r="785" spans="9:10" x14ac:dyDescent="0.2">
      <c r="I785" s="8"/>
      <c r="J785" s="8"/>
    </row>
    <row r="786" spans="9:10" x14ac:dyDescent="0.2">
      <c r="I786" s="8"/>
      <c r="J786" s="8"/>
    </row>
    <row r="787" spans="9:10" x14ac:dyDescent="0.2">
      <c r="I787" s="8"/>
      <c r="J787" s="8"/>
    </row>
    <row r="788" spans="9:10" x14ac:dyDescent="0.2">
      <c r="I788" s="8"/>
      <c r="J788" s="8"/>
    </row>
    <row r="789" spans="9:10" x14ac:dyDescent="0.2">
      <c r="I789" s="8"/>
      <c r="J789" s="8"/>
    </row>
    <row r="790" spans="9:10" x14ac:dyDescent="0.2">
      <c r="I790" s="8"/>
      <c r="J790" s="8"/>
    </row>
    <row r="791" spans="9:10" x14ac:dyDescent="0.2">
      <c r="I791" s="8"/>
      <c r="J791" s="8"/>
    </row>
    <row r="792" spans="9:10" x14ac:dyDescent="0.2">
      <c r="I792" s="8"/>
      <c r="J792" s="8"/>
    </row>
    <row r="793" spans="9:10" x14ac:dyDescent="0.2">
      <c r="I793" s="8"/>
      <c r="J793" s="8"/>
    </row>
  </sheetData>
  <mergeCells count="15">
    <mergeCell ref="L28:R28"/>
    <mergeCell ref="L31:N31"/>
    <mergeCell ref="T8:U8"/>
    <mergeCell ref="B1:D1"/>
    <mergeCell ref="B12:B17"/>
    <mergeCell ref="C12:D12"/>
    <mergeCell ref="C16:D16"/>
    <mergeCell ref="B9:B10"/>
    <mergeCell ref="C9:D9"/>
    <mergeCell ref="T6:U6"/>
    <mergeCell ref="B6:D6"/>
    <mergeCell ref="L8:R8"/>
    <mergeCell ref="L6:R6"/>
    <mergeCell ref="C8:D8"/>
    <mergeCell ref="F6:J6"/>
  </mergeCells>
  <phoneticPr fontId="12" type="noConversion"/>
  <conditionalFormatting sqref="G9:G10">
    <cfRule type="duplicateValues" dxfId="1" priority="1"/>
  </conditionalFormatting>
  <conditionalFormatting sqref="G11:G66">
    <cfRule type="duplicateValues" dxfId="0" priority="2"/>
  </conditionalFormatting>
  <pageMargins left="0.7" right="0.7" top="0.75" bottom="0.75" header="0.3" footer="0.3"/>
  <ignoredErrors>
    <ignoredError sqref="M11:R18" unlockedFormula="1"/>
  </ignoredErrors>
  <legacyDrawing r:id="rId1"/>
  <extLst>
    <ext xmlns:x14="http://schemas.microsoft.com/office/spreadsheetml/2009/9/main" uri="{CCE6A557-97BC-4b89-ADB6-D9C93CAAB3DF}">
      <x14:dataValidations xmlns:xm="http://schemas.microsoft.com/office/excel/2006/main" count="3">
        <x14:dataValidation type="list" allowBlank="1" showInputMessage="1" showErrorMessage="1" xr:uid="{285D5B68-F8D9-4B0C-ADC3-9324B819503F}">
          <x14:formula1>
            <xm:f>'Grid Emissions Database - AER'!$C$3:$L$3</xm:f>
          </x14:formula1>
          <xm:sqref>D14</xm:sqref>
        </x14:dataValidation>
        <x14:dataValidation type="list" allowBlank="1" showInputMessage="1" showErrorMessage="1" xr:uid="{6FEDEDE3-F70C-46C9-BFD7-3A5AFFBFEAD2}">
          <x14:formula1>
            <xm:f>'Grid Emissions Database - AER'!$B$4:$B$54</xm:f>
          </x14:formula1>
          <xm:sqref>C14</xm:sqref>
        </x14:dataValidation>
        <x14:dataValidation type="list" allowBlank="1" showInputMessage="1" showErrorMessage="1" xr:uid="{E3B4E690-DA57-4CAD-AEBA-3451C9D67748}">
          <x14:formula1>
            <xm:f>Support!$D$3:$D$4</xm:f>
          </x14:formula1>
          <xm:sqref>H9:H191</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6E9A1F-6A00-4EA7-816C-1DCC716971C9}">
  <dimension ref="A2:AT792"/>
  <sheetViews>
    <sheetView zoomScale="174" zoomScaleNormal="140" workbookViewId="0">
      <selection activeCell="D15" sqref="D15"/>
    </sheetView>
  </sheetViews>
  <sheetFormatPr baseColWidth="10" defaultColWidth="8.83203125" defaultRowHeight="15" x14ac:dyDescent="0.2"/>
  <cols>
    <col min="1" max="1" width="21.33203125" customWidth="1"/>
    <col min="2" max="2" width="28" customWidth="1"/>
    <col min="3" max="4" width="18.83203125" customWidth="1"/>
    <col min="5" max="5" width="15.5" customWidth="1"/>
    <col min="6" max="8" width="18.83203125" customWidth="1"/>
    <col min="9" max="23" width="12.83203125" customWidth="1"/>
    <col min="24" max="24" width="14.6640625" customWidth="1"/>
    <col min="25" max="27" width="12.83203125" customWidth="1"/>
    <col min="29" max="29" width="11" bestFit="1" customWidth="1"/>
  </cols>
  <sheetData>
    <row r="2" spans="1:46" ht="16" thickBot="1" x14ac:dyDescent="0.25"/>
    <row r="3" spans="1:46" ht="17" thickBot="1" x14ac:dyDescent="0.25">
      <c r="A3" s="61" t="s">
        <v>125</v>
      </c>
      <c r="B3" s="62" t="s">
        <v>126</v>
      </c>
    </row>
    <row r="4" spans="1:46" ht="16" thickBot="1" x14ac:dyDescent="0.25"/>
    <row r="5" spans="1:46" x14ac:dyDescent="0.2">
      <c r="A5" s="141" t="s">
        <v>120</v>
      </c>
      <c r="B5" s="142"/>
      <c r="C5" s="142"/>
      <c r="D5" s="142"/>
      <c r="E5" s="142"/>
      <c r="F5" s="142"/>
      <c r="G5" s="142"/>
      <c r="H5" s="142"/>
      <c r="I5" s="142"/>
      <c r="J5" s="142"/>
      <c r="K5" s="142"/>
      <c r="L5" s="142"/>
      <c r="M5" s="142"/>
      <c r="N5" s="142"/>
      <c r="O5" s="142"/>
      <c r="P5" s="142"/>
      <c r="Q5" s="142"/>
      <c r="R5" s="142"/>
      <c r="S5" s="142"/>
      <c r="T5" s="142"/>
      <c r="U5" s="142"/>
      <c r="V5" s="143"/>
      <c r="W5" s="143"/>
      <c r="X5" s="143"/>
      <c r="Y5" s="143"/>
      <c r="Z5" s="143"/>
      <c r="AA5" s="144"/>
      <c r="AB5" s="8"/>
      <c r="AC5" s="8"/>
      <c r="AD5" s="8"/>
      <c r="AE5" s="8"/>
      <c r="AF5" s="8"/>
      <c r="AG5" s="8"/>
      <c r="AH5" s="8"/>
      <c r="AI5" s="8"/>
      <c r="AJ5" s="8"/>
      <c r="AK5" s="8"/>
      <c r="AL5" s="8"/>
      <c r="AM5" s="8"/>
      <c r="AN5" s="8"/>
      <c r="AO5" s="8"/>
      <c r="AP5" s="8"/>
      <c r="AQ5" s="8"/>
      <c r="AR5" s="8"/>
      <c r="AS5" s="8"/>
    </row>
    <row r="6" spans="1:46" ht="59.75" customHeight="1" x14ac:dyDescent="0.2">
      <c r="A6" s="87" t="s">
        <v>117</v>
      </c>
      <c r="B6" s="82" t="s">
        <v>95</v>
      </c>
      <c r="C6" s="82" t="s">
        <v>134</v>
      </c>
      <c r="D6" s="82" t="s">
        <v>4</v>
      </c>
      <c r="E6" s="82" t="s">
        <v>59</v>
      </c>
      <c r="F6" s="82" t="s">
        <v>153</v>
      </c>
      <c r="G6" s="82" t="str">
        <f>Table13[[#Headers],[Energy Savings]]</f>
        <v>Energy Savings</v>
      </c>
      <c r="H6" s="82" t="s">
        <v>127</v>
      </c>
      <c r="I6" s="82" t="s">
        <v>147</v>
      </c>
      <c r="J6" s="82" t="s">
        <v>148</v>
      </c>
      <c r="K6" s="82" t="s">
        <v>149</v>
      </c>
      <c r="L6" s="82" t="s">
        <v>150</v>
      </c>
      <c r="M6" s="82" t="s">
        <v>151</v>
      </c>
      <c r="N6" s="82" t="s">
        <v>152</v>
      </c>
      <c r="O6" s="82" t="s">
        <v>156</v>
      </c>
      <c r="P6" s="82" t="s">
        <v>155</v>
      </c>
      <c r="Q6" s="82" t="s">
        <v>157</v>
      </c>
      <c r="R6" s="82" t="s">
        <v>158</v>
      </c>
      <c r="S6" s="82" t="s">
        <v>167</v>
      </c>
      <c r="T6" s="82" t="s">
        <v>163</v>
      </c>
      <c r="U6" s="82" t="s">
        <v>159</v>
      </c>
      <c r="V6" s="88" t="s">
        <v>160</v>
      </c>
      <c r="W6" s="82" t="s">
        <v>164</v>
      </c>
      <c r="X6" s="82" t="s">
        <v>165</v>
      </c>
      <c r="Y6" s="82" t="s">
        <v>162</v>
      </c>
      <c r="Z6" s="102" t="s">
        <v>166</v>
      </c>
      <c r="AA6" s="88" t="s">
        <v>161</v>
      </c>
      <c r="AC6" s="8"/>
      <c r="AD6" s="8"/>
      <c r="AE6" s="8"/>
      <c r="AF6" s="8"/>
      <c r="AG6" s="8"/>
      <c r="AH6" s="8"/>
      <c r="AI6" s="8"/>
      <c r="AJ6" s="8"/>
      <c r="AK6" s="8"/>
      <c r="AL6" s="8"/>
      <c r="AM6" s="8"/>
      <c r="AN6" s="8"/>
      <c r="AO6" s="8"/>
      <c r="AP6" s="8"/>
      <c r="AQ6" s="8"/>
      <c r="AR6" s="8"/>
      <c r="AS6" s="8"/>
      <c r="AT6" s="8"/>
    </row>
    <row r="7" spans="1:46" x14ac:dyDescent="0.2">
      <c r="A7" s="55">
        <f>IF(B7&lt;&gt;"",COUNTA($B$7:B7),"")</f>
        <v>1</v>
      </c>
      <c r="B7" s="83" t="str" cm="1">
        <f t="array" ref="B7:B16">_xlfn.VSTACK(
    _xlfn._xlws.FILTER('Energy Inputs'!B7:B189, 'Energy Inputs'!B7:B189 &lt;&gt; ""),
    IF(COUNTA('Emission Inputs (Optional)'!G9:G191) &gt; 0,
        _xlfn._xlws.FILTER('Emission Inputs (Optional)'!G9:G191, 'Emission Inputs (Optional)'!G9:G191 &lt;&gt; ""),
        "")
)</f>
        <v>HVAC-Electrical</v>
      </c>
      <c r="C7" s="83" t="str" cm="1">
        <f t="array" ref="C7:C16">_xlfn.VSTACK(
    _xlfn._xlws.FILTER('Energy Inputs'!C7:C189, 'Energy Inputs'!C7:C189 &lt;&gt; ""),
    IF(COUNTA('Emission Inputs (Optional)'!H9:H191) &gt; 0,
        _xlfn._xlws.FILTER('Emission Inputs (Optional)'!H9:H191, 'Emission Inputs (Optional)'!H9:H191 &lt;&gt; ""),
        "")
)</f>
        <v>Energy</v>
      </c>
      <c r="D7" s="83" t="str">
        <f>IF(Table13[[#This Row],[Energy Source]]="","",Table13[[#This Row],[Energy Source]])</f>
        <v>Electricity</v>
      </c>
      <c r="E7" s="83" t="str">
        <f>IF(Table13[[#This Row],[Units]]="", "", Table13[[#This Row],[Units]])</f>
        <v>kWh</v>
      </c>
      <c r="F7" s="83">
        <f>IF(Table13[[#This Row],[Annual Consumption (Baseline)]]="", "", Table13[[#This Row],[Annual Consumption (Baseline)]])</f>
        <v>450000</v>
      </c>
      <c r="G7" s="83">
        <f>IF(F7="", "", IF(Results!$C7="Energy", VLOOKUP(Results!$E7,'Emission Inputs (Optional)'!$T$10:$U$27,2,FALSE)*Table13[[#This Row],[Energy Savings]], ""))</f>
        <v>0</v>
      </c>
      <c r="H7" s="13" t="str">
        <f>IFERROR(VLOOKUP(B7,'Emission Inputs (Optional)'!$G$9:$I$191,3,FALSE),"")</f>
        <v/>
      </c>
      <c r="I7" s="13">
        <f>IF(Results!$C7="Energy", VLOOKUP(Results!$E7,'Emission Inputs (Optional)'!$T$10:$U$27,2,FALSE)*Results!$F7, "")</f>
        <v>1535.4637358098837</v>
      </c>
      <c r="J7" s="13">
        <f>IF(Results!$I7&lt;&gt;"",Results!$I7*0.293071,"")</f>
        <v>449.99989251753846</v>
      </c>
      <c r="K7" s="84">
        <f>IF(Results!$I7&lt;&gt;"",Results!$I7/SUM($I$7:$I$189),"")</f>
        <v>0.12889904962859605</v>
      </c>
      <c r="L7" s="13">
        <f>IF(Results!$F7&lt;&gt;"",I7-G7,"")</f>
        <v>1535.4637358098837</v>
      </c>
      <c r="M7" s="13">
        <f>IF(Results!$L7&lt;&gt;"",Results!$L7*0.293071,"")</f>
        <v>449.99989251753846</v>
      </c>
      <c r="N7" s="84">
        <f>IF(Results!$M7&lt;&gt;"",Results!$M7/SUM($M$7:$M$189),"")</f>
        <v>0.14364667154652605</v>
      </c>
      <c r="O7" s="85">
        <f>IF(Results!$C7="Energy", VLOOKUP(Results!$D7,'Energy Costs Inputs (Optional)'!$AS$3:$AU$20,2,FALSE)*Results!$I7, "")</f>
        <v>67500</v>
      </c>
      <c r="P7" s="84">
        <f>IF(Results!$O7&lt;&gt;"",Results!$O7/SUM($O$7:$O$189),"")</f>
        <v>0.33838996560955314</v>
      </c>
      <c r="Q7" s="85">
        <f>IF(Results!$C7="Energy", VLOOKUP(Results!$D7,'Energy Costs Inputs (Optional)'!$AS$3:$AU$20,2,FALSE)*Results!$L7, "")</f>
        <v>67500</v>
      </c>
      <c r="R7" s="84">
        <f>IF(Results!$Q7&lt;&gt;"",Results!$Q7/SUM($Q$7:$Q$189),"")</f>
        <v>0.37106873292396664</v>
      </c>
      <c r="S7" s="85">
        <f>IF(Q7&lt;&gt;"",O7-Q7,"")</f>
        <v>0</v>
      </c>
      <c r="T7" s="13">
        <f>IF(Results!$I7&lt;&gt;"",(HLOOKUP(Table13[[#This Row],[Units]],'Emission Inputs (Optional)'!$L$10:$R$27,MATCH(Table13[[#This Row],[Energy Source]],'Emission Inputs (Optional)'!$L$10:$L$27,0),FALSE))*Table13[[#This Row],[Annual Consumption (Baseline)]],"")</f>
        <v>82.153856267752502</v>
      </c>
      <c r="U7" s="13">
        <f>IF(Results!$T7&lt;&gt;"",Results!$T7,H7)</f>
        <v>82.153856267752502</v>
      </c>
      <c r="V7" s="84">
        <f>IF(Results!$U7="","",IF(U7&lt;&gt;"",U7,0)/SUM(Results!$U$7:$U$189))</f>
        <v>0.10962293949278304</v>
      </c>
      <c r="W7" s="101">
        <f>IF(Results!$I7&lt;&gt;"",(HLOOKUP(Table13[[#This Row],[Units]],'Emission Inputs (Optional)'!$L$10:$R$27,MATCH(Table13[[#This Row],[Energy Source]],'Emission Inputs (Optional)'!$L$10:$L$27,0),FALSE))*(Table13[[#This Row],[Annual Consumption (Baseline)]]-Table13[[#This Row],[Energy Savings]]),"")</f>
        <v>82.153856267752502</v>
      </c>
      <c r="X7" s="13" t="str">
        <f>IFERROR(VLOOKUP(B7,'Emission Inputs (Optional)'!$G$9:$J$191,4,FALSE),"")</f>
        <v/>
      </c>
      <c r="Y7" s="95">
        <f>IF(Results!$W7&lt;&gt;"",Results!$W7,IF(X7&lt;&gt;"",(H7-X7),""))</f>
        <v>82.153856267752502</v>
      </c>
      <c r="Z7" s="95">
        <f>IF(Y7&lt;&gt;"",U7-Y7,"")</f>
        <v>0</v>
      </c>
      <c r="AA7" s="89">
        <f>IF(Results!$U7="","",IF(U7&lt;&gt;"",U7,0)/SUM(Results!$U$7:$U$189))</f>
        <v>0.10962293949278304</v>
      </c>
      <c r="AB7" s="8"/>
      <c r="AC7" s="8"/>
      <c r="AD7" s="8"/>
      <c r="AF7" s="8"/>
      <c r="AG7" s="8"/>
      <c r="AH7" s="8"/>
      <c r="AI7" s="8"/>
      <c r="AJ7" s="8"/>
      <c r="AK7" s="8"/>
      <c r="AL7" s="8"/>
      <c r="AM7" s="8"/>
      <c r="AN7" s="8"/>
      <c r="AO7" s="8"/>
      <c r="AP7" s="8"/>
      <c r="AQ7" s="8"/>
      <c r="AR7" s="8"/>
      <c r="AS7" s="8"/>
      <c r="AT7" s="8"/>
    </row>
    <row r="8" spans="1:46" x14ac:dyDescent="0.2">
      <c r="A8" s="55">
        <f>IF(B8&lt;&gt;"",COUNTA($B$7:B8),"")</f>
        <v>2</v>
      </c>
      <c r="B8" s="83" t="str">
        <v>Pumps</v>
      </c>
      <c r="C8" s="86" t="str">
        <v>Energy</v>
      </c>
      <c r="D8" s="83" t="str">
        <f>IF(Table13[[#This Row],[Energy Source]]="","",Table13[[#This Row],[Energy Source]])</f>
        <v>Electricity</v>
      </c>
      <c r="E8" s="83" t="str">
        <f>IF(Table13[[#This Row],[Units]]="", "", Table13[[#This Row],[Units]])</f>
        <v>kWh</v>
      </c>
      <c r="F8" s="83">
        <f>IF(Table13[[#This Row],[Annual Consumption (Baseline)]]="", "", Table13[[#This Row],[Annual Consumption (Baseline)]])</f>
        <v>300000</v>
      </c>
      <c r="G8" s="83">
        <f>IF(F8="", "", IF(Results!$C8="Energy", VLOOKUP(Results!$E8,'Emission Inputs (Optional)'!$T$10:$U$27,2,FALSE)*Table13[[#This Row],[Energy Savings]], ""))</f>
        <v>102.36424905399225</v>
      </c>
      <c r="H8" s="13" t="str">
        <f>IFERROR(VLOOKUP(B8,'Emission Inputs (Optional)'!$G$9:$I$191,3,FALSE),"")</f>
        <v/>
      </c>
      <c r="I8" s="13">
        <f>IF(Results!$C8="Energy", VLOOKUP(Results!$E8,'Emission Inputs (Optional)'!$T$10:$U$27,2,FALSE)*Results!$F8, "")</f>
        <v>1023.6424905399225</v>
      </c>
      <c r="J8" s="13">
        <f>IF(Results!$I8&lt;&gt;"",Results!$I8*0.293071,"")</f>
        <v>299.99992834502564</v>
      </c>
      <c r="K8" s="84">
        <f>IF(Results!$I8&lt;&gt;"",Results!$I8/SUM($I$7:$I$189),"")</f>
        <v>8.5932699752397382E-2</v>
      </c>
      <c r="L8" s="13">
        <f>IF(Results!$F8&lt;&gt;"",I8-G8,"")</f>
        <v>921.27824148593027</v>
      </c>
      <c r="M8" s="13">
        <f>IF(Results!$L8&lt;&gt;"",Results!$L8*0.293071,"")</f>
        <v>269.99993551052307</v>
      </c>
      <c r="N8" s="84">
        <f>IF(Results!$M8&lt;&gt;"",Results!$M8/SUM($M$7:$M$189),"")</f>
        <v>8.6188002927915633E-2</v>
      </c>
      <c r="O8" s="85">
        <f>IF(Results!$C8="Energy", VLOOKUP(Results!$D8,'Energy Costs Inputs (Optional)'!$AS$3:$AU$20,2,FALSE)*Results!$I8, "")</f>
        <v>45000</v>
      </c>
      <c r="P8" s="84">
        <f>IF(Results!$O8&lt;&gt;"",Results!$O8/SUM($O$7:$O$189),"")</f>
        <v>0.22559331040636876</v>
      </c>
      <c r="Q8" s="85">
        <f>IF(Results!$C8="Energy", VLOOKUP(Results!$D8,'Energy Costs Inputs (Optional)'!$AS$3:$AU$20,2,FALSE)*Results!$L8, "")</f>
        <v>40500</v>
      </c>
      <c r="R8" s="84">
        <f>IF(Results!$Q8&lt;&gt;"",Results!$Q8/SUM($Q$7:$Q$189),"")</f>
        <v>0.22264123975437999</v>
      </c>
      <c r="S8" s="85">
        <f t="shared" ref="S8:S71" si="0">IF(Q8&lt;&gt;"",O8-Q8,"")</f>
        <v>4500</v>
      </c>
      <c r="T8" s="13">
        <f>IF(Results!$I8&lt;&gt;"",(HLOOKUP(Table13[[#This Row],[Units]],'Emission Inputs (Optional)'!$L$10:$R$27,MATCH(Table13[[#This Row],[Energy Source]],'Emission Inputs (Optional)'!$L$10:$L$27,0),FALSE))*Table13[[#This Row],[Annual Consumption (Baseline)]],"")</f>
        <v>54.769237511835001</v>
      </c>
      <c r="U8" s="13">
        <f>IF(Results!$T8&lt;&gt;"",Results!$T8,H8)</f>
        <v>54.769237511835001</v>
      </c>
      <c r="V8" s="84">
        <f>IF(Results!$U8="","",IF(U8&lt;&gt;"",U8,0)/SUM(Results!$U$7:$U$189))</f>
        <v>7.308195966185535E-2</v>
      </c>
      <c r="W8" s="101">
        <f>IF(Results!$I8&lt;&gt;"",(HLOOKUP(Table13[[#This Row],[Units]],'Emission Inputs (Optional)'!$L$10:$R$27,MATCH(Table13[[#This Row],[Energy Source]],'Emission Inputs (Optional)'!$L$10:$L$27,0),FALSE))*(Table13[[#This Row],[Annual Consumption (Baseline)]]-Table13[[#This Row],[Energy Savings]]),"")</f>
        <v>49.292313760651503</v>
      </c>
      <c r="X8" s="13" t="str">
        <f>IFERROR(VLOOKUP(B8,'Emission Inputs (Optional)'!$G$9:$J$191,4,FALSE),"")</f>
        <v/>
      </c>
      <c r="Y8" s="95">
        <f>IF(Results!$W8&lt;&gt;"",Results!$W8,IF(X8&lt;&gt;"",(H8-X8),""))</f>
        <v>49.292313760651503</v>
      </c>
      <c r="Z8" s="95">
        <f t="shared" ref="Z8:Z71" si="1">IF(Y8&lt;&gt;"",U8-Y8,"")</f>
        <v>5.4769237511834987</v>
      </c>
      <c r="AA8" s="89">
        <f>IF(Results!$U8="","",IF(U8&lt;&gt;"",U8,0)/SUM(Results!$U$7:$U$189))</f>
        <v>7.308195966185535E-2</v>
      </c>
      <c r="AB8" s="8"/>
      <c r="AC8" s="8"/>
      <c r="AD8" s="8"/>
      <c r="AE8" s="8"/>
      <c r="AF8" s="8"/>
      <c r="AG8" s="8"/>
      <c r="AH8" s="8"/>
      <c r="AI8" s="8"/>
      <c r="AJ8" s="8"/>
      <c r="AK8" s="8"/>
      <c r="AL8" s="8"/>
      <c r="AM8" s="8"/>
      <c r="AN8" s="8"/>
      <c r="AO8" s="8"/>
      <c r="AP8" s="8"/>
      <c r="AQ8" s="8"/>
      <c r="AR8" s="8"/>
      <c r="AS8" s="8"/>
      <c r="AT8" s="8"/>
    </row>
    <row r="9" spans="1:46" x14ac:dyDescent="0.2">
      <c r="A9" s="55">
        <f>IF(B9&lt;&gt;"",COUNTA($B$7:B9),"")</f>
        <v>3</v>
      </c>
      <c r="B9" s="83" t="str">
        <v>Lighting</v>
      </c>
      <c r="C9" s="86" t="str">
        <v>Energy</v>
      </c>
      <c r="D9" s="83" t="str">
        <f>IF(Table13[[#This Row],[Energy Source]]="","",Table13[[#This Row],[Energy Source]])</f>
        <v>Electricity</v>
      </c>
      <c r="E9" s="83" t="str">
        <f>IF(Table13[[#This Row],[Units]]="", "", Table13[[#This Row],[Units]])</f>
        <v>kWh</v>
      </c>
      <c r="F9" s="83">
        <f>IF(Table13[[#This Row],[Annual Consumption (Baseline)]]="", "", Table13[[#This Row],[Annual Consumption (Baseline)]])</f>
        <v>100000</v>
      </c>
      <c r="G9" s="83">
        <f>IF(F9="", "", IF(Results!$C9="Energy", VLOOKUP(Results!$E9,'Emission Inputs (Optional)'!$T$10:$U$27,2,FALSE)*Table13[[#This Row],[Energy Savings]], ""))</f>
        <v>0</v>
      </c>
      <c r="H9" s="13" t="str">
        <f>IFERROR(VLOOKUP(B9,'Emission Inputs (Optional)'!$G$9:$I$191,3,FALSE),"")</f>
        <v/>
      </c>
      <c r="I9" s="13">
        <f>IF(Results!$C9="Energy", VLOOKUP(Results!$E9,'Emission Inputs (Optional)'!$T$10:$U$27,2,FALSE)*Results!$F9, "")</f>
        <v>341.21416351330748</v>
      </c>
      <c r="J9" s="13">
        <f>IF(Results!$I9&lt;&gt;"",Results!$I9*0.293071,"")</f>
        <v>99.99997611500855</v>
      </c>
      <c r="K9" s="84">
        <f>IF(Results!$I9&lt;&gt;"",Results!$I9/SUM($I$7:$I$189),"")</f>
        <v>2.8644233250799123E-2</v>
      </c>
      <c r="L9" s="13">
        <f>IF(Results!$F9&lt;&gt;"",I9-G9,"")</f>
        <v>341.21416351330748</v>
      </c>
      <c r="M9" s="13">
        <f>IF(Results!$L9&lt;&gt;"",Results!$L9*0.293071,"")</f>
        <v>99.99997611500855</v>
      </c>
      <c r="N9" s="84">
        <f>IF(Results!$M9&lt;&gt;"",Results!$M9/SUM($M$7:$M$189),"")</f>
        <v>3.1921482565894679E-2</v>
      </c>
      <c r="O9" s="85">
        <f>IF(Results!$C9="Energy", VLOOKUP(Results!$D9,'Energy Costs Inputs (Optional)'!$AS$3:$AU$20,2,FALSE)*Results!$I9, "")</f>
        <v>14999.999999999998</v>
      </c>
      <c r="P9" s="84">
        <f>IF(Results!$O9&lt;&gt;"",Results!$O9/SUM($O$7:$O$189),"")</f>
        <v>7.5197770135456241E-2</v>
      </c>
      <c r="Q9" s="85">
        <f>IF(Results!$C9="Energy", VLOOKUP(Results!$D9,'Energy Costs Inputs (Optional)'!$AS$3:$AU$20,2,FALSE)*Results!$L9, "")</f>
        <v>14999.999999999998</v>
      </c>
      <c r="R9" s="84">
        <f>IF(Results!$Q9&lt;&gt;"",Results!$Q9/SUM($Q$7:$Q$189),"")</f>
        <v>8.2459718427548137E-2</v>
      </c>
      <c r="S9" s="85">
        <f t="shared" si="0"/>
        <v>0</v>
      </c>
      <c r="T9" s="13">
        <f>IF(Results!$I9&lt;&gt;"",(HLOOKUP(Table13[[#This Row],[Units]],'Emission Inputs (Optional)'!$L$10:$R$27,MATCH(Table13[[#This Row],[Energy Source]],'Emission Inputs (Optional)'!$L$10:$L$27,0),FALSE))*Table13[[#This Row],[Annual Consumption (Baseline)]],"")</f>
        <v>18.256412503945</v>
      </c>
      <c r="U9" s="13">
        <f>IF(Results!$T9&lt;&gt;"",Results!$T9,H9)</f>
        <v>18.256412503945</v>
      </c>
      <c r="V9" s="84">
        <f>IF(Results!$U9="","",IF(U9&lt;&gt;"",U9,0)/SUM(Results!$U$7:$U$189))</f>
        <v>2.436065322061845E-2</v>
      </c>
      <c r="W9" s="101">
        <f>IF(Results!$I9&lt;&gt;"",(HLOOKUP(Table13[[#This Row],[Units]],'Emission Inputs (Optional)'!$L$10:$R$27,MATCH(Table13[[#This Row],[Energy Source]],'Emission Inputs (Optional)'!$L$10:$L$27,0),FALSE))*(Table13[[#This Row],[Annual Consumption (Baseline)]]-Table13[[#This Row],[Energy Savings]]),"")</f>
        <v>18.256412503945</v>
      </c>
      <c r="X9" s="13" t="str">
        <f>IFERROR(VLOOKUP(B9,'Emission Inputs (Optional)'!$G$9:$J$191,4,FALSE),"")</f>
        <v/>
      </c>
      <c r="Y9" s="95">
        <f>IF(Results!$W9&lt;&gt;"",Results!$W9,IF(X9&lt;&gt;"",(H9-X9),""))</f>
        <v>18.256412503945</v>
      </c>
      <c r="Z9" s="95">
        <f t="shared" si="1"/>
        <v>0</v>
      </c>
      <c r="AA9" s="89">
        <f>IF(Results!$U9="","",IF(U9&lt;&gt;"",U9,0)/SUM(Results!$U$7:$U$189))</f>
        <v>2.436065322061845E-2</v>
      </c>
      <c r="AB9" s="8"/>
      <c r="AC9" s="8"/>
      <c r="AD9" s="8"/>
      <c r="AE9" s="8"/>
      <c r="AF9" s="8"/>
      <c r="AG9" s="8"/>
      <c r="AH9" s="8"/>
      <c r="AI9" s="8"/>
      <c r="AJ9" s="8"/>
      <c r="AK9" s="8"/>
      <c r="AL9" s="8"/>
      <c r="AM9" s="8"/>
      <c r="AN9" s="8"/>
      <c r="AO9" s="8"/>
      <c r="AP9" s="8"/>
      <c r="AQ9" s="8"/>
      <c r="AR9" s="8"/>
      <c r="AS9" s="8"/>
      <c r="AT9" s="8"/>
    </row>
    <row r="10" spans="1:46" x14ac:dyDescent="0.2">
      <c r="A10" s="55">
        <f>IF(B10&lt;&gt;"",COUNTA($B$7:B10),"")</f>
        <v>4</v>
      </c>
      <c r="B10" s="83" t="str">
        <v>Air Compressors</v>
      </c>
      <c r="C10" s="86" t="str">
        <v>Energy</v>
      </c>
      <c r="D10" s="83" t="str">
        <f>IF(Table13[[#This Row],[Energy Source]]="","",Table13[[#This Row],[Energy Source]])</f>
        <v>Electricity</v>
      </c>
      <c r="E10" s="83" t="str">
        <f>IF(Table13[[#This Row],[Units]]="", "", Table13[[#This Row],[Units]])</f>
        <v>kWh</v>
      </c>
      <c r="F10" s="83">
        <f>IF(Table13[[#This Row],[Annual Consumption (Baseline)]]="", "", Table13[[#This Row],[Annual Consumption (Baseline)]])</f>
        <v>150000</v>
      </c>
      <c r="G10" s="83">
        <f>IF(F10="", "", IF(Results!$C10="Energy", VLOOKUP(Results!$E10,'Emission Inputs (Optional)'!$T$10:$U$27,2,FALSE)*Table13[[#This Row],[Energy Savings]], ""))</f>
        <v>170.60708175665374</v>
      </c>
      <c r="H10" s="13" t="str">
        <f>IFERROR(VLOOKUP(B10,'Emission Inputs (Optional)'!$G$9:$I$191,3,FALSE),"")</f>
        <v/>
      </c>
      <c r="I10" s="13">
        <f>IF(Results!$C10="Energy", VLOOKUP(Results!$E10,'Emission Inputs (Optional)'!$T$10:$U$27,2,FALSE)*Results!$F10, "")</f>
        <v>511.82124526996125</v>
      </c>
      <c r="J10" s="13">
        <f>IF(Results!$I10&lt;&gt;"",Results!$I10*0.293071,"")</f>
        <v>149.99996417251282</v>
      </c>
      <c r="K10" s="84">
        <f>IF(Results!$I10&lt;&gt;"",Results!$I10/SUM($I$7:$I$189),"")</f>
        <v>4.2966349876198691E-2</v>
      </c>
      <c r="L10" s="13">
        <f>IF(Results!$F10&lt;&gt;"",I10-G10,"")</f>
        <v>341.21416351330754</v>
      </c>
      <c r="M10" s="13">
        <f>IF(Results!$L10&lt;&gt;"",Results!$L10*0.293071,"")</f>
        <v>99.999976115008565</v>
      </c>
      <c r="N10" s="84">
        <f>IF(Results!$M10&lt;&gt;"",Results!$M10/SUM($M$7:$M$189),"")</f>
        <v>3.1921482565894679E-2</v>
      </c>
      <c r="O10" s="85">
        <f>IF(Results!$C10="Energy", VLOOKUP(Results!$D10,'Energy Costs Inputs (Optional)'!$AS$3:$AU$20,2,FALSE)*Results!$I10, "")</f>
        <v>22500</v>
      </c>
      <c r="P10" s="84">
        <f>IF(Results!$O10&lt;&gt;"",Results!$O10/SUM($O$7:$O$189),"")</f>
        <v>0.11279665520318438</v>
      </c>
      <c r="Q10" s="85">
        <f>IF(Results!$C10="Energy", VLOOKUP(Results!$D10,'Energy Costs Inputs (Optional)'!$AS$3:$AU$20,2,FALSE)*Results!$L10, "")</f>
        <v>15000.000000000002</v>
      </c>
      <c r="R10" s="84">
        <f>IF(Results!$Q10&lt;&gt;"",Results!$Q10/SUM($Q$7:$Q$189),"")</f>
        <v>8.2459718427548151E-2</v>
      </c>
      <c r="S10" s="85">
        <f t="shared" si="0"/>
        <v>7499.9999999999982</v>
      </c>
      <c r="T10" s="13">
        <f>IF(Results!$I10&lt;&gt;"",(HLOOKUP(Table13[[#This Row],[Units]],'Emission Inputs (Optional)'!$L$10:$R$27,MATCH(Table13[[#This Row],[Energy Source]],'Emission Inputs (Optional)'!$L$10:$L$27,0),FALSE))*Table13[[#This Row],[Annual Consumption (Baseline)]],"")</f>
        <v>27.384618755917501</v>
      </c>
      <c r="U10" s="13">
        <f>IF(Results!$T10&lt;&gt;"",Results!$T10,H10)</f>
        <v>27.384618755917501</v>
      </c>
      <c r="V10" s="84">
        <f>IF(Results!$U10="","",IF(U10&lt;&gt;"",U10,0)/SUM(Results!$U$7:$U$189))</f>
        <v>3.6540979830927675E-2</v>
      </c>
      <c r="W10" s="101">
        <f>IF(Results!$I10&lt;&gt;"",(HLOOKUP(Table13[[#This Row],[Units]],'Emission Inputs (Optional)'!$L$10:$R$27,MATCH(Table13[[#This Row],[Energy Source]],'Emission Inputs (Optional)'!$L$10:$L$27,0),FALSE))*(Table13[[#This Row],[Annual Consumption (Baseline)]]-Table13[[#This Row],[Energy Savings]]),"")</f>
        <v>18.256412503945</v>
      </c>
      <c r="X10" s="13" t="str">
        <f>IFERROR(VLOOKUP(B10,'Emission Inputs (Optional)'!$G$9:$J$191,4,FALSE),"")</f>
        <v/>
      </c>
      <c r="Y10" s="95">
        <f>IF(Results!$W10&lt;&gt;"",Results!$W10,IF(X10&lt;&gt;"",(H10-X10),""))</f>
        <v>18.256412503945</v>
      </c>
      <c r="Z10" s="95">
        <f t="shared" si="1"/>
        <v>9.1282062519725002</v>
      </c>
      <c r="AA10" s="89">
        <f>IF(Results!$U10="","",IF(U10&lt;&gt;"",U10,0)/SUM(Results!$U$7:$U$189))</f>
        <v>3.6540979830927675E-2</v>
      </c>
      <c r="AB10" s="8"/>
      <c r="AC10" s="8"/>
      <c r="AD10" s="8"/>
      <c r="AE10" s="8"/>
      <c r="AF10" s="8"/>
      <c r="AG10" s="8"/>
      <c r="AH10" s="8"/>
      <c r="AI10" s="8"/>
      <c r="AJ10" s="8"/>
      <c r="AK10" s="8"/>
      <c r="AL10" s="8"/>
      <c r="AM10" s="8"/>
      <c r="AN10" s="8"/>
      <c r="AO10" s="8"/>
      <c r="AP10" s="8"/>
      <c r="AQ10" s="8"/>
      <c r="AR10" s="8"/>
      <c r="AS10" s="8"/>
      <c r="AT10" s="8"/>
    </row>
    <row r="11" spans="1:46" x14ac:dyDescent="0.2">
      <c r="A11" s="55">
        <f>IF(B11&lt;&gt;"",COUNTA($B$7:B11),"")</f>
        <v>5</v>
      </c>
      <c r="B11" s="83" t="str">
        <v>Boiler</v>
      </c>
      <c r="C11" s="86" t="str">
        <v>Energy</v>
      </c>
      <c r="D11" s="83" t="str">
        <f>IF(Table13[[#This Row],[Energy Source]]="","",Table13[[#This Row],[Energy Source]])</f>
        <v>Natural Gas</v>
      </c>
      <c r="E11" s="83" t="str">
        <f>IF(Table13[[#This Row],[Units]]="", "", Table13[[#This Row],[Units]])</f>
        <v>MMBtu</v>
      </c>
      <c r="F11" s="83">
        <f>IF(Table13[[#This Row],[Annual Consumption (Baseline)]]="", "", Table13[[#This Row],[Annual Consumption (Baseline)]])</f>
        <v>5400</v>
      </c>
      <c r="G11" s="83">
        <f>IF(F11="", "", IF(Results!$C11="Energy", VLOOKUP(Results!$E11,'Emission Inputs (Optional)'!$T$10:$U$27,2,FALSE)*Table13[[#This Row],[Energy Savings]], ""))</f>
        <v>750</v>
      </c>
      <c r="H11" s="13" t="str">
        <f>IFERROR(VLOOKUP(B11,'Emission Inputs (Optional)'!$G$9:$I$191,3,FALSE),"")</f>
        <v/>
      </c>
      <c r="I11" s="13">
        <f>IF(Results!$C11="Energy", VLOOKUP(Results!$E11,'Emission Inputs (Optional)'!$T$10:$U$27,2,FALSE)*Results!$F11, "")</f>
        <v>5400</v>
      </c>
      <c r="J11" s="13">
        <f>IF(Results!$I11&lt;&gt;"",Results!$I11*0.293071,"")</f>
        <v>1582.5834000000002</v>
      </c>
      <c r="K11" s="84">
        <f>IF(Results!$I11&lt;&gt;"",Results!$I11/SUM($I$7:$I$189),"")</f>
        <v>0.45331898875962906</v>
      </c>
      <c r="L11" s="13">
        <f>IF(Results!$F11&lt;&gt;"",I11-G11,"")</f>
        <v>4650</v>
      </c>
      <c r="M11" s="13">
        <f>IF(Results!$L11&lt;&gt;"",Results!$L11*0.293071,"")</f>
        <v>1362.78015</v>
      </c>
      <c r="N11" s="84">
        <f>IF(Results!$M11&lt;&gt;"",Results!$M11/SUM($M$7:$M$189),"")</f>
        <v>0.43501973189814913</v>
      </c>
      <c r="O11" s="85">
        <f>IF(Results!$C11="Energy", VLOOKUP(Results!$D11,'Energy Costs Inputs (Optional)'!$AS$3:$AU$20,2,FALSE)*Results!$I11, "")</f>
        <v>31644</v>
      </c>
      <c r="P11" s="84">
        <f>IF(Results!$O11&lt;&gt;"",Results!$O11/SUM($O$7:$O$189),"")</f>
        <v>0.1586372158777585</v>
      </c>
      <c r="Q11" s="85">
        <f>IF(Results!$C11="Energy", VLOOKUP(Results!$D11,'Energy Costs Inputs (Optional)'!$AS$3:$AU$20,2,FALSE)*Results!$L11, "")</f>
        <v>27249</v>
      </c>
      <c r="R11" s="84">
        <f>IF(Results!$Q11&lt;&gt;"",Results!$Q11/SUM($Q$7:$Q$189),"")</f>
        <v>0.14979632449548397</v>
      </c>
      <c r="S11" s="85">
        <f t="shared" si="0"/>
        <v>4395</v>
      </c>
      <c r="T11" s="13">
        <f>IF(Results!$I11&lt;&gt;"",(HLOOKUP(Table13[[#This Row],[Units]],'Emission Inputs (Optional)'!$L$10:$R$27,MATCH(Table13[[#This Row],[Energy Source]],'Emission Inputs (Optional)'!$L$10:$L$27,0),FALSE))*Table13[[#This Row],[Annual Consumption (Baseline)]],"")</f>
        <v>285.714</v>
      </c>
      <c r="U11" s="13">
        <f>IF(Results!$T11&lt;&gt;"",Results!$T11,H11)</f>
        <v>285.714</v>
      </c>
      <c r="V11" s="84">
        <f>IF(Results!$U11="","",IF(U11&lt;&gt;"",U11,0)/SUM(Results!$U$7:$U$189))</f>
        <v>0.38124574983019066</v>
      </c>
      <c r="W11" s="101">
        <f>IF(Results!$I11&lt;&gt;"",(HLOOKUP(Table13[[#This Row],[Units]],'Emission Inputs (Optional)'!$L$10:$R$27,MATCH(Table13[[#This Row],[Energy Source]],'Emission Inputs (Optional)'!$L$10:$L$27,0),FALSE))*(Table13[[#This Row],[Annual Consumption (Baseline)]]-Table13[[#This Row],[Energy Savings]]),"")</f>
        <v>246.03149999999999</v>
      </c>
      <c r="X11" s="13" t="str">
        <f>IFERROR(VLOOKUP(B11,'Emission Inputs (Optional)'!$G$9:$J$191,4,FALSE),"")</f>
        <v/>
      </c>
      <c r="Y11" s="95">
        <f>IF(Results!$W11&lt;&gt;"",Results!$W11,IF(X11&lt;&gt;"",(H11-X11),""))</f>
        <v>246.03149999999999</v>
      </c>
      <c r="Z11" s="95">
        <f t="shared" si="1"/>
        <v>39.682500000000005</v>
      </c>
      <c r="AA11" s="89">
        <f>IF(Results!$U11="","",IF(U11&lt;&gt;"",U11,0)/SUM(Results!$U$7:$U$189))</f>
        <v>0.38124574983019066</v>
      </c>
      <c r="AB11" s="8"/>
      <c r="AC11" s="60"/>
      <c r="AD11" s="8"/>
      <c r="AE11" s="8"/>
      <c r="AF11" s="8"/>
      <c r="AG11" s="8"/>
      <c r="AH11" s="8"/>
      <c r="AI11" s="8"/>
      <c r="AJ11" s="8"/>
      <c r="AK11" s="8"/>
      <c r="AL11" s="8"/>
      <c r="AM11" s="8"/>
      <c r="AN11" s="8"/>
      <c r="AO11" s="8"/>
      <c r="AP11" s="8"/>
      <c r="AQ11" s="8"/>
      <c r="AR11" s="8"/>
      <c r="AS11" s="8"/>
      <c r="AT11" s="8"/>
    </row>
    <row r="12" spans="1:46" x14ac:dyDescent="0.2">
      <c r="A12" s="55">
        <f>IF(B12&lt;&gt;"",COUNTA($B$7:B12),"")</f>
        <v>6</v>
      </c>
      <c r="B12" s="83" t="str">
        <v>HVAC-Thermal</v>
      </c>
      <c r="C12" s="86" t="str">
        <v>Energy</v>
      </c>
      <c r="D12" s="83" t="str">
        <f>IF(Table13[[#This Row],[Energy Source]]="","",Table13[[#This Row],[Energy Source]])</f>
        <v>Natural Gas</v>
      </c>
      <c r="E12" s="83" t="str">
        <f>IF(Table13[[#This Row],[Units]]="", "", Table13[[#This Row],[Units]])</f>
        <v>MMBtu</v>
      </c>
      <c r="F12" s="83">
        <f>IF(Table13[[#This Row],[Annual Consumption (Baseline)]]="", "", Table13[[#This Row],[Annual Consumption (Baseline)]])</f>
        <v>2000</v>
      </c>
      <c r="G12" s="83">
        <f>IF(F12="", "", IF(Results!$C12="Energy", VLOOKUP(Results!$E12,'Emission Inputs (Optional)'!$T$10:$U$27,2,FALSE)*Table13[[#This Row],[Energy Savings]], ""))</f>
        <v>0</v>
      </c>
      <c r="H12" s="13" t="str">
        <f>IFERROR(VLOOKUP(B12,'Emission Inputs (Optional)'!$G$9:$I$191,3,FALSE),"")</f>
        <v/>
      </c>
      <c r="I12" s="13">
        <f>IF(Results!$C12="Energy", VLOOKUP(Results!$E12,'Emission Inputs (Optional)'!$T$10:$U$27,2,FALSE)*Results!$F12, "")</f>
        <v>2000</v>
      </c>
      <c r="J12" s="13">
        <f>IF(Results!$I12&lt;&gt;"",Results!$I12*0.293071,"")</f>
        <v>586.14200000000005</v>
      </c>
      <c r="K12" s="84">
        <f>IF(Results!$I12&lt;&gt;"",Results!$I12/SUM($I$7:$I$189),"")</f>
        <v>0.16789592176282558</v>
      </c>
      <c r="L12" s="13">
        <f>IF(Results!$F12&lt;&gt;"",I12-G12,"")</f>
        <v>2000</v>
      </c>
      <c r="M12" s="13">
        <f>IF(Results!$L12&lt;&gt;"",Results!$L12*0.293071,"")</f>
        <v>586.14200000000005</v>
      </c>
      <c r="N12" s="84">
        <f>IF(Results!$M12&lt;&gt;"",Results!$M12/SUM($M$7:$M$189),"")</f>
        <v>0.18710526103146199</v>
      </c>
      <c r="O12" s="85">
        <f>IF(Results!$C12="Energy", VLOOKUP(Results!$D12,'Energy Costs Inputs (Optional)'!$AS$3:$AU$20,2,FALSE)*Results!$I12, "")</f>
        <v>11720</v>
      </c>
      <c r="P12" s="84">
        <f>IF(Results!$O12&lt;&gt;"",Results!$O12/SUM($O$7:$O$189),"")</f>
        <v>5.8754524399169818E-2</v>
      </c>
      <c r="Q12" s="85">
        <f>IF(Results!$C12="Energy", VLOOKUP(Results!$D12,'Energy Costs Inputs (Optional)'!$AS$3:$AU$20,2,FALSE)*Results!$L12, "")</f>
        <v>11720</v>
      </c>
      <c r="R12" s="84">
        <f>IF(Results!$Q12&lt;&gt;"",Results!$Q12/SUM($Q$7:$Q$189),"")</f>
        <v>6.4428526664724275E-2</v>
      </c>
      <c r="S12" s="85">
        <f t="shared" si="0"/>
        <v>0</v>
      </c>
      <c r="T12" s="13">
        <f>IF(Results!$I12&lt;&gt;"",(HLOOKUP(Table13[[#This Row],[Units]],'Emission Inputs (Optional)'!$L$10:$R$27,MATCH(Table13[[#This Row],[Energy Source]],'Emission Inputs (Optional)'!$L$10:$L$27,0),FALSE))*Table13[[#This Row],[Annual Consumption (Baseline)]],"")</f>
        <v>105.82</v>
      </c>
      <c r="U12" s="13">
        <f>IF(Results!$T12&lt;&gt;"",Results!$T12,H12)</f>
        <v>105.82</v>
      </c>
      <c r="V12" s="84">
        <f>IF(Results!$U12="","",IF(U12&lt;&gt;"",U12,0)/SUM(Results!$U$7:$U$189))</f>
        <v>0.14120212956673728</v>
      </c>
      <c r="W12" s="101">
        <f>IF(Results!$I12&lt;&gt;"",(HLOOKUP(Table13[[#This Row],[Units]],'Emission Inputs (Optional)'!$L$10:$R$27,MATCH(Table13[[#This Row],[Energy Source]],'Emission Inputs (Optional)'!$L$10:$L$27,0),FALSE))*(Table13[[#This Row],[Annual Consumption (Baseline)]]-Table13[[#This Row],[Energy Savings]]),"")</f>
        <v>105.82</v>
      </c>
      <c r="X12" s="13" t="str">
        <f>IFERROR(VLOOKUP(B12,'Emission Inputs (Optional)'!$G$9:$J$191,4,FALSE),"")</f>
        <v/>
      </c>
      <c r="Y12" s="95">
        <f>IF(Results!$W12&lt;&gt;"",Results!$W12,IF(X12&lt;&gt;"",(H12-X12),""))</f>
        <v>105.82</v>
      </c>
      <c r="Z12" s="95">
        <f t="shared" si="1"/>
        <v>0</v>
      </c>
      <c r="AA12" s="89">
        <f>IF(Results!$U12="","",IF(U12&lt;&gt;"",U12,0)/SUM(Results!$U$7:$U$189))</f>
        <v>0.14120212956673728</v>
      </c>
      <c r="AB12" s="8"/>
      <c r="AC12" s="8"/>
      <c r="AD12" s="8"/>
      <c r="AE12" s="8"/>
      <c r="AF12" s="8"/>
      <c r="AG12" s="8"/>
      <c r="AH12" s="8"/>
      <c r="AI12" s="8"/>
      <c r="AJ12" s="8"/>
      <c r="AK12" s="8"/>
      <c r="AL12" s="8"/>
      <c r="AM12" s="8"/>
      <c r="AN12" s="8"/>
      <c r="AO12" s="8"/>
      <c r="AP12" s="8"/>
      <c r="AQ12" s="8"/>
      <c r="AR12" s="8"/>
      <c r="AS12" s="8"/>
      <c r="AT12" s="8"/>
    </row>
    <row r="13" spans="1:46" x14ac:dyDescent="0.2">
      <c r="A13" s="55">
        <f>IF(B13&lt;&gt;"",COUNTA($B$7:B13),"")</f>
        <v>7</v>
      </c>
      <c r="B13" s="83" t="str">
        <v>Process Heating</v>
      </c>
      <c r="C13" s="86" t="str">
        <v>Energy</v>
      </c>
      <c r="D13" s="83" t="str">
        <f>IF(Table13[[#This Row],[Energy Source]]="","",Table13[[#This Row],[Energy Source]])</f>
        <v>Natural Gas</v>
      </c>
      <c r="E13" s="83" t="str">
        <f>IF(Table13[[#This Row],[Units]]="", "", Table13[[#This Row],[Units]])</f>
        <v>MMBtu</v>
      </c>
      <c r="F13" s="83">
        <f>IF(Table13[[#This Row],[Annual Consumption (Baseline)]]="", "", Table13[[#This Row],[Annual Consumption (Baseline)]])</f>
        <v>1000</v>
      </c>
      <c r="G13" s="83">
        <f>IF(F13="", "", IF(Results!$C13="Energy", VLOOKUP(Results!$E13,'Emission Inputs (Optional)'!$T$10:$U$27,2,FALSE)*Table13[[#This Row],[Energy Savings]], ""))</f>
        <v>200</v>
      </c>
      <c r="H13" s="13" t="str">
        <f>IFERROR(VLOOKUP(B13,'Emission Inputs (Optional)'!$G$9:$I$191,3,FALSE),"")</f>
        <v/>
      </c>
      <c r="I13" s="13">
        <f>IF(Results!$C13="Energy", VLOOKUP(Results!$E13,'Emission Inputs (Optional)'!$T$10:$U$27,2,FALSE)*Results!$F13, "")</f>
        <v>1000</v>
      </c>
      <c r="J13" s="13">
        <f>IF(Results!$I13&lt;&gt;"",Results!$I13*0.293071,"")</f>
        <v>293.07100000000003</v>
      </c>
      <c r="K13" s="84">
        <f>IF(Results!$I13&lt;&gt;"",Results!$I13/SUM($I$7:$I$189),"")</f>
        <v>8.3947960881412792E-2</v>
      </c>
      <c r="L13" s="13">
        <f>IF(Results!$F13&lt;&gt;"",I13-G13,"")</f>
        <v>800</v>
      </c>
      <c r="M13" s="13">
        <f>IF(Results!$L13&lt;&gt;"",Results!$L13*0.293071,"")</f>
        <v>234.45680000000002</v>
      </c>
      <c r="N13" s="84">
        <f>IF(Results!$M13&lt;&gt;"",Results!$M13/SUM($M$7:$M$189),"")</f>
        <v>7.4842104412584792E-2</v>
      </c>
      <c r="O13" s="85">
        <f>IF(Results!$C13="Energy", VLOOKUP(Results!$D13,'Energy Costs Inputs (Optional)'!$AS$3:$AU$20,2,FALSE)*Results!$I13, "")</f>
        <v>5860</v>
      </c>
      <c r="P13" s="84">
        <f>IF(Results!$O13&lt;&gt;"",Results!$O13/SUM($O$7:$O$189),"")</f>
        <v>2.9377262199584909E-2</v>
      </c>
      <c r="Q13" s="85">
        <f>IF(Results!$C13="Energy", VLOOKUP(Results!$D13,'Energy Costs Inputs (Optional)'!$AS$3:$AU$20,2,FALSE)*Results!$L13, "")</f>
        <v>4688</v>
      </c>
      <c r="R13" s="84">
        <f>IF(Results!$Q13&lt;&gt;"",Results!$Q13/SUM($Q$7:$Q$189),"")</f>
        <v>2.5771410665889713E-2</v>
      </c>
      <c r="S13" s="85">
        <f t="shared" si="0"/>
        <v>1172</v>
      </c>
      <c r="T13" s="13">
        <f>IF(Results!$I13&lt;&gt;"",(HLOOKUP(Table13[[#This Row],[Units]],'Emission Inputs (Optional)'!$L$10:$R$27,MATCH(Table13[[#This Row],[Energy Source]],'Emission Inputs (Optional)'!$L$10:$L$27,0),FALSE))*Table13[[#This Row],[Annual Consumption (Baseline)]],"")</f>
        <v>52.91</v>
      </c>
      <c r="U13" s="13">
        <f>IF(Results!$T13&lt;&gt;"",Results!$T13,H13)</f>
        <v>52.91</v>
      </c>
      <c r="V13" s="84">
        <f>IF(Results!$U13="","",IF(U13&lt;&gt;"",U13,0)/SUM(Results!$U$7:$U$189))</f>
        <v>7.0601064783368639E-2</v>
      </c>
      <c r="W13" s="101">
        <f>IF(Results!$I13&lt;&gt;"",(HLOOKUP(Table13[[#This Row],[Units]],'Emission Inputs (Optional)'!$L$10:$R$27,MATCH(Table13[[#This Row],[Energy Source]],'Emission Inputs (Optional)'!$L$10:$L$27,0),FALSE))*(Table13[[#This Row],[Annual Consumption (Baseline)]]-Table13[[#This Row],[Energy Savings]]),"")</f>
        <v>42.327999999999996</v>
      </c>
      <c r="X13" s="13" t="str">
        <f>IFERROR(VLOOKUP(B13,'Emission Inputs (Optional)'!$G$9:$J$191,4,FALSE),"")</f>
        <v/>
      </c>
      <c r="Y13" s="95">
        <f>IF(Results!$W13&lt;&gt;"",Results!$W13,IF(X13&lt;&gt;"",(H13-X13),""))</f>
        <v>42.327999999999996</v>
      </c>
      <c r="Z13" s="95">
        <f t="shared" si="1"/>
        <v>10.582000000000001</v>
      </c>
      <c r="AA13" s="89">
        <f>IF(Results!$U13="","",IF(U13&lt;&gt;"",U13,0)/SUM(Results!$U$7:$U$189))</f>
        <v>7.0601064783368639E-2</v>
      </c>
      <c r="AB13" s="8"/>
      <c r="AC13" s="8"/>
      <c r="AD13" s="8"/>
      <c r="AE13" s="8"/>
      <c r="AF13" s="8"/>
      <c r="AG13" s="8"/>
      <c r="AH13" s="8"/>
      <c r="AI13" s="8"/>
      <c r="AJ13" s="8"/>
      <c r="AK13" s="8"/>
      <c r="AL13" s="8"/>
      <c r="AM13" s="8"/>
      <c r="AN13" s="8"/>
      <c r="AO13" s="8"/>
      <c r="AP13" s="8"/>
      <c r="AQ13" s="8"/>
      <c r="AR13" s="8"/>
      <c r="AS13" s="8"/>
      <c r="AT13" s="8"/>
    </row>
    <row r="14" spans="1:46" x14ac:dyDescent="0.2">
      <c r="A14" s="55">
        <f>IF(B14&lt;&gt;"",COUNTA($B$7:B14),"")</f>
        <v>8</v>
      </c>
      <c r="B14" s="83" t="str">
        <v>Backup Generator</v>
      </c>
      <c r="C14" s="86" t="str">
        <v>Energy</v>
      </c>
      <c r="D14" s="83" t="str">
        <f>IF(Table13[[#This Row],[Energy Source]]="","",Table13[[#This Row],[Energy Source]])</f>
        <v>Diesel</v>
      </c>
      <c r="E14" s="83" t="str">
        <f>IF(Table13[[#This Row],[Units]]="", "", Table13[[#This Row],[Units]])</f>
        <v>therm</v>
      </c>
      <c r="F14" s="83">
        <f>IF(Table13[[#This Row],[Annual Consumption (Baseline)]]="", "", Table13[[#This Row],[Annual Consumption (Baseline)]])</f>
        <v>1000</v>
      </c>
      <c r="G14" s="83">
        <f>IF(F14="", "", IF(Results!$C14="Energy", VLOOKUP(Results!$E14,'Emission Inputs (Optional)'!$T$10:$U$27,2,FALSE)*Table13[[#This Row],[Energy Savings]], ""))</f>
        <v>0</v>
      </c>
      <c r="H14" s="13" t="str">
        <f>IFERROR(VLOOKUP(B14,'Emission Inputs (Optional)'!$G$9:$I$191,3,FALSE),"")</f>
        <v/>
      </c>
      <c r="I14" s="13">
        <f>IF(Results!$C14="Energy", VLOOKUP(Results!$E14,'Emission Inputs (Optional)'!$T$10:$U$27,2,FALSE)*Results!$F14, "")</f>
        <v>100</v>
      </c>
      <c r="J14" s="13">
        <f>IF(Results!$I14&lt;&gt;"",Results!$I14*0.293071,"")</f>
        <v>29.307100000000002</v>
      </c>
      <c r="K14" s="84">
        <f>IF(Results!$I14&lt;&gt;"",Results!$I14/SUM($I$7:$I$189),"")</f>
        <v>8.3947960881412785E-3</v>
      </c>
      <c r="L14" s="13">
        <f>IF(Results!$F14&lt;&gt;"",I14-G14,"")</f>
        <v>100</v>
      </c>
      <c r="M14" s="13">
        <f>IF(Results!$L14&lt;&gt;"",Results!$L14*0.293071,"")</f>
        <v>29.307100000000002</v>
      </c>
      <c r="N14" s="84">
        <f>IF(Results!$M14&lt;&gt;"",Results!$M14/SUM($M$7:$M$189),"")</f>
        <v>9.355263051573099E-3</v>
      </c>
      <c r="O14" s="85">
        <f>IF(Results!$C14="Energy", VLOOKUP(Results!$D14,'Energy Costs Inputs (Optional)'!$AS$3:$AU$20,2,FALSE)*Results!$I14, "")</f>
        <v>250</v>
      </c>
      <c r="P14" s="84">
        <f>IF(Results!$O14&lt;&gt;"",Results!$O14/SUM($O$7:$O$189),"")</f>
        <v>1.2532961689242709E-3</v>
      </c>
      <c r="Q14" s="85">
        <f>IF(Results!$C14="Energy", VLOOKUP(Results!$D14,'Energy Costs Inputs (Optional)'!$AS$3:$AU$20,2,FALSE)*Results!$L14, "")</f>
        <v>250</v>
      </c>
      <c r="R14" s="84">
        <f>IF(Results!$Q14&lt;&gt;"",Results!$Q14/SUM($Q$7:$Q$189),"")</f>
        <v>1.3743286404591358E-3</v>
      </c>
      <c r="S14" s="85">
        <f t="shared" si="0"/>
        <v>0</v>
      </c>
      <c r="T14" s="13">
        <f>IF(Results!$I14&lt;&gt;"",(HLOOKUP(Table13[[#This Row],[Units]],'Emission Inputs (Optional)'!$L$10:$R$27,MATCH(Table13[[#This Row],[Energy Source]],'Emission Inputs (Optional)'!$L$10:$L$27,0),FALSE))*Table13[[#This Row],[Annual Consumption (Baseline)]],"")</f>
        <v>7.4139999999999997</v>
      </c>
      <c r="U14" s="13">
        <f>IF(Results!$T14&lt;&gt;"",Results!$T14,H14)</f>
        <v>7.4139999999999997</v>
      </c>
      <c r="V14" s="84">
        <f>IF(Results!$U14="","",IF(U14&lt;&gt;"",U14,0)/SUM(Results!$U$7:$U$189))</f>
        <v>9.892955855299472E-3</v>
      </c>
      <c r="W14" s="101">
        <f>IF(Results!$I14&lt;&gt;"",(HLOOKUP(Table13[[#This Row],[Units]],'Emission Inputs (Optional)'!$L$10:$R$27,MATCH(Table13[[#This Row],[Energy Source]],'Emission Inputs (Optional)'!$L$10:$L$27,0),FALSE))*(Table13[[#This Row],[Annual Consumption (Baseline)]]-Table13[[#This Row],[Energy Savings]]),"")</f>
        <v>7.4139999999999997</v>
      </c>
      <c r="X14" s="13" t="str">
        <f>IFERROR(VLOOKUP(B14,'Emission Inputs (Optional)'!$G$9:$J$191,4,FALSE),"")</f>
        <v/>
      </c>
      <c r="Y14" s="95">
        <f>IF(Results!$W14&lt;&gt;"",Results!$W14,IF(X14&lt;&gt;"",(H14-X14),""))</f>
        <v>7.4139999999999997</v>
      </c>
      <c r="Z14" s="95">
        <f t="shared" si="1"/>
        <v>0</v>
      </c>
      <c r="AA14" s="89">
        <f>IF(Results!$U14="","",IF(U14&lt;&gt;"",U14,0)/SUM(Results!$U$7:$U$189))</f>
        <v>9.892955855299472E-3</v>
      </c>
      <c r="AB14" s="8"/>
      <c r="AC14" s="8"/>
      <c r="AD14" s="8"/>
      <c r="AE14" s="8"/>
      <c r="AF14" s="8"/>
      <c r="AG14" s="8"/>
      <c r="AH14" s="8"/>
      <c r="AI14" s="8"/>
      <c r="AJ14" s="8"/>
      <c r="AK14" s="8"/>
      <c r="AL14" s="8"/>
      <c r="AM14" s="8"/>
      <c r="AN14" s="8"/>
      <c r="AO14" s="8"/>
      <c r="AP14" s="8"/>
      <c r="AQ14" s="8"/>
      <c r="AR14" s="8"/>
      <c r="AS14" s="8"/>
      <c r="AT14" s="8"/>
    </row>
    <row r="15" spans="1:46" x14ac:dyDescent="0.2">
      <c r="A15" s="55">
        <f>IF(B15&lt;&gt;"",COUNTA($B$7:B15),"")</f>
        <v>9</v>
      </c>
      <c r="B15" s="83" t="str">
        <v>Process Emissions</v>
      </c>
      <c r="C15" s="86" t="str">
        <v>Process</v>
      </c>
      <c r="D15" s="83" t="str">
        <f>IF(Table13[[#This Row],[Energy Source]]="","",Table13[[#This Row],[Energy Source]])</f>
        <v/>
      </c>
      <c r="E15" s="83" t="str">
        <f>IF(Table13[[#This Row],[Units]]="", "", Table13[[#This Row],[Units]])</f>
        <v/>
      </c>
      <c r="F15" s="83" t="str">
        <f>IF(Table13[[#This Row],[Annual Consumption (Baseline)]]="", "", Table13[[#This Row],[Annual Consumption (Baseline)]])</f>
        <v/>
      </c>
      <c r="G15" s="83" t="str">
        <f>IF(F15="", "", IF(Results!$C15="Energy", VLOOKUP(Results!$E15,'Emission Inputs (Optional)'!$T$10:$U$27,2,FALSE)*Table13[[#This Row],[Energy Savings]], ""))</f>
        <v/>
      </c>
      <c r="H15" s="13">
        <f>IFERROR(VLOOKUP(B15,'Emission Inputs (Optional)'!$G$9:$I$191,3,FALSE),"")</f>
        <v>90</v>
      </c>
      <c r="I15" s="13" t="str">
        <f>IF(Results!$C15="Energy", VLOOKUP(Results!$E15,'Emission Inputs (Optional)'!$T$10:$U$27,2,FALSE)*Results!$F15, "")</f>
        <v/>
      </c>
      <c r="J15" s="13" t="str">
        <f>IF(Results!$I15&lt;&gt;"",Results!$I15*0.293071,"")</f>
        <v/>
      </c>
      <c r="K15" s="84" t="str">
        <f>IF(Results!$I15&lt;&gt;"",Results!$I15/SUM($I$7:$I$189),"")</f>
        <v/>
      </c>
      <c r="L15" s="13" t="str">
        <f>IF(Results!$F15&lt;&gt;"",I15-G15,"")</f>
        <v/>
      </c>
      <c r="M15" s="13" t="str">
        <f>IF(Results!$L15&lt;&gt;"",Results!$L15*0.293071,"")</f>
        <v/>
      </c>
      <c r="N15" s="84" t="str">
        <f>IF(Results!$M15&lt;&gt;"",Results!$M15/SUM($M$7:$M$189),"")</f>
        <v/>
      </c>
      <c r="O15" s="85" t="str">
        <f>IF(Results!$C15="Energy", VLOOKUP(Results!$D15,'Energy Costs Inputs (Optional)'!$AS$3:$AU$20,2,FALSE)*Results!$I15, "")</f>
        <v/>
      </c>
      <c r="P15" s="84" t="str">
        <f>IF(Results!$O15&lt;&gt;"",Results!$O15/SUM($O$7:$O$189),"")</f>
        <v/>
      </c>
      <c r="Q15" s="85" t="str">
        <f>IF(Results!$C15="Energy", VLOOKUP(Results!$D15,'Energy Costs Inputs (Optional)'!$AS$3:$AU$20,2,FALSE)*Results!$L15, "")</f>
        <v/>
      </c>
      <c r="R15" s="84" t="str">
        <f>IF(Results!$Q15&lt;&gt;"",Results!$Q15/SUM($Q$7:$Q$189),"")</f>
        <v/>
      </c>
      <c r="S15" s="85" t="str">
        <f t="shared" si="0"/>
        <v/>
      </c>
      <c r="T15" s="13" t="str">
        <f>IF(Results!$I15&lt;&gt;"",(HLOOKUP(Table13[[#This Row],[Units]],'Emission Inputs (Optional)'!$L$10:$R$27,MATCH(Table13[[#This Row],[Energy Source]],'Emission Inputs (Optional)'!$L$10:$L$27,0),FALSE))*Table13[[#This Row],[Annual Consumption (Baseline)]],"")</f>
        <v/>
      </c>
      <c r="U15" s="13">
        <f>IF(Results!$T15&lt;&gt;"",Results!$T15,H15)</f>
        <v>90</v>
      </c>
      <c r="V15" s="84">
        <f>IF(Results!$U15="","",IF(U15&lt;&gt;"",U15,0)/SUM(Results!$U$7:$U$189))</f>
        <v>0.12009253128904135</v>
      </c>
      <c r="W15" s="101" t="str">
        <f>IF(Results!$I15&lt;&gt;"",(HLOOKUP(Table13[[#This Row],[Units]],'Emission Inputs (Optional)'!$L$10:$R$27,MATCH(Table13[[#This Row],[Energy Source]],'Emission Inputs (Optional)'!$L$10:$L$27,0),FALSE))*(Table13[[#This Row],[Annual Consumption (Baseline)]]-Table13[[#This Row],[Energy Savings]]),"")</f>
        <v/>
      </c>
      <c r="X15" s="13">
        <f>IFERROR(VLOOKUP(B15,'Emission Inputs (Optional)'!$G$9:$J$191,4,FALSE),"")</f>
        <v>10</v>
      </c>
      <c r="Y15" s="95">
        <f>IF(Results!$W15&lt;&gt;"",Results!$W15,IF(X15&lt;&gt;"",(H15-X15),""))</f>
        <v>80</v>
      </c>
      <c r="Z15" s="95">
        <f t="shared" si="1"/>
        <v>10</v>
      </c>
      <c r="AA15" s="89">
        <f>IF(Results!$U15="","",IF(U15&lt;&gt;"",U15,0)/SUM(Results!$U$7:$U$189))</f>
        <v>0.12009253128904135</v>
      </c>
      <c r="AB15" s="8"/>
      <c r="AC15" s="8"/>
      <c r="AD15" s="8"/>
      <c r="AE15" s="8"/>
      <c r="AF15" s="8"/>
      <c r="AG15" s="8"/>
      <c r="AH15" s="8"/>
      <c r="AI15" s="8"/>
      <c r="AJ15" s="8"/>
      <c r="AK15" s="8"/>
      <c r="AL15" s="8"/>
      <c r="AM15" s="8"/>
      <c r="AN15" s="8"/>
      <c r="AO15" s="8"/>
      <c r="AP15" s="8"/>
      <c r="AQ15" s="8"/>
      <c r="AR15" s="8"/>
      <c r="AS15" s="8"/>
      <c r="AT15" s="8"/>
    </row>
    <row r="16" spans="1:46" x14ac:dyDescent="0.2">
      <c r="A16" s="55">
        <f>IF(B16&lt;&gt;"",COUNTA($B$7:B16),"")</f>
        <v>10</v>
      </c>
      <c r="B16" s="83" t="str">
        <v>Refrigerant Leakage</v>
      </c>
      <c r="C16" s="86" t="str">
        <v>Fugitive</v>
      </c>
      <c r="D16" s="83" t="str">
        <f>IF(Table13[[#This Row],[Energy Source]]="","",Table13[[#This Row],[Energy Source]])</f>
        <v/>
      </c>
      <c r="E16" s="83" t="str">
        <f>IF(Table13[[#This Row],[Units]]="", "", Table13[[#This Row],[Units]])</f>
        <v/>
      </c>
      <c r="F16" s="83" t="str">
        <f>IF(Table13[[#This Row],[Annual Consumption (Baseline)]]="", "", Table13[[#This Row],[Annual Consumption (Baseline)]])</f>
        <v/>
      </c>
      <c r="G16" s="83" t="str">
        <f>IF(F16="", "", IF(Results!$C16="Energy", VLOOKUP(Results!$E16,'Emission Inputs (Optional)'!$T$10:$U$27,2,FALSE)*Table13[[#This Row],[Energy Savings]], ""))</f>
        <v/>
      </c>
      <c r="H16" s="13">
        <f>IFERROR(VLOOKUP(B16,'Emission Inputs (Optional)'!$G$9:$I$191,3,FALSE),"")</f>
        <v>25</v>
      </c>
      <c r="I16" s="13" t="str">
        <f>IF(Results!$C16="Energy", VLOOKUP(Results!$E16,'Emission Inputs (Optional)'!$T$10:$U$27,2,FALSE)*Results!$F16, "")</f>
        <v/>
      </c>
      <c r="J16" s="13" t="str">
        <f>IF(Results!$I16&lt;&gt;"",Results!$I16*0.293071,"")</f>
        <v/>
      </c>
      <c r="K16" s="84" t="str">
        <f>IF(Results!$I16&lt;&gt;"",Results!$I16/SUM($I$7:$I$189),"")</f>
        <v/>
      </c>
      <c r="L16" s="13" t="str">
        <f>IF(Results!$F16&lt;&gt;"",I16-G16,"")</f>
        <v/>
      </c>
      <c r="M16" s="13" t="str">
        <f>IF(Results!$L16&lt;&gt;"",Results!$L16*0.293071,"")</f>
        <v/>
      </c>
      <c r="N16" s="84" t="str">
        <f>IF(Results!$M16&lt;&gt;"",Results!$M16/SUM($M$7:$M$189),"")</f>
        <v/>
      </c>
      <c r="O16" s="85" t="str">
        <f>IF(Results!$C16="Energy", VLOOKUP(Results!$D16,'Energy Costs Inputs (Optional)'!$AS$3:$AU$20,2,FALSE)*Results!$I16, "")</f>
        <v/>
      </c>
      <c r="P16" s="84" t="str">
        <f>IF(Results!$O16&lt;&gt;"",Results!$O16/SUM($O$7:$O$189),"")</f>
        <v/>
      </c>
      <c r="Q16" s="85" t="str">
        <f>IF(Results!$C16="Energy", VLOOKUP(Results!$D16,'Energy Costs Inputs (Optional)'!$AS$3:$AU$20,2,FALSE)*Results!$L16, "")</f>
        <v/>
      </c>
      <c r="R16" s="84" t="str">
        <f>IF(Results!$Q16&lt;&gt;"",Results!$Q16/SUM($Q$7:$Q$189),"")</f>
        <v/>
      </c>
      <c r="S16" s="85" t="str">
        <f t="shared" si="0"/>
        <v/>
      </c>
      <c r="T16" s="13" t="str">
        <f>IF(Results!$I16&lt;&gt;"",(HLOOKUP(Table13[[#This Row],[Units]],'Emission Inputs (Optional)'!$L$10:$R$27,MATCH(Table13[[#This Row],[Energy Source]],'Emission Inputs (Optional)'!$L$10:$L$27,0),FALSE))*Table13[[#This Row],[Annual Consumption (Baseline)]],"")</f>
        <v/>
      </c>
      <c r="U16" s="13">
        <f>IF(Results!$T16&lt;&gt;"",Results!$T16,H16)</f>
        <v>25</v>
      </c>
      <c r="V16" s="84">
        <f>IF(Results!$U16="","",IF(U16&lt;&gt;"",U16,0)/SUM(Results!$U$7:$U$189))</f>
        <v>3.3359036469178149E-2</v>
      </c>
      <c r="W16" s="101" t="str">
        <f>IF(Results!$I16&lt;&gt;"",(HLOOKUP(Table13[[#This Row],[Units]],'Emission Inputs (Optional)'!$L$10:$R$27,MATCH(Table13[[#This Row],[Energy Source]],'Emission Inputs (Optional)'!$L$10:$L$27,0),FALSE))*(Table13[[#This Row],[Annual Consumption (Baseline)]]-Table13[[#This Row],[Energy Savings]]),"")</f>
        <v/>
      </c>
      <c r="X16" s="13">
        <f>IFERROR(VLOOKUP(B16,'Emission Inputs (Optional)'!$G$9:$J$191,4,FALSE),"")</f>
        <v>15</v>
      </c>
      <c r="Y16" s="95">
        <f>IF(Results!$W16&lt;&gt;"",Results!$W16,IF(X16&lt;&gt;"",(H16-X16),""))</f>
        <v>10</v>
      </c>
      <c r="Z16" s="95">
        <f t="shared" si="1"/>
        <v>15</v>
      </c>
      <c r="AA16" s="89">
        <f>IF(Results!$U16="","",IF(U16&lt;&gt;"",U16,0)/SUM(Results!$U$7:$U$189))</f>
        <v>3.3359036469178149E-2</v>
      </c>
      <c r="AB16" s="8"/>
      <c r="AC16" s="8"/>
      <c r="AD16" s="8"/>
      <c r="AE16" s="8"/>
      <c r="AF16" s="8"/>
      <c r="AG16" s="8"/>
      <c r="AH16" s="8"/>
      <c r="AI16" s="8"/>
      <c r="AJ16" s="8"/>
      <c r="AK16" s="8"/>
      <c r="AL16" s="8"/>
      <c r="AM16" s="8"/>
      <c r="AN16" s="8"/>
      <c r="AO16" s="8"/>
      <c r="AP16" s="8"/>
      <c r="AQ16" s="8"/>
      <c r="AR16" s="8"/>
      <c r="AS16" s="8"/>
      <c r="AT16" s="8"/>
    </row>
    <row r="17" spans="1:46" x14ac:dyDescent="0.2">
      <c r="A17" s="55" t="str">
        <f>IF(B17&lt;&gt;"",COUNTA($B$7:B17),"")</f>
        <v/>
      </c>
      <c r="B17" s="83"/>
      <c r="C17" s="86"/>
      <c r="D17" s="83" t="str">
        <f>IF(Table13[[#This Row],[Energy Source]]="","",Table13[[#This Row],[Energy Source]])</f>
        <v/>
      </c>
      <c r="E17" s="83" t="str">
        <f>IF(Table13[[#This Row],[Units]]="", "", Table13[[#This Row],[Units]])</f>
        <v/>
      </c>
      <c r="F17" s="83" t="str">
        <f>IF(Table13[[#This Row],[Annual Consumption (Baseline)]]="", "", Table13[[#This Row],[Annual Consumption (Baseline)]])</f>
        <v/>
      </c>
      <c r="G17" s="83" t="str">
        <f>IF(F17="", "", IF(Results!$C17="Energy", VLOOKUP(Results!$E17,'Emission Inputs (Optional)'!$T$10:$U$27,2,FALSE)*Table13[[#This Row],[Energy Savings]], ""))</f>
        <v/>
      </c>
      <c r="H17" s="13" t="str">
        <f>IFERROR(VLOOKUP(B17,'Emission Inputs (Optional)'!$G$9:$I$191,3,FALSE),"")</f>
        <v/>
      </c>
      <c r="I17" s="13" t="str">
        <f>IF(Results!$C17="Energy", VLOOKUP(Results!$E17,'Emission Inputs (Optional)'!$T$10:$U$27,2,FALSE)*Results!$F17, "")</f>
        <v/>
      </c>
      <c r="J17" s="13" t="str">
        <f>IF(Results!$I17&lt;&gt;"",Results!$I17*0.293071,"")</f>
        <v/>
      </c>
      <c r="K17" s="84" t="str">
        <f>IF(Results!$I17&lt;&gt;"",Results!$I17/SUM($I$7:$I$189),"")</f>
        <v/>
      </c>
      <c r="L17" s="13" t="str">
        <f>IF(Results!$F17&lt;&gt;"",I17-G17,"")</f>
        <v/>
      </c>
      <c r="M17" s="13" t="str">
        <f>IF(Results!$L17&lt;&gt;"",Results!$L17*0.293071,"")</f>
        <v/>
      </c>
      <c r="N17" s="84" t="str">
        <f>IF(Results!$M17&lt;&gt;"",Results!$M17/SUM($M$7:$M$189),"")</f>
        <v/>
      </c>
      <c r="O17" s="85" t="str">
        <f>IF(Results!$C17="Energy", VLOOKUP(Results!$D17,'Energy Costs Inputs (Optional)'!$AS$3:$AU$20,2,FALSE)*Results!$I17, "")</f>
        <v/>
      </c>
      <c r="P17" s="84" t="str">
        <f>IF(Results!$O17&lt;&gt;"",Results!$O17/SUM($O$7:$O$189),"")</f>
        <v/>
      </c>
      <c r="Q17" s="85" t="str">
        <f>IF(Results!$C17="Energy", VLOOKUP(Results!$D17,'Energy Costs Inputs (Optional)'!$AS$3:$AU$20,2,FALSE)*Results!$L17, "")</f>
        <v/>
      </c>
      <c r="R17" s="84" t="str">
        <f>IF(Results!$Q17&lt;&gt;"",Results!$Q17/SUM($Q$7:$Q$189),"")</f>
        <v/>
      </c>
      <c r="S17" s="85" t="str">
        <f t="shared" si="0"/>
        <v/>
      </c>
      <c r="T17" s="13" t="str">
        <f>IF(Results!$I17&lt;&gt;"",(HLOOKUP(Table13[[#This Row],[Units]],'Emission Inputs (Optional)'!$L$10:$R$27,MATCH(Table13[[#This Row],[Energy Source]],'Emission Inputs (Optional)'!$L$10:$L$27,0),FALSE))*Table13[[#This Row],[Annual Consumption (Baseline)]],"")</f>
        <v/>
      </c>
      <c r="U17" s="13" t="str">
        <f>IF(Results!$T17&lt;&gt;"",Results!$T17,H17)</f>
        <v/>
      </c>
      <c r="V17" s="84" t="str">
        <f>IF(Results!$U17="","",IF(U17&lt;&gt;"",U17,0)/SUM(Results!$U$7:$U$189))</f>
        <v/>
      </c>
      <c r="W17" s="101" t="str">
        <f>IF(Results!$I17&lt;&gt;"",(HLOOKUP(Table13[[#This Row],[Units]],'Emission Inputs (Optional)'!$L$10:$R$27,MATCH(Table13[[#This Row],[Energy Source]],'Emission Inputs (Optional)'!$L$10:$L$27,0),FALSE))*(Table13[[#This Row],[Annual Consumption (Baseline)]]-Table13[[#This Row],[Energy Savings]]),"")</f>
        <v/>
      </c>
      <c r="X17" s="13" t="str">
        <f>IFERROR(VLOOKUP(B17,'Emission Inputs (Optional)'!$G$9:$J$191,4,FALSE),"")</f>
        <v/>
      </c>
      <c r="Y17" s="95" t="str">
        <f>IF(Results!$W17&lt;&gt;"",Results!$W17,IF(X17&lt;&gt;"",(H17-X17),""))</f>
        <v/>
      </c>
      <c r="Z17" s="95" t="str">
        <f t="shared" si="1"/>
        <v/>
      </c>
      <c r="AA17" s="89" t="str">
        <f>IF(Results!$U17="","",IF(U17&lt;&gt;"",U17,0)/SUM(Results!$U$7:$U$189))</f>
        <v/>
      </c>
      <c r="AB17" s="8"/>
      <c r="AC17" s="8"/>
      <c r="AD17" s="8"/>
      <c r="AE17" s="8"/>
      <c r="AF17" s="8"/>
      <c r="AG17" s="8"/>
      <c r="AH17" s="8"/>
      <c r="AI17" s="8"/>
      <c r="AJ17" s="8"/>
      <c r="AK17" s="8"/>
      <c r="AL17" s="8"/>
      <c r="AM17" s="8"/>
      <c r="AN17" s="8"/>
      <c r="AO17" s="8"/>
      <c r="AP17" s="8"/>
      <c r="AQ17" s="8"/>
      <c r="AR17" s="8"/>
      <c r="AS17" s="8"/>
      <c r="AT17" s="8"/>
    </row>
    <row r="18" spans="1:46" x14ac:dyDescent="0.2">
      <c r="A18" s="55" t="str">
        <f>IF(B18&lt;&gt;"",COUNTA($B$7:B18),"")</f>
        <v/>
      </c>
      <c r="B18" s="83"/>
      <c r="C18" s="86"/>
      <c r="D18" s="83" t="str">
        <f>IF(Table13[[#This Row],[Energy Source]]="","",Table13[[#This Row],[Energy Source]])</f>
        <v/>
      </c>
      <c r="E18" s="83" t="str">
        <f>IF(Table13[[#This Row],[Units]]="", "", Table13[[#This Row],[Units]])</f>
        <v/>
      </c>
      <c r="F18" s="83" t="str">
        <f>IF(Table13[[#This Row],[Annual Consumption (Baseline)]]="", "", Table13[[#This Row],[Annual Consumption (Baseline)]])</f>
        <v/>
      </c>
      <c r="G18" s="83" t="str">
        <f>IF(F18="", "", IF(Results!$C18="Energy", VLOOKUP(Results!$E18,'Emission Inputs (Optional)'!$T$10:$U$27,2,FALSE)*Table13[[#This Row],[Energy Savings]], ""))</f>
        <v/>
      </c>
      <c r="H18" s="13" t="str">
        <f>IFERROR(VLOOKUP(B18,'Emission Inputs (Optional)'!$G$9:$I$191,3,FALSE),"")</f>
        <v/>
      </c>
      <c r="I18" s="13" t="str">
        <f>IF(Results!$C18="Energy", VLOOKUP(Results!$E18,'Emission Inputs (Optional)'!$T$10:$U$27,2,FALSE)*Results!$F18, "")</f>
        <v/>
      </c>
      <c r="J18" s="13" t="str">
        <f>IF(Results!$I18&lt;&gt;"",Results!$I18*0.293071,"")</f>
        <v/>
      </c>
      <c r="K18" s="84" t="str">
        <f>IF(Results!$I18&lt;&gt;"",Results!$I18/SUM($I$7:$I$189),"")</f>
        <v/>
      </c>
      <c r="L18" s="13" t="str">
        <f>IF(Results!$F18&lt;&gt;"",I18-G18,"")</f>
        <v/>
      </c>
      <c r="M18" s="13" t="str">
        <f>IF(Results!$L18&lt;&gt;"",Results!$L18*0.293071,"")</f>
        <v/>
      </c>
      <c r="N18" s="84" t="str">
        <f>IF(Results!$M18&lt;&gt;"",Results!$M18/SUM($M$7:$M$189),"")</f>
        <v/>
      </c>
      <c r="O18" s="85" t="str">
        <f>IF(Results!$C18="Energy", VLOOKUP(Results!$D18,'Energy Costs Inputs (Optional)'!$AS$3:$AU$20,2,FALSE)*Results!$I18, "")</f>
        <v/>
      </c>
      <c r="P18" s="84" t="str">
        <f>IF(Results!$O18&lt;&gt;"",Results!$O18/SUM($O$7:$O$189),"")</f>
        <v/>
      </c>
      <c r="Q18" s="85" t="str">
        <f>IF(Results!$C18="Energy", VLOOKUP(Results!$D18,'Energy Costs Inputs (Optional)'!$AS$3:$AU$20,2,FALSE)*Results!$L18, "")</f>
        <v/>
      </c>
      <c r="R18" s="84" t="str">
        <f>IF(Results!$Q18&lt;&gt;"",Results!$Q18/SUM($Q$7:$Q$189),"")</f>
        <v/>
      </c>
      <c r="S18" s="85" t="str">
        <f t="shared" si="0"/>
        <v/>
      </c>
      <c r="T18" s="13" t="str">
        <f>IF(Results!$I18&lt;&gt;"",(HLOOKUP(Table13[[#This Row],[Units]],'Emission Inputs (Optional)'!$L$10:$R$27,MATCH(Table13[[#This Row],[Energy Source]],'Emission Inputs (Optional)'!$L$10:$L$27,0),FALSE))*Table13[[#This Row],[Annual Consumption (Baseline)]],"")</f>
        <v/>
      </c>
      <c r="U18" s="13" t="str">
        <f>IF(Results!$T18&lt;&gt;"",Results!$T18,H18)</f>
        <v/>
      </c>
      <c r="V18" s="84" t="str">
        <f>IF(Results!$U18="","",IF(U18&lt;&gt;"",U18,0)/SUM(Results!$U$7:$U$189))</f>
        <v/>
      </c>
      <c r="W18" s="101" t="str">
        <f>IF(Results!$I18&lt;&gt;"",(HLOOKUP(Table13[[#This Row],[Units]],'Emission Inputs (Optional)'!$L$10:$R$27,MATCH(Table13[[#This Row],[Energy Source]],'Emission Inputs (Optional)'!$L$10:$L$27,0),FALSE))*(Table13[[#This Row],[Annual Consumption (Baseline)]]-Table13[[#This Row],[Energy Savings]]),"")</f>
        <v/>
      </c>
      <c r="X18" s="13" t="str">
        <f>IFERROR(VLOOKUP(B18,'Emission Inputs (Optional)'!$G$9:$J$191,4,FALSE),"")</f>
        <v/>
      </c>
      <c r="Y18" s="95" t="str">
        <f>IF(Results!$W18&lt;&gt;"",Results!$W18,IF(X18&lt;&gt;"",(H18-X18),""))</f>
        <v/>
      </c>
      <c r="Z18" s="95" t="str">
        <f t="shared" si="1"/>
        <v/>
      </c>
      <c r="AA18" s="89" t="str">
        <f>IF(Results!$U18="","",IF(U18&lt;&gt;"",U18,0)/SUM(Results!$U$7:$U$189))</f>
        <v/>
      </c>
      <c r="AB18" s="8"/>
      <c r="AC18" s="8"/>
      <c r="AD18" s="8"/>
      <c r="AE18" s="8"/>
      <c r="AF18" s="8"/>
      <c r="AG18" s="8"/>
      <c r="AH18" s="8"/>
      <c r="AI18" s="8"/>
      <c r="AJ18" s="8"/>
      <c r="AK18" s="8"/>
      <c r="AL18" s="8"/>
      <c r="AM18" s="8"/>
      <c r="AN18" s="8"/>
      <c r="AO18" s="8"/>
      <c r="AP18" s="8"/>
      <c r="AQ18" s="8"/>
      <c r="AR18" s="8"/>
      <c r="AS18" s="8"/>
      <c r="AT18" s="8"/>
    </row>
    <row r="19" spans="1:46" x14ac:dyDescent="0.2">
      <c r="A19" s="55" t="str">
        <f>IF(B19&lt;&gt;"",COUNTA($B$7:B19),"")</f>
        <v/>
      </c>
      <c r="B19" s="83"/>
      <c r="C19" s="86"/>
      <c r="D19" s="83" t="str">
        <f>IF(Table13[[#This Row],[Energy Source]]="","",Table13[[#This Row],[Energy Source]])</f>
        <v/>
      </c>
      <c r="E19" s="83" t="str">
        <f>IF(Table13[[#This Row],[Units]]="", "", Table13[[#This Row],[Units]])</f>
        <v/>
      </c>
      <c r="F19" s="83" t="str">
        <f>IF(Table13[[#This Row],[Annual Consumption (Baseline)]]="", "", Table13[[#This Row],[Annual Consumption (Baseline)]])</f>
        <v/>
      </c>
      <c r="G19" s="83" t="str">
        <f>IF(F19="", "", IF(Results!$C19="Energy", VLOOKUP(Results!$E19,'Emission Inputs (Optional)'!$T$10:$U$27,2,FALSE)*Table13[[#This Row],[Energy Savings]], ""))</f>
        <v/>
      </c>
      <c r="H19" s="13" t="str">
        <f>IFERROR(VLOOKUP(B19,'Emission Inputs (Optional)'!$G$9:$I$191,3,FALSE),"")</f>
        <v/>
      </c>
      <c r="I19" s="13" t="str">
        <f>IF(Results!$C19="Energy", VLOOKUP(Results!$E19,'Emission Inputs (Optional)'!$T$10:$U$27,2,FALSE)*Results!$F19, "")</f>
        <v/>
      </c>
      <c r="J19" s="13" t="str">
        <f>IF(Results!$I19&lt;&gt;"",Results!$I19*0.293071,"")</f>
        <v/>
      </c>
      <c r="K19" s="84" t="str">
        <f>IF(Results!$I19&lt;&gt;"",Results!$I19/SUM($I$7:$I$189),"")</f>
        <v/>
      </c>
      <c r="L19" s="13" t="str">
        <f>IF(Results!$F19&lt;&gt;"",I19-G19,"")</f>
        <v/>
      </c>
      <c r="M19" s="13" t="str">
        <f>IF(Results!$L19&lt;&gt;"",Results!$L19*0.293071,"")</f>
        <v/>
      </c>
      <c r="N19" s="84" t="str">
        <f>IF(Results!$M19&lt;&gt;"",Results!$M19/SUM($M$7:$M$189),"")</f>
        <v/>
      </c>
      <c r="O19" s="85" t="str">
        <f>IF(Results!$C19="Energy", VLOOKUP(Results!$D19,'Energy Costs Inputs (Optional)'!$AS$3:$AU$20,2,FALSE)*Results!$I19, "")</f>
        <v/>
      </c>
      <c r="P19" s="84" t="str">
        <f>IF(Results!$O19&lt;&gt;"",Results!$O19/SUM($O$7:$O$189),"")</f>
        <v/>
      </c>
      <c r="Q19" s="85" t="str">
        <f>IF(Results!$C19="Energy", VLOOKUP(Results!$D19,'Energy Costs Inputs (Optional)'!$AS$3:$AU$20,2,FALSE)*Results!$L19, "")</f>
        <v/>
      </c>
      <c r="R19" s="84" t="str">
        <f>IF(Results!$Q19&lt;&gt;"",Results!$Q19/SUM($Q$7:$Q$189),"")</f>
        <v/>
      </c>
      <c r="S19" s="85" t="str">
        <f t="shared" si="0"/>
        <v/>
      </c>
      <c r="T19" s="13" t="str">
        <f>IF(Results!$I19&lt;&gt;"",(HLOOKUP(Table13[[#This Row],[Units]],'Emission Inputs (Optional)'!$L$10:$R$27,MATCH(Table13[[#This Row],[Energy Source]],'Emission Inputs (Optional)'!$L$10:$L$27,0),FALSE))*Table13[[#This Row],[Annual Consumption (Baseline)]],"")</f>
        <v/>
      </c>
      <c r="U19" s="13" t="str">
        <f>IF(Results!$T19&lt;&gt;"",Results!$T19,H19)</f>
        <v/>
      </c>
      <c r="V19" s="84" t="str">
        <f>IF(Results!$U19="","",IF(U19&lt;&gt;"",U19,0)/SUM(Results!$U$7:$U$189))</f>
        <v/>
      </c>
      <c r="W19" s="101" t="str">
        <f>IF(Results!$I19&lt;&gt;"",(HLOOKUP(Table13[[#This Row],[Units]],'Emission Inputs (Optional)'!$L$10:$R$27,MATCH(Table13[[#This Row],[Energy Source]],'Emission Inputs (Optional)'!$L$10:$L$27,0),FALSE))*(Table13[[#This Row],[Annual Consumption (Baseline)]]-Table13[[#This Row],[Energy Savings]]),"")</f>
        <v/>
      </c>
      <c r="X19" s="13" t="str">
        <f>IFERROR(VLOOKUP(B19,'Emission Inputs (Optional)'!$G$9:$J$191,4,FALSE),"")</f>
        <v/>
      </c>
      <c r="Y19" s="95" t="str">
        <f>IF(Results!$W19&lt;&gt;"",Results!$W19,IF(X19&lt;&gt;"",(H19-X19),""))</f>
        <v/>
      </c>
      <c r="Z19" s="95" t="str">
        <f t="shared" si="1"/>
        <v/>
      </c>
      <c r="AA19" s="89" t="str">
        <f>IF(Results!$U19="","",IF(U19&lt;&gt;"",U19,0)/SUM(Results!$U$7:$U$189))</f>
        <v/>
      </c>
      <c r="AB19" s="8"/>
      <c r="AC19" s="8"/>
      <c r="AD19" s="8"/>
      <c r="AE19" s="8"/>
      <c r="AF19" s="8"/>
      <c r="AG19" s="8"/>
      <c r="AH19" s="8"/>
      <c r="AI19" s="8"/>
      <c r="AJ19" s="8"/>
      <c r="AK19" s="8"/>
      <c r="AL19" s="8"/>
      <c r="AM19" s="8"/>
      <c r="AN19" s="8"/>
      <c r="AO19" s="8"/>
      <c r="AP19" s="8"/>
      <c r="AQ19" s="8"/>
      <c r="AR19" s="8"/>
      <c r="AS19" s="8"/>
      <c r="AT19" s="8"/>
    </row>
    <row r="20" spans="1:46" x14ac:dyDescent="0.2">
      <c r="A20" s="55" t="str">
        <f>IF(B20&lt;&gt;"",COUNTA($B$7:B20),"")</f>
        <v/>
      </c>
      <c r="B20" s="83"/>
      <c r="C20" s="86"/>
      <c r="D20" s="83" t="str">
        <f>IF(Table13[[#This Row],[Energy Source]]="","",Table13[[#This Row],[Energy Source]])</f>
        <v/>
      </c>
      <c r="E20" s="83" t="str">
        <f>IF(Table13[[#This Row],[Units]]="", "", Table13[[#This Row],[Units]])</f>
        <v/>
      </c>
      <c r="F20" s="83" t="str">
        <f>IF(Table13[[#This Row],[Annual Consumption (Baseline)]]="", "", Table13[[#This Row],[Annual Consumption (Baseline)]])</f>
        <v/>
      </c>
      <c r="G20" s="83" t="str">
        <f>IF(F20="", "", IF(Results!$C20="Energy", VLOOKUP(Results!$E20,'Emission Inputs (Optional)'!$T$10:$U$27,2,FALSE)*Table13[[#This Row],[Energy Savings]], ""))</f>
        <v/>
      </c>
      <c r="H20" s="13" t="str">
        <f>IFERROR(VLOOKUP(B20,'Emission Inputs (Optional)'!$G$9:$I$191,3,FALSE),"")</f>
        <v/>
      </c>
      <c r="I20" s="13" t="str">
        <f>IF(Results!$C20="Energy", VLOOKUP(Results!$E20,'Emission Inputs (Optional)'!$T$10:$U$27,2,FALSE)*Results!$F20, "")</f>
        <v/>
      </c>
      <c r="J20" s="13" t="str">
        <f>IF(Results!$I20&lt;&gt;"",Results!$I20*0.293071,"")</f>
        <v/>
      </c>
      <c r="K20" s="84" t="str">
        <f>IF(Results!$I20&lt;&gt;"",Results!$I20/SUM($I$7:$I$189),"")</f>
        <v/>
      </c>
      <c r="L20" s="13" t="str">
        <f>IF(Results!$F20&lt;&gt;"",I20-G20,"")</f>
        <v/>
      </c>
      <c r="M20" s="13" t="str">
        <f>IF(Results!$L20&lt;&gt;"",Results!$L20*0.293071,"")</f>
        <v/>
      </c>
      <c r="N20" s="84" t="str">
        <f>IF(Results!$M20&lt;&gt;"",Results!$M20/SUM($M$7:$M$189),"")</f>
        <v/>
      </c>
      <c r="O20" s="85" t="str">
        <f>IF(Results!$C20="Energy", VLOOKUP(Results!$D20,'Energy Costs Inputs (Optional)'!$AS$3:$AU$20,2,FALSE)*Results!$I20, "")</f>
        <v/>
      </c>
      <c r="P20" s="84" t="str">
        <f>IF(Results!$O20&lt;&gt;"",Results!$O20/SUM($O$7:$O$189),"")</f>
        <v/>
      </c>
      <c r="Q20" s="85" t="str">
        <f>IF(Results!$C20="Energy", VLOOKUP(Results!$D20,'Energy Costs Inputs (Optional)'!$AS$3:$AU$20,2,FALSE)*Results!$L20, "")</f>
        <v/>
      </c>
      <c r="R20" s="84" t="str">
        <f>IF(Results!$Q20&lt;&gt;"",Results!$Q20/SUM($Q$7:$Q$189),"")</f>
        <v/>
      </c>
      <c r="S20" s="85" t="str">
        <f t="shared" si="0"/>
        <v/>
      </c>
      <c r="T20" s="13" t="str">
        <f>IF(Results!$I20&lt;&gt;"",(HLOOKUP(Table13[[#This Row],[Units]],'Emission Inputs (Optional)'!$L$10:$R$27,MATCH(Table13[[#This Row],[Energy Source]],'Emission Inputs (Optional)'!$L$10:$L$27,0),FALSE))*Table13[[#This Row],[Annual Consumption (Baseline)]],"")</f>
        <v/>
      </c>
      <c r="U20" s="13" t="str">
        <f>IF(Results!$T20&lt;&gt;"",Results!$T20,H20)</f>
        <v/>
      </c>
      <c r="V20" s="84" t="str">
        <f>IF(Results!$U20="","",IF(U20&lt;&gt;"",U20,0)/SUM(Results!$U$7:$U$189))</f>
        <v/>
      </c>
      <c r="W20" s="101" t="str">
        <f>IF(Results!$I20&lt;&gt;"",(HLOOKUP(Table13[[#This Row],[Units]],'Emission Inputs (Optional)'!$L$10:$R$27,MATCH(Table13[[#This Row],[Energy Source]],'Emission Inputs (Optional)'!$L$10:$L$27,0),FALSE))*(Table13[[#This Row],[Annual Consumption (Baseline)]]-Table13[[#This Row],[Energy Savings]]),"")</f>
        <v/>
      </c>
      <c r="X20" s="13" t="str">
        <f>IFERROR(VLOOKUP(B20,'Emission Inputs (Optional)'!$G$9:$J$191,4,FALSE),"")</f>
        <v/>
      </c>
      <c r="Y20" s="95" t="str">
        <f>IF(Results!$W20&lt;&gt;"",Results!$W20,IF(X20&lt;&gt;"",(H20-X20),""))</f>
        <v/>
      </c>
      <c r="Z20" s="95" t="str">
        <f t="shared" si="1"/>
        <v/>
      </c>
      <c r="AA20" s="89" t="str">
        <f>IF(Results!$U20="","",IF(U20&lt;&gt;"",U20,0)/SUM(Results!$U$7:$U$189))</f>
        <v/>
      </c>
      <c r="AB20" s="8"/>
      <c r="AC20" s="8"/>
      <c r="AD20" s="8"/>
      <c r="AE20" s="8"/>
      <c r="AF20" s="8"/>
      <c r="AG20" s="8"/>
      <c r="AH20" s="8"/>
      <c r="AI20" s="8"/>
      <c r="AJ20" s="8"/>
      <c r="AK20" s="8"/>
      <c r="AL20" s="8"/>
      <c r="AM20" s="8"/>
      <c r="AN20" s="8"/>
      <c r="AO20" s="8"/>
      <c r="AP20" s="8"/>
      <c r="AQ20" s="8"/>
      <c r="AR20" s="8"/>
      <c r="AS20" s="8"/>
      <c r="AT20" s="8"/>
    </row>
    <row r="21" spans="1:46" x14ac:dyDescent="0.2">
      <c r="A21" s="55" t="str">
        <f>IF(B21&lt;&gt;"",COUNTA($B$7:B21),"")</f>
        <v/>
      </c>
      <c r="B21" s="83"/>
      <c r="C21" s="86"/>
      <c r="D21" s="83" t="str">
        <f>IF(Table13[[#This Row],[Energy Source]]="","",Table13[[#This Row],[Energy Source]])</f>
        <v/>
      </c>
      <c r="E21" s="83" t="str">
        <f>IF(Table13[[#This Row],[Units]]="", "", Table13[[#This Row],[Units]])</f>
        <v/>
      </c>
      <c r="F21" s="83" t="str">
        <f>IF(Table13[[#This Row],[Annual Consumption (Baseline)]]="", "", Table13[[#This Row],[Annual Consumption (Baseline)]])</f>
        <v/>
      </c>
      <c r="G21" s="83" t="str">
        <f>IF(F21="", "", IF(Results!$C21="Energy", VLOOKUP(Results!$E21,'Emission Inputs (Optional)'!$T$10:$U$27,2,FALSE)*Table13[[#This Row],[Energy Savings]], ""))</f>
        <v/>
      </c>
      <c r="H21" s="13" t="str">
        <f>IFERROR(VLOOKUP(B21,'Emission Inputs (Optional)'!$G$9:$I$191,3,FALSE),"")</f>
        <v/>
      </c>
      <c r="I21" s="13" t="str">
        <f>IF(Results!$C21="Energy", VLOOKUP(Results!$E21,'Emission Inputs (Optional)'!$T$10:$U$27,2,FALSE)*Results!$F21, "")</f>
        <v/>
      </c>
      <c r="J21" s="13" t="str">
        <f>IF(Results!$I21&lt;&gt;"",Results!$I21*0.293071,"")</f>
        <v/>
      </c>
      <c r="K21" s="84" t="str">
        <f>IF(Results!$I21&lt;&gt;"",Results!$I21/SUM($I$7:$I$189),"")</f>
        <v/>
      </c>
      <c r="L21" s="13" t="str">
        <f>IF(Results!$F21&lt;&gt;"",I21-G21,"")</f>
        <v/>
      </c>
      <c r="M21" s="13" t="str">
        <f>IF(Results!$L21&lt;&gt;"",Results!$L21*0.293071,"")</f>
        <v/>
      </c>
      <c r="N21" s="84" t="str">
        <f>IF(Results!$M21&lt;&gt;"",Results!$M21/SUM($M$7:$M$189),"")</f>
        <v/>
      </c>
      <c r="O21" s="85" t="str">
        <f>IF(Results!$C21="Energy", VLOOKUP(Results!$D21,'Energy Costs Inputs (Optional)'!$AS$3:$AU$20,2,FALSE)*Results!$I21, "")</f>
        <v/>
      </c>
      <c r="P21" s="84" t="str">
        <f>IF(Results!$O21&lt;&gt;"",Results!$O21/SUM($O$7:$O$189),"")</f>
        <v/>
      </c>
      <c r="Q21" s="85" t="str">
        <f>IF(Results!$C21="Energy", VLOOKUP(Results!$D21,'Energy Costs Inputs (Optional)'!$AS$3:$AU$20,2,FALSE)*Results!$L21, "")</f>
        <v/>
      </c>
      <c r="R21" s="84" t="str">
        <f>IF(Results!$Q21&lt;&gt;"",Results!$Q21/SUM($Q$7:$Q$189),"")</f>
        <v/>
      </c>
      <c r="S21" s="85" t="str">
        <f t="shared" si="0"/>
        <v/>
      </c>
      <c r="T21" s="13" t="str">
        <f>IF(Results!$I21&lt;&gt;"",(HLOOKUP(Table13[[#This Row],[Units]],'Emission Inputs (Optional)'!$L$10:$R$27,MATCH(Table13[[#This Row],[Energy Source]],'Emission Inputs (Optional)'!$L$10:$L$27,0),FALSE))*Table13[[#This Row],[Annual Consumption (Baseline)]],"")</f>
        <v/>
      </c>
      <c r="U21" s="13" t="str">
        <f>IF(Results!$T21&lt;&gt;"",Results!$T21,H21)</f>
        <v/>
      </c>
      <c r="V21" s="84" t="str">
        <f>IF(Results!$U21="","",IF(U21&lt;&gt;"",U21,0)/SUM(Results!$U$7:$U$189))</f>
        <v/>
      </c>
      <c r="W21" s="101" t="str">
        <f>IF(Results!$I21&lt;&gt;"",(HLOOKUP(Table13[[#This Row],[Units]],'Emission Inputs (Optional)'!$L$10:$R$27,MATCH(Table13[[#This Row],[Energy Source]],'Emission Inputs (Optional)'!$L$10:$L$27,0),FALSE))*(Table13[[#This Row],[Annual Consumption (Baseline)]]-Table13[[#This Row],[Energy Savings]]),"")</f>
        <v/>
      </c>
      <c r="X21" s="13" t="str">
        <f>IFERROR(VLOOKUP(B21,'Emission Inputs (Optional)'!$G$9:$J$191,4,FALSE),"")</f>
        <v/>
      </c>
      <c r="Y21" s="95" t="str">
        <f>IF(Results!$W21&lt;&gt;"",Results!$W21,IF(X21&lt;&gt;"",(H21-X21),""))</f>
        <v/>
      </c>
      <c r="Z21" s="95" t="str">
        <f t="shared" si="1"/>
        <v/>
      </c>
      <c r="AA21" s="89" t="str">
        <f>IF(Results!$U21="","",IF(U21&lt;&gt;"",U21,0)/SUM(Results!$U$7:$U$189))</f>
        <v/>
      </c>
      <c r="AB21" s="8"/>
      <c r="AC21" s="8"/>
      <c r="AD21" s="8"/>
      <c r="AE21" s="8"/>
      <c r="AF21" s="8"/>
      <c r="AG21" s="8"/>
      <c r="AH21" s="8"/>
      <c r="AI21" s="8"/>
      <c r="AJ21" s="8"/>
      <c r="AK21" s="8"/>
      <c r="AL21" s="8"/>
      <c r="AM21" s="8"/>
      <c r="AN21" s="8"/>
      <c r="AO21" s="8"/>
      <c r="AP21" s="8"/>
      <c r="AQ21" s="8"/>
      <c r="AR21" s="8"/>
      <c r="AS21" s="8"/>
      <c r="AT21" s="8"/>
    </row>
    <row r="22" spans="1:46" x14ac:dyDescent="0.2">
      <c r="A22" s="55" t="str">
        <f>IF(B22&lt;&gt;"",COUNTA($B$7:B22),"")</f>
        <v/>
      </c>
      <c r="B22" s="83"/>
      <c r="C22" s="86"/>
      <c r="D22" s="83" t="str">
        <f>IF(Table13[[#This Row],[Energy Source]]="","",Table13[[#This Row],[Energy Source]])</f>
        <v/>
      </c>
      <c r="E22" s="83" t="str">
        <f>IF(Table13[[#This Row],[Units]]="", "", Table13[[#This Row],[Units]])</f>
        <v/>
      </c>
      <c r="F22" s="83" t="str">
        <f>IF(Table13[[#This Row],[Annual Consumption (Baseline)]]="", "", Table13[[#This Row],[Annual Consumption (Baseline)]])</f>
        <v/>
      </c>
      <c r="G22" s="83" t="str">
        <f>IF(F22="", "", IF(Results!$C22="Energy", VLOOKUP(Results!$E22,'Emission Inputs (Optional)'!$T$10:$U$27,2,FALSE)*Table13[[#This Row],[Energy Savings]], ""))</f>
        <v/>
      </c>
      <c r="H22" s="13" t="str">
        <f>IFERROR(VLOOKUP(B22,'Emission Inputs (Optional)'!$G$9:$I$191,3,FALSE),"")</f>
        <v/>
      </c>
      <c r="I22" s="13" t="str">
        <f>IF(Results!$C22="Energy", VLOOKUP(Results!$E22,'Emission Inputs (Optional)'!$T$10:$U$27,2,FALSE)*Results!$F22, "")</f>
        <v/>
      </c>
      <c r="J22" s="13" t="str">
        <f>IF(Results!$I22&lt;&gt;"",Results!$I22*0.293071,"")</f>
        <v/>
      </c>
      <c r="K22" s="84" t="str">
        <f>IF(Results!$I22&lt;&gt;"",Results!$I22/SUM($I$7:$I$189),"")</f>
        <v/>
      </c>
      <c r="L22" s="13" t="str">
        <f>IF(Results!$F22&lt;&gt;"",I22-G22,"")</f>
        <v/>
      </c>
      <c r="M22" s="13" t="str">
        <f>IF(Results!$L22&lt;&gt;"",Results!$L22*0.293071,"")</f>
        <v/>
      </c>
      <c r="N22" s="84" t="str">
        <f>IF(Results!$M22&lt;&gt;"",Results!$M22/SUM($M$7:$M$189),"")</f>
        <v/>
      </c>
      <c r="O22" s="85" t="str">
        <f>IF(Results!$C22="Energy", VLOOKUP(Results!$D22,'Energy Costs Inputs (Optional)'!$AS$3:$AU$20,2,FALSE)*Results!$I22, "")</f>
        <v/>
      </c>
      <c r="P22" s="84" t="str">
        <f>IF(Results!$O22&lt;&gt;"",Results!$O22/SUM($O$7:$O$189),"")</f>
        <v/>
      </c>
      <c r="Q22" s="85" t="str">
        <f>IF(Results!$C22="Energy", VLOOKUP(Results!$D22,'Energy Costs Inputs (Optional)'!$AS$3:$AU$20,2,FALSE)*Results!$L22, "")</f>
        <v/>
      </c>
      <c r="R22" s="84" t="str">
        <f>IF(Results!$Q22&lt;&gt;"",Results!$Q22/SUM($Q$7:$Q$189),"")</f>
        <v/>
      </c>
      <c r="S22" s="85" t="str">
        <f t="shared" si="0"/>
        <v/>
      </c>
      <c r="T22" s="13" t="str">
        <f>IF(Results!$I22&lt;&gt;"",(HLOOKUP(Table13[[#This Row],[Units]],'Emission Inputs (Optional)'!$L$10:$R$27,MATCH(Table13[[#This Row],[Energy Source]],'Emission Inputs (Optional)'!$L$10:$L$27,0),FALSE))*Table13[[#This Row],[Annual Consumption (Baseline)]],"")</f>
        <v/>
      </c>
      <c r="U22" s="13" t="str">
        <f>IF(Results!$T22&lt;&gt;"",Results!$T22,H22)</f>
        <v/>
      </c>
      <c r="V22" s="84" t="str">
        <f>IF(Results!$U22="","",IF(U22&lt;&gt;"",U22,0)/SUM(Results!$U$7:$U$189))</f>
        <v/>
      </c>
      <c r="W22" s="101" t="str">
        <f>IF(Results!$I22&lt;&gt;"",(HLOOKUP(Table13[[#This Row],[Units]],'Emission Inputs (Optional)'!$L$10:$R$27,MATCH(Table13[[#This Row],[Energy Source]],'Emission Inputs (Optional)'!$L$10:$L$27,0),FALSE))*(Table13[[#This Row],[Annual Consumption (Baseline)]]-Table13[[#This Row],[Energy Savings]]),"")</f>
        <v/>
      </c>
      <c r="X22" s="13" t="str">
        <f>IFERROR(VLOOKUP(B22,'Emission Inputs (Optional)'!$G$9:$J$191,4,FALSE),"")</f>
        <v/>
      </c>
      <c r="Y22" s="95" t="str">
        <f>IF(Results!$W22&lt;&gt;"",Results!$W22,IF(X22&lt;&gt;"",(H22-X22),""))</f>
        <v/>
      </c>
      <c r="Z22" s="95" t="str">
        <f t="shared" si="1"/>
        <v/>
      </c>
      <c r="AA22" s="89" t="str">
        <f>IF(Results!$U22="","",IF(U22&lt;&gt;"",U22,0)/SUM(Results!$U$7:$U$189))</f>
        <v/>
      </c>
      <c r="AB22" s="8"/>
      <c r="AC22" s="8"/>
      <c r="AD22" s="8"/>
      <c r="AE22" s="8"/>
      <c r="AF22" s="8"/>
      <c r="AG22" s="8"/>
      <c r="AH22" s="8"/>
      <c r="AI22" s="8"/>
      <c r="AJ22" s="8"/>
      <c r="AK22" s="8"/>
      <c r="AL22" s="8"/>
      <c r="AM22" s="8"/>
      <c r="AN22" s="8"/>
      <c r="AO22" s="8"/>
      <c r="AP22" s="8"/>
      <c r="AQ22" s="8"/>
      <c r="AR22" s="8"/>
      <c r="AS22" s="8"/>
      <c r="AT22" s="8"/>
    </row>
    <row r="23" spans="1:46" x14ac:dyDescent="0.2">
      <c r="A23" s="55" t="str">
        <f>IF(B23&lt;&gt;"",COUNTA($B$7:B23),"")</f>
        <v/>
      </c>
      <c r="B23" s="83"/>
      <c r="C23" s="86"/>
      <c r="D23" s="83" t="str">
        <f>IF(Table13[[#This Row],[Energy Source]]="","",Table13[[#This Row],[Energy Source]])</f>
        <v/>
      </c>
      <c r="E23" s="83" t="str">
        <f>IF(Table13[[#This Row],[Units]]="", "", Table13[[#This Row],[Units]])</f>
        <v/>
      </c>
      <c r="F23" s="83" t="str">
        <f>IF(Table13[[#This Row],[Annual Consumption (Baseline)]]="", "", Table13[[#This Row],[Annual Consumption (Baseline)]])</f>
        <v/>
      </c>
      <c r="G23" s="83" t="str">
        <f>IF(F23="", "", IF(Results!$C23="Energy", VLOOKUP(Results!$E23,'Emission Inputs (Optional)'!$T$10:$U$27,2,FALSE)*Table13[[#This Row],[Energy Savings]], ""))</f>
        <v/>
      </c>
      <c r="H23" s="13" t="str">
        <f>IFERROR(VLOOKUP(B23,'Emission Inputs (Optional)'!$G$9:$I$191,3,FALSE),"")</f>
        <v/>
      </c>
      <c r="I23" s="13" t="str">
        <f>IF(Results!$C23="Energy", VLOOKUP(Results!$E23,'Emission Inputs (Optional)'!$T$10:$U$27,2,FALSE)*Results!$F23, "")</f>
        <v/>
      </c>
      <c r="J23" s="13" t="str">
        <f>IF(Results!$I23&lt;&gt;"",Results!$I23*0.293071,"")</f>
        <v/>
      </c>
      <c r="K23" s="84" t="str">
        <f>IF(Results!$I23&lt;&gt;"",Results!$I23/SUM($I$7:$I$189),"")</f>
        <v/>
      </c>
      <c r="L23" s="13" t="str">
        <f>IF(Results!$F23&lt;&gt;"",I23-G23,"")</f>
        <v/>
      </c>
      <c r="M23" s="13" t="str">
        <f>IF(Results!$L23&lt;&gt;"",Results!$L23*0.293071,"")</f>
        <v/>
      </c>
      <c r="N23" s="84" t="str">
        <f>IF(Results!$M23&lt;&gt;"",Results!$M23/SUM($M$7:$M$189),"")</f>
        <v/>
      </c>
      <c r="O23" s="85" t="str">
        <f>IF(Results!$C23="Energy", VLOOKUP(Results!$D23,'Energy Costs Inputs (Optional)'!$AS$3:$AU$20,2,FALSE)*Results!$I23, "")</f>
        <v/>
      </c>
      <c r="P23" s="84" t="str">
        <f>IF(Results!$O23&lt;&gt;"",Results!$O23/SUM($O$7:$O$189),"")</f>
        <v/>
      </c>
      <c r="Q23" s="85" t="str">
        <f>IF(Results!$C23="Energy", VLOOKUP(Results!$D23,'Energy Costs Inputs (Optional)'!$AS$3:$AU$20,2,FALSE)*Results!$L23, "")</f>
        <v/>
      </c>
      <c r="R23" s="84" t="str">
        <f>IF(Results!$Q23&lt;&gt;"",Results!$Q23/SUM($Q$7:$Q$189),"")</f>
        <v/>
      </c>
      <c r="S23" s="85" t="str">
        <f t="shared" si="0"/>
        <v/>
      </c>
      <c r="T23" s="13" t="str">
        <f>IF(Results!$I23&lt;&gt;"",(HLOOKUP(Table13[[#This Row],[Units]],'Emission Inputs (Optional)'!$L$10:$R$27,MATCH(Table13[[#This Row],[Energy Source]],'Emission Inputs (Optional)'!$L$10:$L$27,0),FALSE))*Table13[[#This Row],[Annual Consumption (Baseline)]],"")</f>
        <v/>
      </c>
      <c r="U23" s="13" t="str">
        <f>IF(Results!$T23&lt;&gt;"",Results!$T23,H23)</f>
        <v/>
      </c>
      <c r="V23" s="84" t="str">
        <f>IF(Results!$U23="","",IF(U23&lt;&gt;"",U23,0)/SUM(Results!$U$7:$U$189))</f>
        <v/>
      </c>
      <c r="W23" s="101" t="str">
        <f>IF(Results!$I23&lt;&gt;"",(HLOOKUP(Table13[[#This Row],[Units]],'Emission Inputs (Optional)'!$L$10:$R$27,MATCH(Table13[[#This Row],[Energy Source]],'Emission Inputs (Optional)'!$L$10:$L$27,0),FALSE))*(Table13[[#This Row],[Annual Consumption (Baseline)]]-Table13[[#This Row],[Energy Savings]]),"")</f>
        <v/>
      </c>
      <c r="X23" s="13" t="str">
        <f>IFERROR(VLOOKUP(B23,'Emission Inputs (Optional)'!$G$9:$J$191,4,FALSE),"")</f>
        <v/>
      </c>
      <c r="Y23" s="95" t="str">
        <f>IF(Results!$W23&lt;&gt;"",Results!$W23,IF(X23&lt;&gt;"",(H23-X23),""))</f>
        <v/>
      </c>
      <c r="Z23" s="95" t="str">
        <f t="shared" si="1"/>
        <v/>
      </c>
      <c r="AA23" s="89" t="str">
        <f>IF(Results!$U23="","",IF(U23&lt;&gt;"",U23,0)/SUM(Results!$U$7:$U$189))</f>
        <v/>
      </c>
      <c r="AB23" s="8"/>
      <c r="AC23" s="8"/>
      <c r="AD23" s="8"/>
      <c r="AE23" s="8"/>
      <c r="AF23" s="8"/>
      <c r="AG23" s="8"/>
      <c r="AH23" s="8"/>
      <c r="AI23" s="8"/>
      <c r="AJ23" s="8"/>
      <c r="AK23" s="8"/>
      <c r="AL23" s="8"/>
      <c r="AM23" s="8"/>
      <c r="AN23" s="8"/>
      <c r="AO23" s="8"/>
      <c r="AP23" s="8"/>
      <c r="AQ23" s="8"/>
      <c r="AR23" s="8"/>
      <c r="AS23" s="8"/>
      <c r="AT23" s="8"/>
    </row>
    <row r="24" spans="1:46" x14ac:dyDescent="0.2">
      <c r="A24" s="55" t="str">
        <f>IF(B24&lt;&gt;"",COUNTA($B$7:B24),"")</f>
        <v/>
      </c>
      <c r="B24" s="83"/>
      <c r="C24" s="86"/>
      <c r="D24" s="83" t="str">
        <f>IF(Table13[[#This Row],[Energy Source]]="","",Table13[[#This Row],[Energy Source]])</f>
        <v/>
      </c>
      <c r="E24" s="83" t="str">
        <f>IF(Table13[[#This Row],[Units]]="", "", Table13[[#This Row],[Units]])</f>
        <v/>
      </c>
      <c r="F24" s="83" t="str">
        <f>IF(Table13[[#This Row],[Annual Consumption (Baseline)]]="", "", Table13[[#This Row],[Annual Consumption (Baseline)]])</f>
        <v/>
      </c>
      <c r="G24" s="83" t="str">
        <f>IF(F24="", "", IF(Results!$C24="Energy", VLOOKUP(Results!$E24,'Emission Inputs (Optional)'!$T$10:$U$27,2,FALSE)*Table13[[#This Row],[Energy Savings]], ""))</f>
        <v/>
      </c>
      <c r="H24" s="13" t="str">
        <f>IFERROR(VLOOKUP(B24,'Emission Inputs (Optional)'!$G$9:$I$191,3,FALSE),"")</f>
        <v/>
      </c>
      <c r="I24" s="13" t="str">
        <f>IF(Results!$C24="Energy", VLOOKUP(Results!$E24,'Emission Inputs (Optional)'!$T$10:$U$27,2,FALSE)*Results!$F24, "")</f>
        <v/>
      </c>
      <c r="J24" s="13" t="str">
        <f>IF(Results!$I24&lt;&gt;"",Results!$I24*0.293071,"")</f>
        <v/>
      </c>
      <c r="K24" s="84" t="str">
        <f>IF(Results!$I24&lt;&gt;"",Results!$I24/SUM($I$7:$I$189),"")</f>
        <v/>
      </c>
      <c r="L24" s="13" t="str">
        <f>IF(Results!$F24&lt;&gt;"",I24-G24,"")</f>
        <v/>
      </c>
      <c r="M24" s="13" t="str">
        <f>IF(Results!$L24&lt;&gt;"",Results!$L24*0.293071,"")</f>
        <v/>
      </c>
      <c r="N24" s="84" t="str">
        <f>IF(Results!$M24&lt;&gt;"",Results!$M24/SUM($M$7:$M$189),"")</f>
        <v/>
      </c>
      <c r="O24" s="85" t="str">
        <f>IF(Results!$C24="Energy", VLOOKUP(Results!$D24,'Energy Costs Inputs (Optional)'!$AS$3:$AU$20,2,FALSE)*Results!$I24, "")</f>
        <v/>
      </c>
      <c r="P24" s="84" t="str">
        <f>IF(Results!$O24&lt;&gt;"",Results!$O24/SUM($O$7:$O$189),"")</f>
        <v/>
      </c>
      <c r="Q24" s="85" t="str">
        <f>IF(Results!$C24="Energy", VLOOKUP(Results!$D24,'Energy Costs Inputs (Optional)'!$AS$3:$AU$20,2,FALSE)*Results!$L24, "")</f>
        <v/>
      </c>
      <c r="R24" s="84" t="str">
        <f>IF(Results!$Q24&lt;&gt;"",Results!$Q24/SUM($Q$7:$Q$189),"")</f>
        <v/>
      </c>
      <c r="S24" s="85" t="str">
        <f t="shared" si="0"/>
        <v/>
      </c>
      <c r="T24" s="13" t="str">
        <f>IF(Results!$I24&lt;&gt;"",(HLOOKUP(Table13[[#This Row],[Units]],'Emission Inputs (Optional)'!$L$10:$R$27,MATCH(Table13[[#This Row],[Energy Source]],'Emission Inputs (Optional)'!$L$10:$L$27,0),FALSE))*Table13[[#This Row],[Annual Consumption (Baseline)]],"")</f>
        <v/>
      </c>
      <c r="U24" s="13" t="str">
        <f>IF(Results!$T24&lt;&gt;"",Results!$T24,H24)</f>
        <v/>
      </c>
      <c r="V24" s="84" t="str">
        <f>IF(Results!$U24="","",IF(U24&lt;&gt;"",U24,0)/SUM(Results!$U$7:$U$189))</f>
        <v/>
      </c>
      <c r="W24" s="101" t="str">
        <f>IF(Results!$I24&lt;&gt;"",(HLOOKUP(Table13[[#This Row],[Units]],'Emission Inputs (Optional)'!$L$10:$R$27,MATCH(Table13[[#This Row],[Energy Source]],'Emission Inputs (Optional)'!$L$10:$L$27,0),FALSE))*(Table13[[#This Row],[Annual Consumption (Baseline)]]-Table13[[#This Row],[Energy Savings]]),"")</f>
        <v/>
      </c>
      <c r="X24" s="13" t="str">
        <f>IFERROR(VLOOKUP(B24,'Emission Inputs (Optional)'!$G$9:$J$191,4,FALSE),"")</f>
        <v/>
      </c>
      <c r="Y24" s="95" t="str">
        <f>IF(Results!$W24&lt;&gt;"",Results!$W24,IF(X24&lt;&gt;"",(H24-X24),""))</f>
        <v/>
      </c>
      <c r="Z24" s="95" t="str">
        <f t="shared" si="1"/>
        <v/>
      </c>
      <c r="AA24" s="89" t="str">
        <f>IF(Results!$U24="","",IF(U24&lt;&gt;"",U24,0)/SUM(Results!$U$7:$U$189))</f>
        <v/>
      </c>
      <c r="AB24" s="8"/>
      <c r="AC24" s="8"/>
      <c r="AD24" s="8"/>
      <c r="AE24" s="8"/>
      <c r="AF24" s="8"/>
      <c r="AG24" s="8"/>
      <c r="AH24" s="8"/>
      <c r="AI24" s="8"/>
      <c r="AJ24" s="8"/>
      <c r="AK24" s="8"/>
      <c r="AL24" s="8"/>
      <c r="AM24" s="8"/>
      <c r="AN24" s="8"/>
      <c r="AO24" s="8"/>
      <c r="AP24" s="8"/>
      <c r="AQ24" s="8"/>
      <c r="AR24" s="8"/>
      <c r="AS24" s="8"/>
      <c r="AT24" s="8"/>
    </row>
    <row r="25" spans="1:46" x14ac:dyDescent="0.2">
      <c r="A25" s="55" t="str">
        <f>IF(B25&lt;&gt;"",COUNTA($B$7:B25),"")</f>
        <v/>
      </c>
      <c r="B25" s="83"/>
      <c r="C25" s="86"/>
      <c r="D25" s="83" t="str">
        <f>IF(Table13[[#This Row],[Energy Source]]="","",Table13[[#This Row],[Energy Source]])</f>
        <v/>
      </c>
      <c r="E25" s="83" t="str">
        <f>IF(Table13[[#This Row],[Units]]="", "", Table13[[#This Row],[Units]])</f>
        <v/>
      </c>
      <c r="F25" s="83" t="str">
        <f>IF(Table13[[#This Row],[Annual Consumption (Baseline)]]="", "", Table13[[#This Row],[Annual Consumption (Baseline)]])</f>
        <v/>
      </c>
      <c r="G25" s="83" t="str">
        <f>IF(F25="", "", IF(Results!$C25="Energy", VLOOKUP(Results!$E25,'Emission Inputs (Optional)'!$T$10:$U$27,2,FALSE)*Table13[[#This Row],[Energy Savings]], ""))</f>
        <v/>
      </c>
      <c r="H25" s="13" t="str">
        <f>IFERROR(VLOOKUP(B25,'Emission Inputs (Optional)'!$G$9:$I$191,3,FALSE),"")</f>
        <v/>
      </c>
      <c r="I25" s="13" t="str">
        <f>IF(Results!$C25="Energy", VLOOKUP(Results!$E25,'Emission Inputs (Optional)'!$T$10:$U$27,2,FALSE)*Results!$F25, "")</f>
        <v/>
      </c>
      <c r="J25" s="13" t="str">
        <f>IF(Results!$I25&lt;&gt;"",Results!$I25*0.293071,"")</f>
        <v/>
      </c>
      <c r="K25" s="84" t="str">
        <f>IF(Results!$I25&lt;&gt;"",Results!$I25/SUM($I$7:$I$189),"")</f>
        <v/>
      </c>
      <c r="L25" s="13" t="str">
        <f>IF(Results!$F25&lt;&gt;"",I25-G25,"")</f>
        <v/>
      </c>
      <c r="M25" s="13" t="str">
        <f>IF(Results!$L25&lt;&gt;"",Results!$L25*0.293071,"")</f>
        <v/>
      </c>
      <c r="N25" s="84" t="str">
        <f>IF(Results!$M25&lt;&gt;"",Results!$M25/SUM($M$7:$M$189),"")</f>
        <v/>
      </c>
      <c r="O25" s="85" t="str">
        <f>IF(Results!$C25="Energy", VLOOKUP(Results!$D25,'Energy Costs Inputs (Optional)'!$AS$3:$AU$20,2,FALSE)*Results!$I25, "")</f>
        <v/>
      </c>
      <c r="P25" s="84" t="str">
        <f>IF(Results!$O25&lt;&gt;"",Results!$O25/SUM($O$7:$O$189),"")</f>
        <v/>
      </c>
      <c r="Q25" s="85" t="str">
        <f>IF(Results!$C25="Energy", VLOOKUP(Results!$D25,'Energy Costs Inputs (Optional)'!$AS$3:$AU$20,2,FALSE)*Results!$L25, "")</f>
        <v/>
      </c>
      <c r="R25" s="84" t="str">
        <f>IF(Results!$Q25&lt;&gt;"",Results!$Q25/SUM($Q$7:$Q$189),"")</f>
        <v/>
      </c>
      <c r="S25" s="85" t="str">
        <f t="shared" si="0"/>
        <v/>
      </c>
      <c r="T25" s="13" t="str">
        <f>IF(Results!$I25&lt;&gt;"",(HLOOKUP(Table13[[#This Row],[Units]],'Emission Inputs (Optional)'!$L$10:$R$27,MATCH(Table13[[#This Row],[Energy Source]],'Emission Inputs (Optional)'!$L$10:$L$27,0),FALSE))*Table13[[#This Row],[Annual Consumption (Baseline)]],"")</f>
        <v/>
      </c>
      <c r="U25" s="13" t="str">
        <f>IF(Results!$T25&lt;&gt;"",Results!$T25,H25)</f>
        <v/>
      </c>
      <c r="V25" s="84" t="str">
        <f>IF(Results!$U25="","",IF(U25&lt;&gt;"",U25,0)/SUM(Results!$U$7:$U$189))</f>
        <v/>
      </c>
      <c r="W25" s="101" t="str">
        <f>IF(Results!$I25&lt;&gt;"",(HLOOKUP(Table13[[#This Row],[Units]],'Emission Inputs (Optional)'!$L$10:$R$27,MATCH(Table13[[#This Row],[Energy Source]],'Emission Inputs (Optional)'!$L$10:$L$27,0),FALSE))*(Table13[[#This Row],[Annual Consumption (Baseline)]]-Table13[[#This Row],[Energy Savings]]),"")</f>
        <v/>
      </c>
      <c r="X25" s="13" t="str">
        <f>IFERROR(VLOOKUP(B25,'Emission Inputs (Optional)'!$G$9:$J$191,4,FALSE),"")</f>
        <v/>
      </c>
      <c r="Y25" s="95" t="str">
        <f>IF(Results!$W25&lt;&gt;"",Results!$W25,IF(X25&lt;&gt;"",(H25-X25),""))</f>
        <v/>
      </c>
      <c r="Z25" s="95" t="str">
        <f t="shared" si="1"/>
        <v/>
      </c>
      <c r="AA25" s="89" t="str">
        <f>IF(Results!$U25="","",IF(U25&lt;&gt;"",U25,0)/SUM(Results!$U$7:$U$189))</f>
        <v/>
      </c>
      <c r="AB25" s="8"/>
      <c r="AC25" s="8"/>
      <c r="AD25" s="8"/>
      <c r="AE25" s="8"/>
      <c r="AF25" s="8"/>
      <c r="AG25" s="8"/>
      <c r="AH25" s="8"/>
      <c r="AI25" s="8"/>
      <c r="AJ25" s="8"/>
      <c r="AK25" s="8"/>
      <c r="AL25" s="8"/>
      <c r="AM25" s="8"/>
      <c r="AN25" s="8"/>
      <c r="AO25" s="8"/>
      <c r="AP25" s="8"/>
      <c r="AQ25" s="8"/>
      <c r="AR25" s="8"/>
      <c r="AS25" s="8"/>
      <c r="AT25" s="8"/>
    </row>
    <row r="26" spans="1:46" x14ac:dyDescent="0.2">
      <c r="A26" s="55" t="str">
        <f>IF(B26&lt;&gt;"",COUNTA($B$7:B26),"")</f>
        <v/>
      </c>
      <c r="B26" s="83"/>
      <c r="C26" s="86"/>
      <c r="D26" s="83" t="str">
        <f>IF(Table13[[#This Row],[Energy Source]]="","",Table13[[#This Row],[Energy Source]])</f>
        <v/>
      </c>
      <c r="E26" s="83" t="str">
        <f>IF(Table13[[#This Row],[Units]]="", "", Table13[[#This Row],[Units]])</f>
        <v/>
      </c>
      <c r="F26" s="83" t="str">
        <f>IF(Table13[[#This Row],[Annual Consumption (Baseline)]]="", "", Table13[[#This Row],[Annual Consumption (Baseline)]])</f>
        <v/>
      </c>
      <c r="G26" s="83" t="str">
        <f>IF(F26="", "", IF(Results!$C26="Energy", VLOOKUP(Results!$E26,'Emission Inputs (Optional)'!$T$10:$U$27,2,FALSE)*Table13[[#This Row],[Energy Savings]], ""))</f>
        <v/>
      </c>
      <c r="H26" s="13" t="str">
        <f>IFERROR(VLOOKUP(B26,'Emission Inputs (Optional)'!$G$9:$I$191,3,FALSE),"")</f>
        <v/>
      </c>
      <c r="I26" s="13" t="str">
        <f>IF(Results!$C26="Energy", VLOOKUP(Results!$E26,'Emission Inputs (Optional)'!$T$10:$U$27,2,FALSE)*Results!$F26, "")</f>
        <v/>
      </c>
      <c r="J26" s="13" t="str">
        <f>IF(Results!$I26&lt;&gt;"",Results!$I26*0.293071,"")</f>
        <v/>
      </c>
      <c r="K26" s="84" t="str">
        <f>IF(Results!$I26&lt;&gt;"",Results!$I26/SUM($I$7:$I$189),"")</f>
        <v/>
      </c>
      <c r="L26" s="13" t="str">
        <f>IF(Results!$F26&lt;&gt;"",I26-G26,"")</f>
        <v/>
      </c>
      <c r="M26" s="13" t="str">
        <f>IF(Results!$L26&lt;&gt;"",Results!$L26*0.293071,"")</f>
        <v/>
      </c>
      <c r="N26" s="84" t="str">
        <f>IF(Results!$M26&lt;&gt;"",Results!$M26/SUM($M$7:$M$189),"")</f>
        <v/>
      </c>
      <c r="O26" s="85" t="str">
        <f>IF(Results!$C26="Energy", VLOOKUP(Results!$D26,'Energy Costs Inputs (Optional)'!$AS$3:$AU$20,2,FALSE)*Results!$I26, "")</f>
        <v/>
      </c>
      <c r="P26" s="84" t="str">
        <f>IF(Results!$O26&lt;&gt;"",Results!$O26/SUM($O$7:$O$189),"")</f>
        <v/>
      </c>
      <c r="Q26" s="85" t="str">
        <f>IF(Results!$C26="Energy", VLOOKUP(Results!$D26,'Energy Costs Inputs (Optional)'!$AS$3:$AU$20,2,FALSE)*Results!$L26, "")</f>
        <v/>
      </c>
      <c r="R26" s="84" t="str">
        <f>IF(Results!$Q26&lt;&gt;"",Results!$Q26/SUM($Q$7:$Q$189),"")</f>
        <v/>
      </c>
      <c r="S26" s="85" t="str">
        <f t="shared" si="0"/>
        <v/>
      </c>
      <c r="T26" s="13" t="str">
        <f>IF(Results!$I26&lt;&gt;"",(HLOOKUP(Table13[[#This Row],[Units]],'Emission Inputs (Optional)'!$L$10:$R$27,MATCH(Table13[[#This Row],[Energy Source]],'Emission Inputs (Optional)'!$L$10:$L$27,0),FALSE))*Table13[[#This Row],[Annual Consumption (Baseline)]],"")</f>
        <v/>
      </c>
      <c r="U26" s="13" t="str">
        <f>IF(Results!$T26&lt;&gt;"",Results!$T26,H26)</f>
        <v/>
      </c>
      <c r="V26" s="84" t="str">
        <f>IF(Results!$U26="","",IF(U26&lt;&gt;"",U26,0)/SUM(Results!$U$7:$U$189))</f>
        <v/>
      </c>
      <c r="W26" s="101" t="str">
        <f>IF(Results!$I26&lt;&gt;"",(HLOOKUP(Table13[[#This Row],[Units]],'Emission Inputs (Optional)'!$L$10:$R$27,MATCH(Table13[[#This Row],[Energy Source]],'Emission Inputs (Optional)'!$L$10:$L$27,0),FALSE))*(Table13[[#This Row],[Annual Consumption (Baseline)]]-Table13[[#This Row],[Energy Savings]]),"")</f>
        <v/>
      </c>
      <c r="X26" s="13" t="str">
        <f>IFERROR(VLOOKUP(B26,'Emission Inputs (Optional)'!$G$9:$J$191,4,FALSE),"")</f>
        <v/>
      </c>
      <c r="Y26" s="95" t="str">
        <f>IF(Results!$W26&lt;&gt;"",Results!$W26,IF(X26&lt;&gt;"",(H26-X26),""))</f>
        <v/>
      </c>
      <c r="Z26" s="95" t="str">
        <f t="shared" si="1"/>
        <v/>
      </c>
      <c r="AA26" s="89" t="str">
        <f>IF(Results!$U26="","",IF(U26&lt;&gt;"",U26,0)/SUM(Results!$U$7:$U$189))</f>
        <v/>
      </c>
      <c r="AB26" s="8"/>
      <c r="AC26" s="8"/>
      <c r="AD26" s="8"/>
      <c r="AE26" s="8"/>
      <c r="AF26" s="8"/>
      <c r="AG26" s="8"/>
      <c r="AH26" s="8"/>
      <c r="AI26" s="8"/>
      <c r="AJ26" s="8"/>
      <c r="AK26" s="8"/>
      <c r="AL26" s="8"/>
      <c r="AM26" s="8"/>
      <c r="AN26" s="8"/>
      <c r="AO26" s="8"/>
      <c r="AP26" s="8"/>
      <c r="AQ26" s="8"/>
      <c r="AR26" s="8"/>
      <c r="AS26" s="8"/>
      <c r="AT26" s="8"/>
    </row>
    <row r="27" spans="1:46" x14ac:dyDescent="0.2">
      <c r="A27" s="55" t="str">
        <f>IF(B27&lt;&gt;"",COUNTA($B$7:B27),"")</f>
        <v/>
      </c>
      <c r="B27" s="83"/>
      <c r="C27" s="86"/>
      <c r="D27" s="83" t="str">
        <f>IF(Table13[[#This Row],[Energy Source]]="","",Table13[[#This Row],[Energy Source]])</f>
        <v/>
      </c>
      <c r="E27" s="83" t="str">
        <f>IF(Table13[[#This Row],[Units]]="", "", Table13[[#This Row],[Units]])</f>
        <v/>
      </c>
      <c r="F27" s="83" t="str">
        <f>IF(Table13[[#This Row],[Annual Consumption (Baseline)]]="", "", Table13[[#This Row],[Annual Consumption (Baseline)]])</f>
        <v/>
      </c>
      <c r="G27" s="83" t="str">
        <f>IF(F27="", "", IF(Results!$C27="Energy", VLOOKUP(Results!$E27,'Emission Inputs (Optional)'!$T$10:$U$27,2,FALSE)*Table13[[#This Row],[Energy Savings]], ""))</f>
        <v/>
      </c>
      <c r="H27" s="13" t="str">
        <f>IFERROR(VLOOKUP(B27,'Emission Inputs (Optional)'!$G$9:$I$191,3,FALSE),"")</f>
        <v/>
      </c>
      <c r="I27" s="13" t="str">
        <f>IF(Results!$C27="Energy", VLOOKUP(Results!$E27,'Emission Inputs (Optional)'!$T$10:$U$27,2,FALSE)*Results!$F27, "")</f>
        <v/>
      </c>
      <c r="J27" s="13" t="str">
        <f>IF(Results!$I27&lt;&gt;"",Results!$I27*0.293071,"")</f>
        <v/>
      </c>
      <c r="K27" s="84" t="str">
        <f>IF(Results!$I27&lt;&gt;"",Results!$I27/SUM($I$7:$I$189),"")</f>
        <v/>
      </c>
      <c r="L27" s="13" t="str">
        <f>IF(Results!$F27&lt;&gt;"",I27-G27,"")</f>
        <v/>
      </c>
      <c r="M27" s="13" t="str">
        <f>IF(Results!$L27&lt;&gt;"",Results!$L27*0.293071,"")</f>
        <v/>
      </c>
      <c r="N27" s="84" t="str">
        <f>IF(Results!$M27&lt;&gt;"",Results!$M27/SUM($M$7:$M$189),"")</f>
        <v/>
      </c>
      <c r="O27" s="85" t="str">
        <f>IF(Results!$C27="Energy", VLOOKUP(Results!$D27,'Energy Costs Inputs (Optional)'!$AS$3:$AU$20,2,FALSE)*Results!$I27, "")</f>
        <v/>
      </c>
      <c r="P27" s="84" t="str">
        <f>IF(Results!$O27&lt;&gt;"",Results!$O27/SUM($O$7:$O$189),"")</f>
        <v/>
      </c>
      <c r="Q27" s="85" t="str">
        <f>IF(Results!$C27="Energy", VLOOKUP(Results!$D27,'Energy Costs Inputs (Optional)'!$AS$3:$AU$20,2,FALSE)*Results!$L27, "")</f>
        <v/>
      </c>
      <c r="R27" s="84" t="str">
        <f>IF(Results!$Q27&lt;&gt;"",Results!$Q27/SUM($Q$7:$Q$189),"")</f>
        <v/>
      </c>
      <c r="S27" s="85" t="str">
        <f t="shared" si="0"/>
        <v/>
      </c>
      <c r="T27" s="13" t="str">
        <f>IF(Results!$I27&lt;&gt;"",(HLOOKUP(Table13[[#This Row],[Units]],'Emission Inputs (Optional)'!$L$10:$R$27,MATCH(Table13[[#This Row],[Energy Source]],'Emission Inputs (Optional)'!$L$10:$L$27,0),FALSE))*Table13[[#This Row],[Annual Consumption (Baseline)]],"")</f>
        <v/>
      </c>
      <c r="U27" s="13" t="str">
        <f>IF(Results!$T27&lt;&gt;"",Results!$T27,H27)</f>
        <v/>
      </c>
      <c r="V27" s="84" t="str">
        <f>IF(Results!$U27="","",IF(U27&lt;&gt;"",U27,0)/SUM(Results!$U$7:$U$189))</f>
        <v/>
      </c>
      <c r="W27" s="101" t="str">
        <f>IF(Results!$I27&lt;&gt;"",(HLOOKUP(Table13[[#This Row],[Units]],'Emission Inputs (Optional)'!$L$10:$R$27,MATCH(Table13[[#This Row],[Energy Source]],'Emission Inputs (Optional)'!$L$10:$L$27,0),FALSE))*(Table13[[#This Row],[Annual Consumption (Baseline)]]-Table13[[#This Row],[Energy Savings]]),"")</f>
        <v/>
      </c>
      <c r="X27" s="13" t="str">
        <f>IFERROR(VLOOKUP(B27,'Emission Inputs (Optional)'!$G$9:$J$191,4,FALSE),"")</f>
        <v/>
      </c>
      <c r="Y27" s="95" t="str">
        <f>IF(Results!$W27&lt;&gt;"",Results!$W27,IF(X27&lt;&gt;"",(H27-X27),""))</f>
        <v/>
      </c>
      <c r="Z27" s="95" t="str">
        <f t="shared" si="1"/>
        <v/>
      </c>
      <c r="AA27" s="89" t="str">
        <f>IF(Results!$U27="","",IF(U27&lt;&gt;"",U27,0)/SUM(Results!$U$7:$U$189))</f>
        <v/>
      </c>
      <c r="AB27" s="8"/>
      <c r="AC27" s="8"/>
      <c r="AD27" s="8"/>
      <c r="AE27" s="8"/>
      <c r="AF27" s="8"/>
      <c r="AG27" s="8"/>
      <c r="AH27" s="8"/>
      <c r="AI27" s="8"/>
      <c r="AJ27" s="8"/>
      <c r="AK27" s="8"/>
      <c r="AL27" s="8"/>
      <c r="AM27" s="8"/>
      <c r="AN27" s="8"/>
      <c r="AO27" s="8"/>
      <c r="AP27" s="8"/>
      <c r="AQ27" s="8"/>
      <c r="AR27" s="8"/>
      <c r="AS27" s="8"/>
      <c r="AT27" s="8"/>
    </row>
    <row r="28" spans="1:46" x14ac:dyDescent="0.2">
      <c r="A28" s="55" t="str">
        <f>IF(B28&lt;&gt;"",COUNTA($B$7:B28),"")</f>
        <v/>
      </c>
      <c r="B28" s="83"/>
      <c r="C28" s="86"/>
      <c r="D28" s="83" t="str">
        <f>IF(Table13[[#This Row],[Energy Source]]="","",Table13[[#This Row],[Energy Source]])</f>
        <v/>
      </c>
      <c r="E28" s="83" t="str">
        <f>IF(Table13[[#This Row],[Units]]="", "", Table13[[#This Row],[Units]])</f>
        <v/>
      </c>
      <c r="F28" s="83" t="str">
        <f>IF(Table13[[#This Row],[Annual Consumption (Baseline)]]="", "", Table13[[#This Row],[Annual Consumption (Baseline)]])</f>
        <v/>
      </c>
      <c r="G28" s="83" t="str">
        <f>IF(F28="", "", IF(Results!$C28="Energy", VLOOKUP(Results!$E28,'Emission Inputs (Optional)'!$T$10:$U$27,2,FALSE)*Table13[[#This Row],[Energy Savings]], ""))</f>
        <v/>
      </c>
      <c r="H28" s="13" t="str">
        <f>IFERROR(VLOOKUP(B28,'Emission Inputs (Optional)'!$G$9:$I$191,3,FALSE),"")</f>
        <v/>
      </c>
      <c r="I28" s="13" t="str">
        <f>IF(Results!$C28="Energy", VLOOKUP(Results!$E28,'Emission Inputs (Optional)'!$T$10:$U$27,2,FALSE)*Results!$F28, "")</f>
        <v/>
      </c>
      <c r="J28" s="13" t="str">
        <f>IF(Results!$I28&lt;&gt;"",Results!$I28*0.293071,"")</f>
        <v/>
      </c>
      <c r="K28" s="84" t="str">
        <f>IF(Results!$I28&lt;&gt;"",Results!$I28/SUM($I$7:$I$189),"")</f>
        <v/>
      </c>
      <c r="L28" s="13" t="str">
        <f>IF(Results!$F28&lt;&gt;"",I28-G28,"")</f>
        <v/>
      </c>
      <c r="M28" s="13" t="str">
        <f>IF(Results!$L28&lt;&gt;"",Results!$L28*0.293071,"")</f>
        <v/>
      </c>
      <c r="N28" s="84" t="str">
        <f>IF(Results!$M28&lt;&gt;"",Results!$M28/SUM($M$7:$M$189),"")</f>
        <v/>
      </c>
      <c r="O28" s="85" t="str">
        <f>IF(Results!$C28="Energy", VLOOKUP(Results!$D28,'Energy Costs Inputs (Optional)'!$AS$3:$AU$20,2,FALSE)*Results!$I28, "")</f>
        <v/>
      </c>
      <c r="P28" s="84" t="str">
        <f>IF(Results!$O28&lt;&gt;"",Results!$O28/SUM($O$7:$O$189),"")</f>
        <v/>
      </c>
      <c r="Q28" s="85" t="str">
        <f>IF(Results!$C28="Energy", VLOOKUP(Results!$D28,'Energy Costs Inputs (Optional)'!$AS$3:$AU$20,2,FALSE)*Results!$L28, "")</f>
        <v/>
      </c>
      <c r="R28" s="84" t="str">
        <f>IF(Results!$Q28&lt;&gt;"",Results!$Q28/SUM($Q$7:$Q$189),"")</f>
        <v/>
      </c>
      <c r="S28" s="85" t="str">
        <f t="shared" si="0"/>
        <v/>
      </c>
      <c r="T28" s="13" t="str">
        <f>IF(Results!$I28&lt;&gt;"",(HLOOKUP(Table13[[#This Row],[Units]],'Emission Inputs (Optional)'!$L$10:$R$27,MATCH(Table13[[#This Row],[Energy Source]],'Emission Inputs (Optional)'!$L$10:$L$27,0),FALSE))*Table13[[#This Row],[Annual Consumption (Baseline)]],"")</f>
        <v/>
      </c>
      <c r="U28" s="13" t="str">
        <f>IF(Results!$T28&lt;&gt;"",Results!$T28,H28)</f>
        <v/>
      </c>
      <c r="V28" s="84" t="str">
        <f>IF(Results!$U28="","",IF(U28&lt;&gt;"",U28,0)/SUM(Results!$U$7:$U$189))</f>
        <v/>
      </c>
      <c r="W28" s="101" t="str">
        <f>IF(Results!$I28&lt;&gt;"",(HLOOKUP(Table13[[#This Row],[Units]],'Emission Inputs (Optional)'!$L$10:$R$27,MATCH(Table13[[#This Row],[Energy Source]],'Emission Inputs (Optional)'!$L$10:$L$27,0),FALSE))*(Table13[[#This Row],[Annual Consumption (Baseline)]]-Table13[[#This Row],[Energy Savings]]),"")</f>
        <v/>
      </c>
      <c r="X28" s="13" t="str">
        <f>IFERROR(VLOOKUP(B28,'Emission Inputs (Optional)'!$G$9:$J$191,4,FALSE),"")</f>
        <v/>
      </c>
      <c r="Y28" s="95" t="str">
        <f>IF(Results!$W28&lt;&gt;"",Results!$W28,IF(X28&lt;&gt;"",(H28-X28),""))</f>
        <v/>
      </c>
      <c r="Z28" s="95" t="str">
        <f t="shared" si="1"/>
        <v/>
      </c>
      <c r="AA28" s="89" t="str">
        <f>IF(Results!$U28="","",IF(U28&lt;&gt;"",U28,0)/SUM(Results!$U$7:$U$189))</f>
        <v/>
      </c>
      <c r="AB28" s="8"/>
      <c r="AC28" s="8"/>
      <c r="AD28" s="8"/>
      <c r="AE28" s="8"/>
      <c r="AF28" s="8"/>
      <c r="AG28" s="8"/>
      <c r="AH28" s="8"/>
      <c r="AI28" s="8"/>
      <c r="AJ28" s="8"/>
      <c r="AK28" s="8"/>
      <c r="AL28" s="8"/>
      <c r="AM28" s="8"/>
      <c r="AN28" s="8"/>
      <c r="AO28" s="8"/>
      <c r="AP28" s="8"/>
      <c r="AQ28" s="8"/>
      <c r="AR28" s="8"/>
      <c r="AS28" s="8"/>
      <c r="AT28" s="8"/>
    </row>
    <row r="29" spans="1:46" x14ac:dyDescent="0.2">
      <c r="A29" s="55" t="str">
        <f>IF(B29&lt;&gt;"",COUNTA($B$7:B29),"")</f>
        <v/>
      </c>
      <c r="B29" s="83"/>
      <c r="C29" s="86"/>
      <c r="D29" s="83" t="str">
        <f>IF(Table13[[#This Row],[Energy Source]]="","",Table13[[#This Row],[Energy Source]])</f>
        <v/>
      </c>
      <c r="E29" s="83" t="str">
        <f>IF(Table13[[#This Row],[Units]]="", "", Table13[[#This Row],[Units]])</f>
        <v/>
      </c>
      <c r="F29" s="83" t="str">
        <f>IF(Table13[[#This Row],[Annual Consumption (Baseline)]]="", "", Table13[[#This Row],[Annual Consumption (Baseline)]])</f>
        <v/>
      </c>
      <c r="G29" s="83" t="str">
        <f>IF(F29="", "", IF(Results!$C29="Energy", VLOOKUP(Results!$E29,'Emission Inputs (Optional)'!$T$10:$U$27,2,FALSE)*Table13[[#This Row],[Energy Savings]], ""))</f>
        <v/>
      </c>
      <c r="H29" s="13" t="str">
        <f>IFERROR(VLOOKUP(B29,'Emission Inputs (Optional)'!$G$9:$I$191,3,FALSE),"")</f>
        <v/>
      </c>
      <c r="I29" s="13" t="str">
        <f>IF(Results!$C29="Energy", VLOOKUP(Results!$E29,'Emission Inputs (Optional)'!$T$10:$U$27,2,FALSE)*Results!$F29, "")</f>
        <v/>
      </c>
      <c r="J29" s="13" t="str">
        <f>IF(Results!$I29&lt;&gt;"",Results!$I29*0.293071,"")</f>
        <v/>
      </c>
      <c r="K29" s="84" t="str">
        <f>IF(Results!$I29&lt;&gt;"",Results!$I29/SUM($I$7:$I$189),"")</f>
        <v/>
      </c>
      <c r="L29" s="13" t="str">
        <f>IF(Results!$F29&lt;&gt;"",I29-G29,"")</f>
        <v/>
      </c>
      <c r="M29" s="13" t="str">
        <f>IF(Results!$L29&lt;&gt;"",Results!$L29*0.293071,"")</f>
        <v/>
      </c>
      <c r="N29" s="84" t="str">
        <f>IF(Results!$M29&lt;&gt;"",Results!$M29/SUM($M$7:$M$189),"")</f>
        <v/>
      </c>
      <c r="O29" s="85" t="str">
        <f>IF(Results!$C29="Energy", VLOOKUP(Results!$D29,'Energy Costs Inputs (Optional)'!$AS$3:$AU$20,2,FALSE)*Results!$I29, "")</f>
        <v/>
      </c>
      <c r="P29" s="84" t="str">
        <f>IF(Results!$O29&lt;&gt;"",Results!$O29/SUM($O$7:$O$189),"")</f>
        <v/>
      </c>
      <c r="Q29" s="85" t="str">
        <f>IF(Results!$C29="Energy", VLOOKUP(Results!$D29,'Energy Costs Inputs (Optional)'!$AS$3:$AU$20,2,FALSE)*Results!$L29, "")</f>
        <v/>
      </c>
      <c r="R29" s="84" t="str">
        <f>IF(Results!$Q29&lt;&gt;"",Results!$Q29/SUM($Q$7:$Q$189),"")</f>
        <v/>
      </c>
      <c r="S29" s="85" t="str">
        <f t="shared" si="0"/>
        <v/>
      </c>
      <c r="T29" s="13" t="str">
        <f>IF(Results!$I29&lt;&gt;"",(HLOOKUP(Table13[[#This Row],[Units]],'Emission Inputs (Optional)'!$L$10:$R$27,MATCH(Table13[[#This Row],[Energy Source]],'Emission Inputs (Optional)'!$L$10:$L$27,0),FALSE))*Table13[[#This Row],[Annual Consumption (Baseline)]],"")</f>
        <v/>
      </c>
      <c r="U29" s="13" t="str">
        <f>IF(Results!$T29&lt;&gt;"",Results!$T29,H29)</f>
        <v/>
      </c>
      <c r="V29" s="84" t="str">
        <f>IF(Results!$U29="","",IF(U29&lt;&gt;"",U29,0)/SUM(Results!$U$7:$U$189))</f>
        <v/>
      </c>
      <c r="W29" s="101" t="str">
        <f>IF(Results!$I29&lt;&gt;"",(HLOOKUP(Table13[[#This Row],[Units]],'Emission Inputs (Optional)'!$L$10:$R$27,MATCH(Table13[[#This Row],[Energy Source]],'Emission Inputs (Optional)'!$L$10:$L$27,0),FALSE))*(Table13[[#This Row],[Annual Consumption (Baseline)]]-Table13[[#This Row],[Energy Savings]]),"")</f>
        <v/>
      </c>
      <c r="X29" s="13" t="str">
        <f>IFERROR(VLOOKUP(B29,'Emission Inputs (Optional)'!$G$9:$J$191,4,FALSE),"")</f>
        <v/>
      </c>
      <c r="Y29" s="95" t="str">
        <f>IF(Results!$W29&lt;&gt;"",Results!$W29,IF(X29&lt;&gt;"",(H29-X29),""))</f>
        <v/>
      </c>
      <c r="Z29" s="95" t="str">
        <f t="shared" si="1"/>
        <v/>
      </c>
      <c r="AA29" s="89" t="str">
        <f>IF(Results!$U29="","",IF(U29&lt;&gt;"",U29,0)/SUM(Results!$U$7:$U$189))</f>
        <v/>
      </c>
      <c r="AB29" s="8"/>
      <c r="AC29" s="8"/>
      <c r="AD29" s="8"/>
      <c r="AE29" s="8"/>
      <c r="AF29" s="8"/>
      <c r="AG29" s="8"/>
      <c r="AH29" s="8"/>
      <c r="AI29" s="8"/>
      <c r="AJ29" s="8"/>
      <c r="AK29" s="8"/>
      <c r="AL29" s="8"/>
      <c r="AM29" s="8"/>
      <c r="AN29" s="8"/>
      <c r="AO29" s="8"/>
      <c r="AP29" s="8"/>
      <c r="AQ29" s="8"/>
      <c r="AR29" s="8"/>
      <c r="AS29" s="8"/>
      <c r="AT29" s="8"/>
    </row>
    <row r="30" spans="1:46" x14ac:dyDescent="0.2">
      <c r="A30" s="55" t="str">
        <f>IF(B30&lt;&gt;"",COUNTA($B$7:B30),"")</f>
        <v/>
      </c>
      <c r="B30" s="83"/>
      <c r="C30" s="86"/>
      <c r="D30" s="83" t="str">
        <f>IF(Table13[[#This Row],[Energy Source]]="","",Table13[[#This Row],[Energy Source]])</f>
        <v/>
      </c>
      <c r="E30" s="83" t="str">
        <f>IF(Table13[[#This Row],[Units]]="", "", Table13[[#This Row],[Units]])</f>
        <v/>
      </c>
      <c r="F30" s="83" t="str">
        <f>IF(Table13[[#This Row],[Annual Consumption (Baseline)]]="", "", Table13[[#This Row],[Annual Consumption (Baseline)]])</f>
        <v/>
      </c>
      <c r="G30" s="83" t="str">
        <f>IF(F30="", "", IF(Results!$C30="Energy", VLOOKUP(Results!$E30,'Emission Inputs (Optional)'!$T$10:$U$27,2,FALSE)*Table13[[#This Row],[Energy Savings]], ""))</f>
        <v/>
      </c>
      <c r="H30" s="13" t="str">
        <f>IFERROR(VLOOKUP(B30,'Emission Inputs (Optional)'!$G$9:$I$191,3,FALSE),"")</f>
        <v/>
      </c>
      <c r="I30" s="13" t="str">
        <f>IF(Results!$C30="Energy", VLOOKUP(Results!$E30,'Emission Inputs (Optional)'!$T$10:$U$27,2,FALSE)*Results!$F30, "")</f>
        <v/>
      </c>
      <c r="J30" s="13" t="str">
        <f>IF(Results!$I30&lt;&gt;"",Results!$I30*0.293071,"")</f>
        <v/>
      </c>
      <c r="K30" s="84" t="str">
        <f>IF(Results!$I30&lt;&gt;"",Results!$I30/SUM($I$7:$I$189),"")</f>
        <v/>
      </c>
      <c r="L30" s="13" t="str">
        <f>IF(Results!$F30&lt;&gt;"",I30-G30,"")</f>
        <v/>
      </c>
      <c r="M30" s="13" t="str">
        <f>IF(Results!$L30&lt;&gt;"",Results!$L30*0.293071,"")</f>
        <v/>
      </c>
      <c r="N30" s="84" t="str">
        <f>IF(Results!$M30&lt;&gt;"",Results!$M30/SUM($M$7:$M$189),"")</f>
        <v/>
      </c>
      <c r="O30" s="85" t="str">
        <f>IF(Results!$C30="Energy", VLOOKUP(Results!$D30,'Energy Costs Inputs (Optional)'!$AS$3:$AU$20,2,FALSE)*Results!$I30, "")</f>
        <v/>
      </c>
      <c r="P30" s="84" t="str">
        <f>IF(Results!$O30&lt;&gt;"",Results!$O30/SUM($O$7:$O$189),"")</f>
        <v/>
      </c>
      <c r="Q30" s="85" t="str">
        <f>IF(Results!$C30="Energy", VLOOKUP(Results!$D30,'Energy Costs Inputs (Optional)'!$AS$3:$AU$20,2,FALSE)*Results!$L30, "")</f>
        <v/>
      </c>
      <c r="R30" s="84" t="str">
        <f>IF(Results!$Q30&lt;&gt;"",Results!$Q30/SUM($Q$7:$Q$189),"")</f>
        <v/>
      </c>
      <c r="S30" s="85" t="str">
        <f t="shared" si="0"/>
        <v/>
      </c>
      <c r="T30" s="13" t="str">
        <f>IF(Results!$I30&lt;&gt;"",(HLOOKUP(Table13[[#This Row],[Units]],'Emission Inputs (Optional)'!$L$10:$R$27,MATCH(Table13[[#This Row],[Energy Source]],'Emission Inputs (Optional)'!$L$10:$L$27,0),FALSE))*Table13[[#This Row],[Annual Consumption (Baseline)]],"")</f>
        <v/>
      </c>
      <c r="U30" s="13" t="str">
        <f>IF(Results!$T30&lt;&gt;"",Results!$T30,H30)</f>
        <v/>
      </c>
      <c r="V30" s="84" t="str">
        <f>IF(Results!$U30="","",IF(U30&lt;&gt;"",U30,0)/SUM(Results!$U$7:$U$189))</f>
        <v/>
      </c>
      <c r="W30" s="101" t="str">
        <f>IF(Results!$I30&lt;&gt;"",(HLOOKUP(Table13[[#This Row],[Units]],'Emission Inputs (Optional)'!$L$10:$R$27,MATCH(Table13[[#This Row],[Energy Source]],'Emission Inputs (Optional)'!$L$10:$L$27,0),FALSE))*(Table13[[#This Row],[Annual Consumption (Baseline)]]-Table13[[#This Row],[Energy Savings]]),"")</f>
        <v/>
      </c>
      <c r="X30" s="13" t="str">
        <f>IFERROR(VLOOKUP(B30,'Emission Inputs (Optional)'!$G$9:$J$191,4,FALSE),"")</f>
        <v/>
      </c>
      <c r="Y30" s="95" t="str">
        <f>IF(Results!$W30&lt;&gt;"",Results!$W30,IF(X30&lt;&gt;"",(H30-X30),""))</f>
        <v/>
      </c>
      <c r="Z30" s="95" t="str">
        <f t="shared" si="1"/>
        <v/>
      </c>
      <c r="AA30" s="89" t="str">
        <f>IF(Results!$U30="","",IF(U30&lt;&gt;"",U30,0)/SUM(Results!$U$7:$U$189))</f>
        <v/>
      </c>
      <c r="AB30" s="8"/>
      <c r="AC30" s="8"/>
      <c r="AD30" s="8"/>
      <c r="AE30" s="8"/>
      <c r="AF30" s="8"/>
      <c r="AG30" s="8"/>
      <c r="AH30" s="8"/>
      <c r="AI30" s="8"/>
      <c r="AJ30" s="8"/>
      <c r="AK30" s="8"/>
      <c r="AL30" s="8"/>
      <c r="AM30" s="8"/>
      <c r="AN30" s="8"/>
      <c r="AO30" s="8"/>
      <c r="AP30" s="8"/>
      <c r="AQ30" s="8"/>
      <c r="AR30" s="8"/>
      <c r="AS30" s="8"/>
      <c r="AT30" s="8"/>
    </row>
    <row r="31" spans="1:46" x14ac:dyDescent="0.2">
      <c r="A31" s="55" t="str">
        <f>IF(B31&lt;&gt;"",COUNTA($B$7:B31),"")</f>
        <v/>
      </c>
      <c r="B31" s="83"/>
      <c r="C31" s="86"/>
      <c r="D31" s="83" t="str">
        <f>IF(Table13[[#This Row],[Energy Source]]="","",Table13[[#This Row],[Energy Source]])</f>
        <v/>
      </c>
      <c r="E31" s="83" t="str">
        <f>IF(Table13[[#This Row],[Units]]="", "", Table13[[#This Row],[Units]])</f>
        <v/>
      </c>
      <c r="F31" s="83" t="str">
        <f>IF(Table13[[#This Row],[Annual Consumption (Baseline)]]="", "", Table13[[#This Row],[Annual Consumption (Baseline)]])</f>
        <v/>
      </c>
      <c r="G31" s="83" t="str">
        <f>IF(F31="", "", IF(Results!$C31="Energy", VLOOKUP(Results!$E31,'Emission Inputs (Optional)'!$T$10:$U$27,2,FALSE)*Table13[[#This Row],[Energy Savings]], ""))</f>
        <v/>
      </c>
      <c r="H31" s="13" t="str">
        <f>IFERROR(VLOOKUP(B31,'Emission Inputs (Optional)'!$G$9:$I$191,3,FALSE),"")</f>
        <v/>
      </c>
      <c r="I31" s="13" t="str">
        <f>IF(Results!$C31="Energy", VLOOKUP(Results!$E31,'Emission Inputs (Optional)'!$T$10:$U$27,2,FALSE)*Results!$F31, "")</f>
        <v/>
      </c>
      <c r="J31" s="13" t="str">
        <f>IF(Results!$I31&lt;&gt;"",Results!$I31*0.293071,"")</f>
        <v/>
      </c>
      <c r="K31" s="84" t="str">
        <f>IF(Results!$I31&lt;&gt;"",Results!$I31/SUM($I$7:$I$189),"")</f>
        <v/>
      </c>
      <c r="L31" s="13" t="str">
        <f>IF(Results!$F31&lt;&gt;"",I31-G31,"")</f>
        <v/>
      </c>
      <c r="M31" s="13" t="str">
        <f>IF(Results!$L31&lt;&gt;"",Results!$L31*0.293071,"")</f>
        <v/>
      </c>
      <c r="N31" s="84" t="str">
        <f>IF(Results!$M31&lt;&gt;"",Results!$M31/SUM($M$7:$M$189),"")</f>
        <v/>
      </c>
      <c r="O31" s="85" t="str">
        <f>IF(Results!$C31="Energy", VLOOKUP(Results!$D31,'Energy Costs Inputs (Optional)'!$AS$3:$AU$20,2,FALSE)*Results!$I31, "")</f>
        <v/>
      </c>
      <c r="P31" s="84" t="str">
        <f>IF(Results!$O31&lt;&gt;"",Results!$O31/SUM($O$7:$O$189),"")</f>
        <v/>
      </c>
      <c r="Q31" s="85" t="str">
        <f>IF(Results!$C31="Energy", VLOOKUP(Results!$D31,'Energy Costs Inputs (Optional)'!$AS$3:$AU$20,2,FALSE)*Results!$L31, "")</f>
        <v/>
      </c>
      <c r="R31" s="84" t="str">
        <f>IF(Results!$Q31&lt;&gt;"",Results!$Q31/SUM($Q$7:$Q$189),"")</f>
        <v/>
      </c>
      <c r="S31" s="85" t="str">
        <f t="shared" si="0"/>
        <v/>
      </c>
      <c r="T31" s="13" t="str">
        <f>IF(Results!$I31&lt;&gt;"",(HLOOKUP(Table13[[#This Row],[Units]],'Emission Inputs (Optional)'!$L$10:$R$27,MATCH(Table13[[#This Row],[Energy Source]],'Emission Inputs (Optional)'!$L$10:$L$27,0),FALSE))*Table13[[#This Row],[Annual Consumption (Baseline)]],"")</f>
        <v/>
      </c>
      <c r="U31" s="13" t="str">
        <f>IF(Results!$T31&lt;&gt;"",Results!$T31,H31)</f>
        <v/>
      </c>
      <c r="V31" s="84" t="str">
        <f>IF(Results!$U31="","",IF(U31&lt;&gt;"",U31,0)/SUM(Results!$U$7:$U$189))</f>
        <v/>
      </c>
      <c r="W31" s="101" t="str">
        <f>IF(Results!$I31&lt;&gt;"",(HLOOKUP(Table13[[#This Row],[Units]],'Emission Inputs (Optional)'!$L$10:$R$27,MATCH(Table13[[#This Row],[Energy Source]],'Emission Inputs (Optional)'!$L$10:$L$27,0),FALSE))*(Table13[[#This Row],[Annual Consumption (Baseline)]]-Table13[[#This Row],[Energy Savings]]),"")</f>
        <v/>
      </c>
      <c r="X31" s="13" t="str">
        <f>IFERROR(VLOOKUP(B31,'Emission Inputs (Optional)'!$G$9:$J$191,4,FALSE),"")</f>
        <v/>
      </c>
      <c r="Y31" s="95" t="str">
        <f>IF(Results!$W31&lt;&gt;"",Results!$W31,IF(X31&lt;&gt;"",(H31-X31),""))</f>
        <v/>
      </c>
      <c r="Z31" s="95" t="str">
        <f t="shared" si="1"/>
        <v/>
      </c>
      <c r="AA31" s="89" t="str">
        <f>IF(Results!$U31="","",IF(U31&lt;&gt;"",U31,0)/SUM(Results!$U$7:$U$189))</f>
        <v/>
      </c>
      <c r="AB31" s="8"/>
      <c r="AC31" s="8"/>
      <c r="AD31" s="8"/>
      <c r="AE31" s="8"/>
      <c r="AF31" s="8"/>
      <c r="AG31" s="8"/>
      <c r="AH31" s="8"/>
      <c r="AI31" s="8"/>
      <c r="AJ31" s="8"/>
      <c r="AK31" s="8"/>
      <c r="AL31" s="8"/>
      <c r="AM31" s="8"/>
      <c r="AN31" s="8"/>
      <c r="AO31" s="8"/>
      <c r="AP31" s="8"/>
      <c r="AQ31" s="8"/>
      <c r="AR31" s="8"/>
      <c r="AS31" s="8"/>
      <c r="AT31" s="8"/>
    </row>
    <row r="32" spans="1:46" x14ac:dyDescent="0.2">
      <c r="A32" s="55" t="str">
        <f>IF(B32&lt;&gt;"",COUNTA($B$7:B32),"")</f>
        <v/>
      </c>
      <c r="B32" s="83"/>
      <c r="C32" s="86"/>
      <c r="D32" s="83" t="str">
        <f>IF(Table13[[#This Row],[Energy Source]]="","",Table13[[#This Row],[Energy Source]])</f>
        <v/>
      </c>
      <c r="E32" s="83" t="str">
        <f>IF(Table13[[#This Row],[Units]]="", "", Table13[[#This Row],[Units]])</f>
        <v/>
      </c>
      <c r="F32" s="83" t="str">
        <f>IF(Table13[[#This Row],[Annual Consumption (Baseline)]]="", "", Table13[[#This Row],[Annual Consumption (Baseline)]])</f>
        <v/>
      </c>
      <c r="G32" s="83" t="str">
        <f>IF(F32="", "", IF(Results!$C32="Energy", VLOOKUP(Results!$E32,'Emission Inputs (Optional)'!$T$10:$U$27,2,FALSE)*Table13[[#This Row],[Energy Savings]], ""))</f>
        <v/>
      </c>
      <c r="H32" s="13" t="str">
        <f>IFERROR(VLOOKUP(B32,'Emission Inputs (Optional)'!$G$9:$I$191,3,FALSE),"")</f>
        <v/>
      </c>
      <c r="I32" s="13" t="str">
        <f>IF(Results!$C32="Energy", VLOOKUP(Results!$E32,'Emission Inputs (Optional)'!$T$10:$U$27,2,FALSE)*Results!$F32, "")</f>
        <v/>
      </c>
      <c r="J32" s="13" t="str">
        <f>IF(Results!$I32&lt;&gt;"",Results!$I32*0.293071,"")</f>
        <v/>
      </c>
      <c r="K32" s="84" t="str">
        <f>IF(Results!$I32&lt;&gt;"",Results!$I32/SUM($I$7:$I$189),"")</f>
        <v/>
      </c>
      <c r="L32" s="13" t="str">
        <f>IF(Results!$F32&lt;&gt;"",I32-G32,"")</f>
        <v/>
      </c>
      <c r="M32" s="13" t="str">
        <f>IF(Results!$L32&lt;&gt;"",Results!$L32*0.293071,"")</f>
        <v/>
      </c>
      <c r="N32" s="84" t="str">
        <f>IF(Results!$M32&lt;&gt;"",Results!$M32/SUM($M$7:$M$189),"")</f>
        <v/>
      </c>
      <c r="O32" s="85" t="str">
        <f>IF(Results!$C32="Energy", VLOOKUP(Results!$D32,'Energy Costs Inputs (Optional)'!$AS$3:$AU$20,2,FALSE)*Results!$I32, "")</f>
        <v/>
      </c>
      <c r="P32" s="84" t="str">
        <f>IF(Results!$O32&lt;&gt;"",Results!$O32/SUM($O$7:$O$189),"")</f>
        <v/>
      </c>
      <c r="Q32" s="85" t="str">
        <f>IF(Results!$C32="Energy", VLOOKUP(Results!$D32,'Energy Costs Inputs (Optional)'!$AS$3:$AU$20,2,FALSE)*Results!$L32, "")</f>
        <v/>
      </c>
      <c r="R32" s="84" t="str">
        <f>IF(Results!$Q32&lt;&gt;"",Results!$Q32/SUM($Q$7:$Q$189),"")</f>
        <v/>
      </c>
      <c r="S32" s="85" t="str">
        <f t="shared" si="0"/>
        <v/>
      </c>
      <c r="T32" s="13" t="str">
        <f>IF(Results!$I32&lt;&gt;"",(HLOOKUP(Table13[[#This Row],[Units]],'Emission Inputs (Optional)'!$L$10:$R$27,MATCH(Table13[[#This Row],[Energy Source]],'Emission Inputs (Optional)'!$L$10:$L$27,0),FALSE))*Table13[[#This Row],[Annual Consumption (Baseline)]],"")</f>
        <v/>
      </c>
      <c r="U32" s="13" t="str">
        <f>IF(Results!$T32&lt;&gt;"",Results!$T32,H32)</f>
        <v/>
      </c>
      <c r="V32" s="84" t="str">
        <f>IF(Results!$U32="","",IF(U32&lt;&gt;"",U32,0)/SUM(Results!$U$7:$U$189))</f>
        <v/>
      </c>
      <c r="W32" s="101" t="str">
        <f>IF(Results!$I32&lt;&gt;"",(HLOOKUP(Table13[[#This Row],[Units]],'Emission Inputs (Optional)'!$L$10:$R$27,MATCH(Table13[[#This Row],[Energy Source]],'Emission Inputs (Optional)'!$L$10:$L$27,0),FALSE))*(Table13[[#This Row],[Annual Consumption (Baseline)]]-Table13[[#This Row],[Energy Savings]]),"")</f>
        <v/>
      </c>
      <c r="X32" s="13" t="str">
        <f>IFERROR(VLOOKUP(B32,'Emission Inputs (Optional)'!$G$9:$J$191,4,FALSE),"")</f>
        <v/>
      </c>
      <c r="Y32" s="95" t="str">
        <f>IF(Results!$W32&lt;&gt;"",Results!$W32,IF(X32&lt;&gt;"",(H32-X32),""))</f>
        <v/>
      </c>
      <c r="Z32" s="95" t="str">
        <f t="shared" si="1"/>
        <v/>
      </c>
      <c r="AA32" s="89" t="str">
        <f>IF(Results!$U32="","",IF(U32&lt;&gt;"",U32,0)/SUM(Results!$U$7:$U$189))</f>
        <v/>
      </c>
      <c r="AB32" s="8"/>
      <c r="AC32" s="8"/>
      <c r="AD32" s="8"/>
      <c r="AE32" s="8"/>
      <c r="AF32" s="8"/>
      <c r="AG32" s="8"/>
      <c r="AH32" s="8"/>
      <c r="AI32" s="8"/>
      <c r="AJ32" s="8"/>
      <c r="AK32" s="8"/>
      <c r="AL32" s="8"/>
      <c r="AM32" s="8"/>
      <c r="AN32" s="8"/>
      <c r="AO32" s="8"/>
      <c r="AP32" s="8"/>
      <c r="AQ32" s="8"/>
      <c r="AR32" s="8"/>
      <c r="AS32" s="8"/>
      <c r="AT32" s="8"/>
    </row>
    <row r="33" spans="1:46" x14ac:dyDescent="0.2">
      <c r="A33" s="55" t="str">
        <f>IF(B33&lt;&gt;"",COUNTA($B$7:B33),"")</f>
        <v/>
      </c>
      <c r="B33" s="83"/>
      <c r="C33" s="86"/>
      <c r="D33" s="83" t="str">
        <f>IF(Table13[[#This Row],[Energy Source]]="","",Table13[[#This Row],[Energy Source]])</f>
        <v/>
      </c>
      <c r="E33" s="83" t="str">
        <f>IF(Table13[[#This Row],[Units]]="", "", Table13[[#This Row],[Units]])</f>
        <v/>
      </c>
      <c r="F33" s="83" t="str">
        <f>IF(Table13[[#This Row],[Annual Consumption (Baseline)]]="", "", Table13[[#This Row],[Annual Consumption (Baseline)]])</f>
        <v/>
      </c>
      <c r="G33" s="83" t="str">
        <f>IF(F33="", "", IF(Results!$C33="Energy", VLOOKUP(Results!$E33,'Emission Inputs (Optional)'!$T$10:$U$27,2,FALSE)*Table13[[#This Row],[Energy Savings]], ""))</f>
        <v/>
      </c>
      <c r="H33" s="13" t="str">
        <f>IFERROR(VLOOKUP(B33,'Emission Inputs (Optional)'!$G$9:$I$191,3,FALSE),"")</f>
        <v/>
      </c>
      <c r="I33" s="13" t="str">
        <f>IF(Results!$C33="Energy", VLOOKUP(Results!$E33,'Emission Inputs (Optional)'!$T$10:$U$27,2,FALSE)*Results!$F33, "")</f>
        <v/>
      </c>
      <c r="J33" s="13" t="str">
        <f>IF(Results!$I33&lt;&gt;"",Results!$I33*0.293071,"")</f>
        <v/>
      </c>
      <c r="K33" s="84" t="str">
        <f>IF(Results!$I33&lt;&gt;"",Results!$I33/SUM($I$7:$I$189),"")</f>
        <v/>
      </c>
      <c r="L33" s="13" t="str">
        <f>IF(Results!$F33&lt;&gt;"",I33-G33,"")</f>
        <v/>
      </c>
      <c r="M33" s="13" t="str">
        <f>IF(Results!$L33&lt;&gt;"",Results!$L33*0.293071,"")</f>
        <v/>
      </c>
      <c r="N33" s="84" t="str">
        <f>IF(Results!$M33&lt;&gt;"",Results!$M33/SUM($M$7:$M$189),"")</f>
        <v/>
      </c>
      <c r="O33" s="85" t="str">
        <f>IF(Results!$C33="Energy", VLOOKUP(Results!$D33,'Energy Costs Inputs (Optional)'!$AS$3:$AU$20,2,FALSE)*Results!$I33, "")</f>
        <v/>
      </c>
      <c r="P33" s="84" t="str">
        <f>IF(Results!$O33&lt;&gt;"",Results!$O33/SUM($O$7:$O$189),"")</f>
        <v/>
      </c>
      <c r="Q33" s="85" t="str">
        <f>IF(Results!$C33="Energy", VLOOKUP(Results!$D33,'Energy Costs Inputs (Optional)'!$AS$3:$AU$20,2,FALSE)*Results!$L33, "")</f>
        <v/>
      </c>
      <c r="R33" s="84" t="str">
        <f>IF(Results!$Q33&lt;&gt;"",Results!$Q33/SUM($Q$7:$Q$189),"")</f>
        <v/>
      </c>
      <c r="S33" s="85" t="str">
        <f t="shared" si="0"/>
        <v/>
      </c>
      <c r="T33" s="13" t="str">
        <f>IF(Results!$I33&lt;&gt;"",(HLOOKUP(Table13[[#This Row],[Units]],'Emission Inputs (Optional)'!$L$10:$R$27,MATCH(Table13[[#This Row],[Energy Source]],'Emission Inputs (Optional)'!$L$10:$L$27,0),FALSE))*Table13[[#This Row],[Annual Consumption (Baseline)]],"")</f>
        <v/>
      </c>
      <c r="U33" s="13" t="str">
        <f>IF(Results!$T33&lt;&gt;"",Results!$T33,H33)</f>
        <v/>
      </c>
      <c r="V33" s="84" t="str">
        <f>IF(Results!$U33="","",IF(U33&lt;&gt;"",U33,0)/SUM(Results!$U$7:$U$189))</f>
        <v/>
      </c>
      <c r="W33" s="101" t="str">
        <f>IF(Results!$I33&lt;&gt;"",(HLOOKUP(Table13[[#This Row],[Units]],'Emission Inputs (Optional)'!$L$10:$R$27,MATCH(Table13[[#This Row],[Energy Source]],'Emission Inputs (Optional)'!$L$10:$L$27,0),FALSE))*(Table13[[#This Row],[Annual Consumption (Baseline)]]-Table13[[#This Row],[Energy Savings]]),"")</f>
        <v/>
      </c>
      <c r="X33" s="13" t="str">
        <f>IFERROR(VLOOKUP(B33,'Emission Inputs (Optional)'!$G$9:$J$191,4,FALSE),"")</f>
        <v/>
      </c>
      <c r="Y33" s="95" t="str">
        <f>IF(Results!$W33&lt;&gt;"",Results!$W33,IF(X33&lt;&gt;"",(H33-X33),""))</f>
        <v/>
      </c>
      <c r="Z33" s="95" t="str">
        <f t="shared" si="1"/>
        <v/>
      </c>
      <c r="AA33" s="89" t="str">
        <f>IF(Results!$U33="","",IF(U33&lt;&gt;"",U33,0)/SUM(Results!$U$7:$U$189))</f>
        <v/>
      </c>
      <c r="AB33" s="8"/>
      <c r="AC33" s="8"/>
      <c r="AD33" s="8"/>
      <c r="AE33" s="8"/>
      <c r="AF33" s="8"/>
      <c r="AG33" s="8"/>
      <c r="AH33" s="8"/>
      <c r="AI33" s="8"/>
      <c r="AJ33" s="8"/>
      <c r="AK33" s="8"/>
      <c r="AL33" s="8"/>
      <c r="AM33" s="8"/>
      <c r="AN33" s="8"/>
      <c r="AO33" s="8"/>
      <c r="AP33" s="8"/>
      <c r="AQ33" s="8"/>
      <c r="AR33" s="8"/>
      <c r="AS33" s="8"/>
      <c r="AT33" s="8"/>
    </row>
    <row r="34" spans="1:46" x14ac:dyDescent="0.2">
      <c r="A34" s="55" t="str">
        <f>IF(B34&lt;&gt;"",COUNTA($B$7:B34),"")</f>
        <v/>
      </c>
      <c r="B34" s="83"/>
      <c r="C34" s="86"/>
      <c r="D34" s="83" t="str">
        <f>IF(Table13[[#This Row],[Energy Source]]="","",Table13[[#This Row],[Energy Source]])</f>
        <v/>
      </c>
      <c r="E34" s="83" t="str">
        <f>IF(Table13[[#This Row],[Units]]="", "", Table13[[#This Row],[Units]])</f>
        <v/>
      </c>
      <c r="F34" s="83" t="str">
        <f>IF(Table13[[#This Row],[Annual Consumption (Baseline)]]="", "", Table13[[#This Row],[Annual Consumption (Baseline)]])</f>
        <v/>
      </c>
      <c r="G34" s="83" t="str">
        <f>IF(F34="", "", IF(Results!$C34="Energy", VLOOKUP(Results!$E34,'Emission Inputs (Optional)'!$T$10:$U$27,2,FALSE)*Table13[[#This Row],[Energy Savings]], ""))</f>
        <v/>
      </c>
      <c r="H34" s="13" t="str">
        <f>IFERROR(VLOOKUP(B34,'Emission Inputs (Optional)'!$G$9:$I$191,3,FALSE),"")</f>
        <v/>
      </c>
      <c r="I34" s="13" t="str">
        <f>IF(Results!$C34="Energy", VLOOKUP(Results!$E34,'Emission Inputs (Optional)'!$T$10:$U$27,2,FALSE)*Results!$F34, "")</f>
        <v/>
      </c>
      <c r="J34" s="13" t="str">
        <f>IF(Results!$I34&lt;&gt;"",Results!$I34*0.293071,"")</f>
        <v/>
      </c>
      <c r="K34" s="84" t="str">
        <f>IF(Results!$I34&lt;&gt;"",Results!$I34/SUM($I$7:$I$189),"")</f>
        <v/>
      </c>
      <c r="L34" s="13" t="str">
        <f>IF(Results!$F34&lt;&gt;"",I34-G34,"")</f>
        <v/>
      </c>
      <c r="M34" s="13" t="str">
        <f>IF(Results!$L34&lt;&gt;"",Results!$L34*0.293071,"")</f>
        <v/>
      </c>
      <c r="N34" s="84" t="str">
        <f>IF(Results!$M34&lt;&gt;"",Results!$M34/SUM($M$7:$M$189),"")</f>
        <v/>
      </c>
      <c r="O34" s="85" t="str">
        <f>IF(Results!$C34="Energy", VLOOKUP(Results!$D34,'Energy Costs Inputs (Optional)'!$AS$3:$AU$20,2,FALSE)*Results!$I34, "")</f>
        <v/>
      </c>
      <c r="P34" s="84" t="str">
        <f>IF(Results!$O34&lt;&gt;"",Results!$O34/SUM($O$7:$O$189),"")</f>
        <v/>
      </c>
      <c r="Q34" s="85" t="str">
        <f>IF(Results!$C34="Energy", VLOOKUP(Results!$D34,'Energy Costs Inputs (Optional)'!$AS$3:$AU$20,2,FALSE)*Results!$L34, "")</f>
        <v/>
      </c>
      <c r="R34" s="84" t="str">
        <f>IF(Results!$Q34&lt;&gt;"",Results!$Q34/SUM($Q$7:$Q$189),"")</f>
        <v/>
      </c>
      <c r="S34" s="85" t="str">
        <f t="shared" si="0"/>
        <v/>
      </c>
      <c r="T34" s="13" t="str">
        <f>IF(Results!$I34&lt;&gt;"",(HLOOKUP(Table13[[#This Row],[Units]],'Emission Inputs (Optional)'!$L$10:$R$27,MATCH(Table13[[#This Row],[Energy Source]],'Emission Inputs (Optional)'!$L$10:$L$27,0),FALSE))*Table13[[#This Row],[Annual Consumption (Baseline)]],"")</f>
        <v/>
      </c>
      <c r="U34" s="13" t="str">
        <f>IF(Results!$T34&lt;&gt;"",Results!$T34,H34)</f>
        <v/>
      </c>
      <c r="V34" s="84" t="str">
        <f>IF(Results!$U34="","",IF(U34&lt;&gt;"",U34,0)/SUM(Results!$U$7:$U$189))</f>
        <v/>
      </c>
      <c r="W34" s="101" t="str">
        <f>IF(Results!$I34&lt;&gt;"",(HLOOKUP(Table13[[#This Row],[Units]],'Emission Inputs (Optional)'!$L$10:$R$27,MATCH(Table13[[#This Row],[Energy Source]],'Emission Inputs (Optional)'!$L$10:$L$27,0),FALSE))*(Table13[[#This Row],[Annual Consumption (Baseline)]]-Table13[[#This Row],[Energy Savings]]),"")</f>
        <v/>
      </c>
      <c r="X34" s="13" t="str">
        <f>IFERROR(VLOOKUP(B34,'Emission Inputs (Optional)'!$G$9:$J$191,4,FALSE),"")</f>
        <v/>
      </c>
      <c r="Y34" s="95" t="str">
        <f>IF(Results!$W34&lt;&gt;"",Results!$W34,IF(X34&lt;&gt;"",(H34-X34),""))</f>
        <v/>
      </c>
      <c r="Z34" s="95" t="str">
        <f t="shared" si="1"/>
        <v/>
      </c>
      <c r="AA34" s="89" t="str">
        <f>IF(Results!$U34="","",IF(U34&lt;&gt;"",U34,0)/SUM(Results!$U$7:$U$189))</f>
        <v/>
      </c>
      <c r="AB34" s="8"/>
      <c r="AC34" s="8"/>
      <c r="AD34" s="8"/>
      <c r="AE34" s="8"/>
      <c r="AF34" s="8"/>
      <c r="AG34" s="8"/>
      <c r="AH34" s="8"/>
      <c r="AI34" s="8"/>
      <c r="AJ34" s="8"/>
      <c r="AK34" s="8"/>
      <c r="AL34" s="8"/>
      <c r="AM34" s="8"/>
      <c r="AN34" s="8"/>
      <c r="AO34" s="8"/>
      <c r="AP34" s="8"/>
      <c r="AQ34" s="8"/>
      <c r="AR34" s="8"/>
      <c r="AS34" s="8"/>
      <c r="AT34" s="8"/>
    </row>
    <row r="35" spans="1:46" x14ac:dyDescent="0.2">
      <c r="A35" s="55" t="str">
        <f>IF(B35&lt;&gt;"",COUNTA($B$7:B35),"")</f>
        <v/>
      </c>
      <c r="B35" s="83"/>
      <c r="C35" s="86"/>
      <c r="D35" s="83" t="str">
        <f>IF(Table13[[#This Row],[Energy Source]]="","",Table13[[#This Row],[Energy Source]])</f>
        <v/>
      </c>
      <c r="E35" s="83" t="str">
        <f>IF(Table13[[#This Row],[Units]]="", "", Table13[[#This Row],[Units]])</f>
        <v/>
      </c>
      <c r="F35" s="83" t="str">
        <f>IF(Table13[[#This Row],[Annual Consumption (Baseline)]]="", "", Table13[[#This Row],[Annual Consumption (Baseline)]])</f>
        <v/>
      </c>
      <c r="G35" s="83" t="str">
        <f>IF(F35="", "", IF(Results!$C35="Energy", VLOOKUP(Results!$E35,'Emission Inputs (Optional)'!$T$10:$U$27,2,FALSE)*Table13[[#This Row],[Energy Savings]], ""))</f>
        <v/>
      </c>
      <c r="H35" s="13" t="str">
        <f>IFERROR(VLOOKUP(B35,'Emission Inputs (Optional)'!$G$9:$I$191,3,FALSE),"")</f>
        <v/>
      </c>
      <c r="I35" s="13" t="str">
        <f>IF(Results!$C35="Energy", VLOOKUP(Results!$E35,'Emission Inputs (Optional)'!$T$10:$U$27,2,FALSE)*Results!$F35, "")</f>
        <v/>
      </c>
      <c r="J35" s="13" t="str">
        <f>IF(Results!$I35&lt;&gt;"",Results!$I35*0.293071,"")</f>
        <v/>
      </c>
      <c r="K35" s="84" t="str">
        <f>IF(Results!$I35&lt;&gt;"",Results!$I35/SUM($I$7:$I$189),"")</f>
        <v/>
      </c>
      <c r="L35" s="13" t="str">
        <f>IF(Results!$F35&lt;&gt;"",I35-G35,"")</f>
        <v/>
      </c>
      <c r="M35" s="13" t="str">
        <f>IF(Results!$L35&lt;&gt;"",Results!$L35*0.293071,"")</f>
        <v/>
      </c>
      <c r="N35" s="84" t="str">
        <f>IF(Results!$M35&lt;&gt;"",Results!$M35/SUM($M$7:$M$189),"")</f>
        <v/>
      </c>
      <c r="O35" s="85" t="str">
        <f>IF(Results!$C35="Energy", VLOOKUP(Results!$D35,'Energy Costs Inputs (Optional)'!$AS$3:$AU$20,2,FALSE)*Results!$I35, "")</f>
        <v/>
      </c>
      <c r="P35" s="84" t="str">
        <f>IF(Results!$O35&lt;&gt;"",Results!$O35/SUM($O$7:$O$189),"")</f>
        <v/>
      </c>
      <c r="Q35" s="85" t="str">
        <f>IF(Results!$C35="Energy", VLOOKUP(Results!$D35,'Energy Costs Inputs (Optional)'!$AS$3:$AU$20,2,FALSE)*Results!$L35, "")</f>
        <v/>
      </c>
      <c r="R35" s="84" t="str">
        <f>IF(Results!$Q35&lt;&gt;"",Results!$Q35/SUM($Q$7:$Q$189),"")</f>
        <v/>
      </c>
      <c r="S35" s="85" t="str">
        <f t="shared" si="0"/>
        <v/>
      </c>
      <c r="T35" s="13" t="str">
        <f>IF(Results!$I35&lt;&gt;"",(HLOOKUP(Table13[[#This Row],[Units]],'Emission Inputs (Optional)'!$L$10:$R$27,MATCH(Table13[[#This Row],[Energy Source]],'Emission Inputs (Optional)'!$L$10:$L$27,0),FALSE))*Table13[[#This Row],[Annual Consumption (Baseline)]],"")</f>
        <v/>
      </c>
      <c r="U35" s="13" t="str">
        <f>IF(Results!$T35&lt;&gt;"",Results!$T35,H35)</f>
        <v/>
      </c>
      <c r="V35" s="84" t="str">
        <f>IF(Results!$U35="","",IF(U35&lt;&gt;"",U35,0)/SUM(Results!$U$7:$U$189))</f>
        <v/>
      </c>
      <c r="W35" s="101" t="str">
        <f>IF(Results!$I35&lt;&gt;"",(HLOOKUP(Table13[[#This Row],[Units]],'Emission Inputs (Optional)'!$L$10:$R$27,MATCH(Table13[[#This Row],[Energy Source]],'Emission Inputs (Optional)'!$L$10:$L$27,0),FALSE))*(Table13[[#This Row],[Annual Consumption (Baseline)]]-Table13[[#This Row],[Energy Savings]]),"")</f>
        <v/>
      </c>
      <c r="X35" s="13" t="str">
        <f>IFERROR(VLOOKUP(B35,'Emission Inputs (Optional)'!$G$9:$J$191,4,FALSE),"")</f>
        <v/>
      </c>
      <c r="Y35" s="95" t="str">
        <f>IF(Results!$W35&lt;&gt;"",Results!$W35,IF(X35&lt;&gt;"",(H35-X35),""))</f>
        <v/>
      </c>
      <c r="Z35" s="95" t="str">
        <f t="shared" si="1"/>
        <v/>
      </c>
      <c r="AA35" s="89" t="str">
        <f>IF(Results!$U35="","",IF(U35&lt;&gt;"",U35,0)/SUM(Results!$U$7:$U$189))</f>
        <v/>
      </c>
      <c r="AB35" s="8"/>
      <c r="AC35" s="8"/>
      <c r="AD35" s="8"/>
      <c r="AE35" s="8"/>
      <c r="AF35" s="8"/>
      <c r="AG35" s="8"/>
      <c r="AH35" s="8"/>
      <c r="AI35" s="8"/>
      <c r="AJ35" s="8"/>
      <c r="AK35" s="8"/>
      <c r="AL35" s="8"/>
      <c r="AM35" s="8"/>
      <c r="AN35" s="8"/>
      <c r="AO35" s="8"/>
      <c r="AP35" s="8"/>
      <c r="AQ35" s="8"/>
      <c r="AR35" s="8"/>
      <c r="AS35" s="8"/>
      <c r="AT35" s="8"/>
    </row>
    <row r="36" spans="1:46" x14ac:dyDescent="0.2">
      <c r="A36" s="55" t="str">
        <f>IF(B36&lt;&gt;"",COUNTA($B$7:B36),"")</f>
        <v/>
      </c>
      <c r="B36" s="83"/>
      <c r="C36" s="86"/>
      <c r="D36" s="83" t="str">
        <f>IF(Table13[[#This Row],[Energy Source]]="","",Table13[[#This Row],[Energy Source]])</f>
        <v/>
      </c>
      <c r="E36" s="83" t="str">
        <f>IF(Table13[[#This Row],[Units]]="", "", Table13[[#This Row],[Units]])</f>
        <v/>
      </c>
      <c r="F36" s="83" t="str">
        <f>IF(Table13[[#This Row],[Annual Consumption (Baseline)]]="", "", Table13[[#This Row],[Annual Consumption (Baseline)]])</f>
        <v/>
      </c>
      <c r="G36" s="83" t="str">
        <f>IF(F36="", "", IF(Results!$C36="Energy", VLOOKUP(Results!$E36,'Emission Inputs (Optional)'!$T$10:$U$27,2,FALSE)*Table13[[#This Row],[Energy Savings]], ""))</f>
        <v/>
      </c>
      <c r="H36" s="13" t="str">
        <f>IFERROR(VLOOKUP(B36,'Emission Inputs (Optional)'!$G$9:$I$191,3,FALSE),"")</f>
        <v/>
      </c>
      <c r="I36" s="13" t="str">
        <f>IF(Results!$C36="Energy", VLOOKUP(Results!$E36,'Emission Inputs (Optional)'!$T$10:$U$27,2,FALSE)*Results!$F36, "")</f>
        <v/>
      </c>
      <c r="J36" s="13" t="str">
        <f>IF(Results!$I36&lt;&gt;"",Results!$I36*0.293071,"")</f>
        <v/>
      </c>
      <c r="K36" s="84" t="str">
        <f>IF(Results!$I36&lt;&gt;"",Results!$I36/SUM($I$7:$I$189),"")</f>
        <v/>
      </c>
      <c r="L36" s="13" t="str">
        <f>IF(Results!$F36&lt;&gt;"",I36-G36,"")</f>
        <v/>
      </c>
      <c r="M36" s="13" t="str">
        <f>IF(Results!$L36&lt;&gt;"",Results!$L36*0.293071,"")</f>
        <v/>
      </c>
      <c r="N36" s="84" t="str">
        <f>IF(Results!$M36&lt;&gt;"",Results!$M36/SUM($M$7:$M$189),"")</f>
        <v/>
      </c>
      <c r="O36" s="85" t="str">
        <f>IF(Results!$C36="Energy", VLOOKUP(Results!$D36,'Energy Costs Inputs (Optional)'!$AS$3:$AU$20,2,FALSE)*Results!$I36, "")</f>
        <v/>
      </c>
      <c r="P36" s="84" t="str">
        <f>IF(Results!$O36&lt;&gt;"",Results!$O36/SUM($O$7:$O$189),"")</f>
        <v/>
      </c>
      <c r="Q36" s="85" t="str">
        <f>IF(Results!$C36="Energy", VLOOKUP(Results!$D36,'Energy Costs Inputs (Optional)'!$AS$3:$AU$20,2,FALSE)*Results!$L36, "")</f>
        <v/>
      </c>
      <c r="R36" s="84" t="str">
        <f>IF(Results!$Q36&lt;&gt;"",Results!$Q36/SUM($Q$7:$Q$189),"")</f>
        <v/>
      </c>
      <c r="S36" s="85" t="str">
        <f t="shared" si="0"/>
        <v/>
      </c>
      <c r="T36" s="13" t="str">
        <f>IF(Results!$I36&lt;&gt;"",(HLOOKUP(Table13[[#This Row],[Units]],'Emission Inputs (Optional)'!$L$10:$R$27,MATCH(Table13[[#This Row],[Energy Source]],'Emission Inputs (Optional)'!$L$10:$L$27,0),FALSE))*Table13[[#This Row],[Annual Consumption (Baseline)]],"")</f>
        <v/>
      </c>
      <c r="U36" s="13" t="str">
        <f>IF(Results!$T36&lt;&gt;"",Results!$T36,H36)</f>
        <v/>
      </c>
      <c r="V36" s="84" t="str">
        <f>IF(Results!$U36="","",IF(U36&lt;&gt;"",U36,0)/SUM(Results!$U$7:$U$189))</f>
        <v/>
      </c>
      <c r="W36" s="101" t="str">
        <f>IF(Results!$I36&lt;&gt;"",(HLOOKUP(Table13[[#This Row],[Units]],'Emission Inputs (Optional)'!$L$10:$R$27,MATCH(Table13[[#This Row],[Energy Source]],'Emission Inputs (Optional)'!$L$10:$L$27,0),FALSE))*(Table13[[#This Row],[Annual Consumption (Baseline)]]-Table13[[#This Row],[Energy Savings]]),"")</f>
        <v/>
      </c>
      <c r="X36" s="13" t="str">
        <f>IFERROR(VLOOKUP(B36,'Emission Inputs (Optional)'!$G$9:$J$191,4,FALSE),"")</f>
        <v/>
      </c>
      <c r="Y36" s="95" t="str">
        <f>IF(Results!$W36&lt;&gt;"",Results!$W36,IF(X36&lt;&gt;"",(H36-X36),""))</f>
        <v/>
      </c>
      <c r="Z36" s="95" t="str">
        <f t="shared" si="1"/>
        <v/>
      </c>
      <c r="AA36" s="89" t="str">
        <f>IF(Results!$U36="","",IF(U36&lt;&gt;"",U36,0)/SUM(Results!$U$7:$U$189))</f>
        <v/>
      </c>
      <c r="AB36" s="8"/>
      <c r="AC36" s="8"/>
      <c r="AD36" s="8"/>
      <c r="AE36" s="8"/>
      <c r="AF36" s="8"/>
      <c r="AG36" s="8"/>
      <c r="AH36" s="8"/>
      <c r="AI36" s="8"/>
      <c r="AJ36" s="8"/>
      <c r="AK36" s="8"/>
      <c r="AL36" s="8"/>
      <c r="AM36" s="8"/>
      <c r="AN36" s="8"/>
      <c r="AO36" s="8"/>
      <c r="AP36" s="8"/>
      <c r="AQ36" s="8"/>
      <c r="AR36" s="8"/>
      <c r="AS36" s="8"/>
      <c r="AT36" s="8"/>
    </row>
    <row r="37" spans="1:46" x14ac:dyDescent="0.2">
      <c r="A37" s="55" t="str">
        <f>IF(B37&lt;&gt;"",COUNTA($B$7:B37),"")</f>
        <v/>
      </c>
      <c r="B37" s="83"/>
      <c r="C37" s="86"/>
      <c r="D37" s="83" t="str">
        <f>IF(Table13[[#This Row],[Energy Source]]="","",Table13[[#This Row],[Energy Source]])</f>
        <v/>
      </c>
      <c r="E37" s="83" t="str">
        <f>IF(Table13[[#This Row],[Units]]="", "", Table13[[#This Row],[Units]])</f>
        <v/>
      </c>
      <c r="F37" s="83" t="str">
        <f>IF(Table13[[#This Row],[Annual Consumption (Baseline)]]="", "", Table13[[#This Row],[Annual Consumption (Baseline)]])</f>
        <v/>
      </c>
      <c r="G37" s="83" t="str">
        <f>IF(F37="", "", IF(Results!$C37="Energy", VLOOKUP(Results!$E37,'Emission Inputs (Optional)'!$T$10:$U$27,2,FALSE)*Table13[[#This Row],[Energy Savings]], ""))</f>
        <v/>
      </c>
      <c r="H37" s="13" t="str">
        <f>IFERROR(VLOOKUP(B37,'Emission Inputs (Optional)'!$G$9:$I$191,3,FALSE),"")</f>
        <v/>
      </c>
      <c r="I37" s="13" t="str">
        <f>IF(Results!$C37="Energy", VLOOKUP(Results!$E37,'Emission Inputs (Optional)'!$T$10:$U$27,2,FALSE)*Results!$F37, "")</f>
        <v/>
      </c>
      <c r="J37" s="13" t="str">
        <f>IF(Results!$I37&lt;&gt;"",Results!$I37*0.293071,"")</f>
        <v/>
      </c>
      <c r="K37" s="84" t="str">
        <f>IF(Results!$I37&lt;&gt;"",Results!$I37/SUM($I$7:$I$189),"")</f>
        <v/>
      </c>
      <c r="L37" s="13" t="str">
        <f>IF(Results!$F37&lt;&gt;"",I37-G37,"")</f>
        <v/>
      </c>
      <c r="M37" s="13" t="str">
        <f>IF(Results!$L37&lt;&gt;"",Results!$L37*0.293071,"")</f>
        <v/>
      </c>
      <c r="N37" s="84" t="str">
        <f>IF(Results!$M37&lt;&gt;"",Results!$M37/SUM($M$7:$M$189),"")</f>
        <v/>
      </c>
      <c r="O37" s="85" t="str">
        <f>IF(Results!$C37="Energy", VLOOKUP(Results!$D37,'Energy Costs Inputs (Optional)'!$AS$3:$AU$20,2,FALSE)*Results!$I37, "")</f>
        <v/>
      </c>
      <c r="P37" s="84" t="str">
        <f>IF(Results!$O37&lt;&gt;"",Results!$O37/SUM($O$7:$O$189),"")</f>
        <v/>
      </c>
      <c r="Q37" s="85" t="str">
        <f>IF(Results!$C37="Energy", VLOOKUP(Results!$D37,'Energy Costs Inputs (Optional)'!$AS$3:$AU$20,2,FALSE)*Results!$L37, "")</f>
        <v/>
      </c>
      <c r="R37" s="84" t="str">
        <f>IF(Results!$Q37&lt;&gt;"",Results!$Q37/SUM($Q$7:$Q$189),"")</f>
        <v/>
      </c>
      <c r="S37" s="85" t="str">
        <f t="shared" si="0"/>
        <v/>
      </c>
      <c r="T37" s="13" t="str">
        <f>IF(Results!$I37&lt;&gt;"",(HLOOKUP(Table13[[#This Row],[Units]],'Emission Inputs (Optional)'!$L$10:$R$27,MATCH(Table13[[#This Row],[Energy Source]],'Emission Inputs (Optional)'!$L$10:$L$27,0),FALSE))*Table13[[#This Row],[Annual Consumption (Baseline)]],"")</f>
        <v/>
      </c>
      <c r="U37" s="13" t="str">
        <f>IF(Results!$T37&lt;&gt;"",Results!$T37,H37)</f>
        <v/>
      </c>
      <c r="V37" s="84" t="str">
        <f>IF(Results!$U37="","",IF(U37&lt;&gt;"",U37,0)/SUM(Results!$U$7:$U$189))</f>
        <v/>
      </c>
      <c r="W37" s="101" t="str">
        <f>IF(Results!$I37&lt;&gt;"",(HLOOKUP(Table13[[#This Row],[Units]],'Emission Inputs (Optional)'!$L$10:$R$27,MATCH(Table13[[#This Row],[Energy Source]],'Emission Inputs (Optional)'!$L$10:$L$27,0),FALSE))*(Table13[[#This Row],[Annual Consumption (Baseline)]]-Table13[[#This Row],[Energy Savings]]),"")</f>
        <v/>
      </c>
      <c r="X37" s="13" t="str">
        <f>IFERROR(VLOOKUP(B37,'Emission Inputs (Optional)'!$G$9:$J$191,4,FALSE),"")</f>
        <v/>
      </c>
      <c r="Y37" s="95" t="str">
        <f>IF(Results!$W37&lt;&gt;"",Results!$W37,IF(X37&lt;&gt;"",(H37-X37),""))</f>
        <v/>
      </c>
      <c r="Z37" s="95" t="str">
        <f t="shared" si="1"/>
        <v/>
      </c>
      <c r="AA37" s="89" t="str">
        <f>IF(Results!$U37="","",IF(U37&lt;&gt;"",U37,0)/SUM(Results!$U$7:$U$189))</f>
        <v/>
      </c>
      <c r="AB37" s="8"/>
      <c r="AC37" s="8"/>
      <c r="AD37" s="8"/>
      <c r="AE37" s="8"/>
      <c r="AF37" s="8"/>
      <c r="AG37" s="8"/>
      <c r="AH37" s="8"/>
      <c r="AI37" s="8"/>
      <c r="AJ37" s="8"/>
      <c r="AK37" s="8"/>
      <c r="AL37" s="8"/>
      <c r="AM37" s="8"/>
      <c r="AN37" s="8"/>
      <c r="AO37" s="8"/>
      <c r="AP37" s="8"/>
      <c r="AQ37" s="8"/>
      <c r="AR37" s="8"/>
      <c r="AS37" s="8"/>
      <c r="AT37" s="8"/>
    </row>
    <row r="38" spans="1:46" x14ac:dyDescent="0.2">
      <c r="A38" s="55" t="str">
        <f>IF(B38&lt;&gt;"",COUNTA($B$7:B38),"")</f>
        <v/>
      </c>
      <c r="B38" s="83"/>
      <c r="C38" s="86"/>
      <c r="D38" s="83" t="str">
        <f>IF(Table13[[#This Row],[Energy Source]]="","",Table13[[#This Row],[Energy Source]])</f>
        <v/>
      </c>
      <c r="E38" s="83" t="str">
        <f>IF(Table13[[#This Row],[Units]]="", "", Table13[[#This Row],[Units]])</f>
        <v/>
      </c>
      <c r="F38" s="83" t="str">
        <f>IF(Table13[[#This Row],[Annual Consumption (Baseline)]]="", "", Table13[[#This Row],[Annual Consumption (Baseline)]])</f>
        <v/>
      </c>
      <c r="G38" s="83" t="str">
        <f>IF(F38="", "", IF(Results!$C38="Energy", VLOOKUP(Results!$E38,'Emission Inputs (Optional)'!$T$10:$U$27,2,FALSE)*Table13[[#This Row],[Energy Savings]], ""))</f>
        <v/>
      </c>
      <c r="H38" s="13" t="str">
        <f>IFERROR(VLOOKUP(B38,'Emission Inputs (Optional)'!$G$9:$I$191,3,FALSE),"")</f>
        <v/>
      </c>
      <c r="I38" s="13" t="str">
        <f>IF(Results!$C38="Energy", VLOOKUP(Results!$E38,'Emission Inputs (Optional)'!$T$10:$U$27,2,FALSE)*Results!$F38, "")</f>
        <v/>
      </c>
      <c r="J38" s="13" t="str">
        <f>IF(Results!$I38&lt;&gt;"",Results!$I38*0.293071,"")</f>
        <v/>
      </c>
      <c r="K38" s="84" t="str">
        <f>IF(Results!$I38&lt;&gt;"",Results!$I38/SUM($I$7:$I$189),"")</f>
        <v/>
      </c>
      <c r="L38" s="13" t="str">
        <f>IF(Results!$F38&lt;&gt;"",I38-G38,"")</f>
        <v/>
      </c>
      <c r="M38" s="13" t="str">
        <f>IF(Results!$L38&lt;&gt;"",Results!$L38*0.293071,"")</f>
        <v/>
      </c>
      <c r="N38" s="84" t="str">
        <f>IF(Results!$M38&lt;&gt;"",Results!$M38/SUM($M$7:$M$189),"")</f>
        <v/>
      </c>
      <c r="O38" s="85" t="str">
        <f>IF(Results!$C38="Energy", VLOOKUP(Results!$D38,'Energy Costs Inputs (Optional)'!$AS$3:$AU$20,2,FALSE)*Results!$I38, "")</f>
        <v/>
      </c>
      <c r="P38" s="84" t="str">
        <f>IF(Results!$O38&lt;&gt;"",Results!$O38/SUM($O$7:$O$189),"")</f>
        <v/>
      </c>
      <c r="Q38" s="85" t="str">
        <f>IF(Results!$C38="Energy", VLOOKUP(Results!$D38,'Energy Costs Inputs (Optional)'!$AS$3:$AU$20,2,FALSE)*Results!$L38, "")</f>
        <v/>
      </c>
      <c r="R38" s="84" t="str">
        <f>IF(Results!$Q38&lt;&gt;"",Results!$Q38/SUM($Q$7:$Q$189),"")</f>
        <v/>
      </c>
      <c r="S38" s="85" t="str">
        <f t="shared" si="0"/>
        <v/>
      </c>
      <c r="T38" s="13" t="str">
        <f>IF(Results!$I38&lt;&gt;"",(HLOOKUP(Table13[[#This Row],[Units]],'Emission Inputs (Optional)'!$L$10:$R$27,MATCH(Table13[[#This Row],[Energy Source]],'Emission Inputs (Optional)'!$L$10:$L$27,0),FALSE))*Table13[[#This Row],[Annual Consumption (Baseline)]],"")</f>
        <v/>
      </c>
      <c r="U38" s="13" t="str">
        <f>IF(Results!$T38&lt;&gt;"",Results!$T38,H38)</f>
        <v/>
      </c>
      <c r="V38" s="84" t="str">
        <f>IF(Results!$U38="","",IF(U38&lt;&gt;"",U38,0)/SUM(Results!$U$7:$U$189))</f>
        <v/>
      </c>
      <c r="W38" s="101" t="str">
        <f>IF(Results!$I38&lt;&gt;"",(HLOOKUP(Table13[[#This Row],[Units]],'Emission Inputs (Optional)'!$L$10:$R$27,MATCH(Table13[[#This Row],[Energy Source]],'Emission Inputs (Optional)'!$L$10:$L$27,0),FALSE))*(Table13[[#This Row],[Annual Consumption (Baseline)]]-Table13[[#This Row],[Energy Savings]]),"")</f>
        <v/>
      </c>
      <c r="X38" s="13" t="str">
        <f>IFERROR(VLOOKUP(B38,'Emission Inputs (Optional)'!$G$9:$J$191,4,FALSE),"")</f>
        <v/>
      </c>
      <c r="Y38" s="95" t="str">
        <f>IF(Results!$W38&lt;&gt;"",Results!$W38,IF(X38&lt;&gt;"",(H38-X38),""))</f>
        <v/>
      </c>
      <c r="Z38" s="95" t="str">
        <f t="shared" si="1"/>
        <v/>
      </c>
      <c r="AA38" s="89" t="str">
        <f>IF(Results!$U38="","",IF(U38&lt;&gt;"",U38,0)/SUM(Results!$U$7:$U$189))</f>
        <v/>
      </c>
      <c r="AB38" s="8"/>
      <c r="AC38" s="8"/>
      <c r="AD38" s="8"/>
      <c r="AE38" s="8"/>
      <c r="AF38" s="8"/>
      <c r="AG38" s="8"/>
      <c r="AH38" s="8"/>
      <c r="AI38" s="8"/>
      <c r="AJ38" s="8"/>
      <c r="AK38" s="8"/>
      <c r="AL38" s="8"/>
      <c r="AM38" s="8"/>
      <c r="AN38" s="8"/>
      <c r="AO38" s="8"/>
      <c r="AP38" s="8"/>
      <c r="AQ38" s="8"/>
      <c r="AR38" s="8"/>
      <c r="AS38" s="8"/>
      <c r="AT38" s="8"/>
    </row>
    <row r="39" spans="1:46" x14ac:dyDescent="0.2">
      <c r="A39" s="55" t="str">
        <f>IF(B39&lt;&gt;"",COUNTA($B$7:B39),"")</f>
        <v/>
      </c>
      <c r="B39" s="83"/>
      <c r="C39" s="86"/>
      <c r="D39" s="83" t="str">
        <f>IF(Table13[[#This Row],[Energy Source]]="","",Table13[[#This Row],[Energy Source]])</f>
        <v/>
      </c>
      <c r="E39" s="83" t="str">
        <f>IF(Table13[[#This Row],[Units]]="", "", Table13[[#This Row],[Units]])</f>
        <v/>
      </c>
      <c r="F39" s="83" t="str">
        <f>IF(Table13[[#This Row],[Annual Consumption (Baseline)]]="", "", Table13[[#This Row],[Annual Consumption (Baseline)]])</f>
        <v/>
      </c>
      <c r="G39" s="83" t="str">
        <f>IF(F39="", "", IF(Results!$C39="Energy", VLOOKUP(Results!$E39,'Emission Inputs (Optional)'!$T$10:$U$27,2,FALSE)*Table13[[#This Row],[Energy Savings]], ""))</f>
        <v/>
      </c>
      <c r="H39" s="13" t="str">
        <f>IFERROR(VLOOKUP(B39,'Emission Inputs (Optional)'!$G$9:$I$191,3,FALSE),"")</f>
        <v/>
      </c>
      <c r="I39" s="13" t="str">
        <f>IF(Results!$C39="Energy", VLOOKUP(Results!$E39,'Emission Inputs (Optional)'!$T$10:$U$27,2,FALSE)*Results!$F39, "")</f>
        <v/>
      </c>
      <c r="J39" s="13" t="str">
        <f>IF(Results!$I39&lt;&gt;"",Results!$I39*0.293071,"")</f>
        <v/>
      </c>
      <c r="K39" s="84" t="str">
        <f>IF(Results!$I39&lt;&gt;"",Results!$I39/SUM($I$7:$I$189),"")</f>
        <v/>
      </c>
      <c r="L39" s="13" t="str">
        <f>IF(Results!$F39&lt;&gt;"",I39-G39,"")</f>
        <v/>
      </c>
      <c r="M39" s="13" t="str">
        <f>IF(Results!$L39&lt;&gt;"",Results!$L39*0.293071,"")</f>
        <v/>
      </c>
      <c r="N39" s="84" t="str">
        <f>IF(Results!$M39&lt;&gt;"",Results!$M39/SUM($M$7:$M$189),"")</f>
        <v/>
      </c>
      <c r="O39" s="85" t="str">
        <f>IF(Results!$C39="Energy", VLOOKUP(Results!$D39,'Energy Costs Inputs (Optional)'!$AS$3:$AU$20,2,FALSE)*Results!$I39, "")</f>
        <v/>
      </c>
      <c r="P39" s="84" t="str">
        <f>IF(Results!$O39&lt;&gt;"",Results!$O39/SUM($O$7:$O$189),"")</f>
        <v/>
      </c>
      <c r="Q39" s="85" t="str">
        <f>IF(Results!$C39="Energy", VLOOKUP(Results!$D39,'Energy Costs Inputs (Optional)'!$AS$3:$AU$20,2,FALSE)*Results!$L39, "")</f>
        <v/>
      </c>
      <c r="R39" s="84" t="str">
        <f>IF(Results!$Q39&lt;&gt;"",Results!$Q39/SUM($Q$7:$Q$189),"")</f>
        <v/>
      </c>
      <c r="S39" s="85" t="str">
        <f t="shared" si="0"/>
        <v/>
      </c>
      <c r="T39" s="13" t="str">
        <f>IF(Results!$I39&lt;&gt;"",(HLOOKUP(Table13[[#This Row],[Units]],'Emission Inputs (Optional)'!$L$10:$R$27,MATCH(Table13[[#This Row],[Energy Source]],'Emission Inputs (Optional)'!$L$10:$L$27,0),FALSE))*Table13[[#This Row],[Annual Consumption (Baseline)]],"")</f>
        <v/>
      </c>
      <c r="U39" s="13" t="str">
        <f>IF(Results!$T39&lt;&gt;"",Results!$T39,H39)</f>
        <v/>
      </c>
      <c r="V39" s="84" t="str">
        <f>IF(Results!$U39="","",IF(U39&lt;&gt;"",U39,0)/SUM(Results!$U$7:$U$189))</f>
        <v/>
      </c>
      <c r="W39" s="101" t="str">
        <f>IF(Results!$I39&lt;&gt;"",(HLOOKUP(Table13[[#This Row],[Units]],'Emission Inputs (Optional)'!$L$10:$R$27,MATCH(Table13[[#This Row],[Energy Source]],'Emission Inputs (Optional)'!$L$10:$L$27,0),FALSE))*(Table13[[#This Row],[Annual Consumption (Baseline)]]-Table13[[#This Row],[Energy Savings]]),"")</f>
        <v/>
      </c>
      <c r="X39" s="13" t="str">
        <f>IFERROR(VLOOKUP(B39,'Emission Inputs (Optional)'!$G$9:$J$191,4,FALSE),"")</f>
        <v/>
      </c>
      <c r="Y39" s="95" t="str">
        <f>IF(Results!$W39&lt;&gt;"",Results!$W39,IF(X39&lt;&gt;"",(H39-X39),""))</f>
        <v/>
      </c>
      <c r="Z39" s="95" t="str">
        <f t="shared" si="1"/>
        <v/>
      </c>
      <c r="AA39" s="89" t="str">
        <f>IF(Results!$U39="","",IF(U39&lt;&gt;"",U39,0)/SUM(Results!$U$7:$U$189))</f>
        <v/>
      </c>
      <c r="AB39" s="8"/>
      <c r="AC39" s="8"/>
      <c r="AD39" s="8"/>
      <c r="AE39" s="8"/>
      <c r="AF39" s="8"/>
      <c r="AG39" s="8"/>
      <c r="AH39" s="8"/>
      <c r="AI39" s="8"/>
      <c r="AJ39" s="8"/>
      <c r="AK39" s="8"/>
      <c r="AL39" s="8"/>
      <c r="AM39" s="8"/>
      <c r="AN39" s="8"/>
      <c r="AO39" s="8"/>
      <c r="AP39" s="8"/>
      <c r="AQ39" s="8"/>
      <c r="AR39" s="8"/>
      <c r="AS39" s="8"/>
      <c r="AT39" s="8"/>
    </row>
    <row r="40" spans="1:46" x14ac:dyDescent="0.2">
      <c r="A40" s="55" t="str">
        <f>IF(B40&lt;&gt;"",COUNTA($B$7:B40),"")</f>
        <v/>
      </c>
      <c r="B40" s="83"/>
      <c r="C40" s="86"/>
      <c r="D40" s="83" t="str">
        <f>IF(Table13[[#This Row],[Energy Source]]="","",Table13[[#This Row],[Energy Source]])</f>
        <v/>
      </c>
      <c r="E40" s="83" t="str">
        <f>IF(Table13[[#This Row],[Units]]="", "", Table13[[#This Row],[Units]])</f>
        <v/>
      </c>
      <c r="F40" s="83" t="str">
        <f>IF(Table13[[#This Row],[Annual Consumption (Baseline)]]="", "", Table13[[#This Row],[Annual Consumption (Baseline)]])</f>
        <v/>
      </c>
      <c r="G40" s="83" t="str">
        <f>IF(F40="", "", IF(Results!$C40="Energy", VLOOKUP(Results!$E40,'Emission Inputs (Optional)'!$T$10:$U$27,2,FALSE)*Table13[[#This Row],[Energy Savings]], ""))</f>
        <v/>
      </c>
      <c r="H40" s="13" t="str">
        <f>IFERROR(VLOOKUP(B40,'Emission Inputs (Optional)'!$G$9:$I$191,3,FALSE),"")</f>
        <v/>
      </c>
      <c r="I40" s="13" t="str">
        <f>IF(Results!$C40="Energy", VLOOKUP(Results!$E40,'Emission Inputs (Optional)'!$T$10:$U$27,2,FALSE)*Results!$F40, "")</f>
        <v/>
      </c>
      <c r="J40" s="13" t="str">
        <f>IF(Results!$I40&lt;&gt;"",Results!$I40*0.293071,"")</f>
        <v/>
      </c>
      <c r="K40" s="84" t="str">
        <f>IF(Results!$I40&lt;&gt;"",Results!$I40/SUM($I$7:$I$189),"")</f>
        <v/>
      </c>
      <c r="L40" s="13" t="str">
        <f>IF(Results!$F40&lt;&gt;"",I40-G40,"")</f>
        <v/>
      </c>
      <c r="M40" s="13" t="str">
        <f>IF(Results!$L40&lt;&gt;"",Results!$L40*0.293071,"")</f>
        <v/>
      </c>
      <c r="N40" s="84" t="str">
        <f>IF(Results!$M40&lt;&gt;"",Results!$M40/SUM($M$7:$M$189),"")</f>
        <v/>
      </c>
      <c r="O40" s="85" t="str">
        <f>IF(Results!$C40="Energy", VLOOKUP(Results!$D40,'Energy Costs Inputs (Optional)'!$AS$3:$AU$20,2,FALSE)*Results!$I40, "")</f>
        <v/>
      </c>
      <c r="P40" s="84" t="str">
        <f>IF(Results!$O40&lt;&gt;"",Results!$O40/SUM($O$7:$O$189),"")</f>
        <v/>
      </c>
      <c r="Q40" s="85" t="str">
        <f>IF(Results!$C40="Energy", VLOOKUP(Results!$D40,'Energy Costs Inputs (Optional)'!$AS$3:$AU$20,2,FALSE)*Results!$L40, "")</f>
        <v/>
      </c>
      <c r="R40" s="84" t="str">
        <f>IF(Results!$Q40&lt;&gt;"",Results!$Q40/SUM($Q$7:$Q$189),"")</f>
        <v/>
      </c>
      <c r="S40" s="85" t="str">
        <f t="shared" si="0"/>
        <v/>
      </c>
      <c r="T40" s="13" t="str">
        <f>IF(Results!$I40&lt;&gt;"",(HLOOKUP(Table13[[#This Row],[Units]],'Emission Inputs (Optional)'!$L$10:$R$27,MATCH(Table13[[#This Row],[Energy Source]],'Emission Inputs (Optional)'!$L$10:$L$27,0),FALSE))*Table13[[#This Row],[Annual Consumption (Baseline)]],"")</f>
        <v/>
      </c>
      <c r="U40" s="13" t="str">
        <f>IF(Results!$T40&lt;&gt;"",Results!$T40,H40)</f>
        <v/>
      </c>
      <c r="V40" s="84" t="str">
        <f>IF(Results!$U40="","",IF(U40&lt;&gt;"",U40,0)/SUM(Results!$U$7:$U$189))</f>
        <v/>
      </c>
      <c r="W40" s="101" t="str">
        <f>IF(Results!$I40&lt;&gt;"",(HLOOKUP(Table13[[#This Row],[Units]],'Emission Inputs (Optional)'!$L$10:$R$27,MATCH(Table13[[#This Row],[Energy Source]],'Emission Inputs (Optional)'!$L$10:$L$27,0),FALSE))*(Table13[[#This Row],[Annual Consumption (Baseline)]]-Table13[[#This Row],[Energy Savings]]),"")</f>
        <v/>
      </c>
      <c r="X40" s="13" t="str">
        <f>IFERROR(VLOOKUP(B40,'Emission Inputs (Optional)'!$G$9:$J$191,4,FALSE),"")</f>
        <v/>
      </c>
      <c r="Y40" s="95" t="str">
        <f>IF(Results!$W40&lt;&gt;"",Results!$W40,IF(X40&lt;&gt;"",(H40-X40),""))</f>
        <v/>
      </c>
      <c r="Z40" s="95" t="str">
        <f t="shared" si="1"/>
        <v/>
      </c>
      <c r="AA40" s="89" t="str">
        <f>IF(Results!$U40="","",IF(U40&lt;&gt;"",U40,0)/SUM(Results!$U$7:$U$189))</f>
        <v/>
      </c>
      <c r="AB40" s="8"/>
      <c r="AC40" s="8"/>
      <c r="AD40" s="8"/>
      <c r="AE40" s="8"/>
      <c r="AF40" s="8"/>
      <c r="AG40" s="8"/>
      <c r="AH40" s="8"/>
      <c r="AI40" s="8"/>
      <c r="AJ40" s="8"/>
      <c r="AK40" s="8"/>
      <c r="AL40" s="8"/>
      <c r="AM40" s="8"/>
      <c r="AN40" s="8"/>
      <c r="AO40" s="8"/>
      <c r="AP40" s="8"/>
      <c r="AQ40" s="8"/>
      <c r="AR40" s="8"/>
      <c r="AS40" s="8"/>
      <c r="AT40" s="8"/>
    </row>
    <row r="41" spans="1:46" x14ac:dyDescent="0.2">
      <c r="A41" s="55" t="str">
        <f>IF(B41&lt;&gt;"",COUNTA($B$7:B41),"")</f>
        <v/>
      </c>
      <c r="B41" s="83"/>
      <c r="C41" s="86"/>
      <c r="D41" s="83" t="str">
        <f>IF(Table13[[#This Row],[Energy Source]]="","",Table13[[#This Row],[Energy Source]])</f>
        <v/>
      </c>
      <c r="E41" s="83" t="str">
        <f>IF(Table13[[#This Row],[Units]]="", "", Table13[[#This Row],[Units]])</f>
        <v/>
      </c>
      <c r="F41" s="83" t="str">
        <f>IF(Table13[[#This Row],[Annual Consumption (Baseline)]]="", "", Table13[[#This Row],[Annual Consumption (Baseline)]])</f>
        <v/>
      </c>
      <c r="G41" s="83" t="str">
        <f>IF(F41="", "", IF(Results!$C41="Energy", VLOOKUP(Results!$E41,'Emission Inputs (Optional)'!$T$10:$U$27,2,FALSE)*Table13[[#This Row],[Energy Savings]], ""))</f>
        <v/>
      </c>
      <c r="H41" s="13" t="str">
        <f>IFERROR(VLOOKUP(B41,'Emission Inputs (Optional)'!$G$9:$I$191,3,FALSE),"")</f>
        <v/>
      </c>
      <c r="I41" s="13" t="str">
        <f>IF(Results!$C41="Energy", VLOOKUP(Results!$E41,'Emission Inputs (Optional)'!$T$10:$U$27,2,FALSE)*Results!$F41, "")</f>
        <v/>
      </c>
      <c r="J41" s="13" t="str">
        <f>IF(Results!$I41&lt;&gt;"",Results!$I41*0.293071,"")</f>
        <v/>
      </c>
      <c r="K41" s="84" t="str">
        <f>IF(Results!$I41&lt;&gt;"",Results!$I41/SUM($I$7:$I$189),"")</f>
        <v/>
      </c>
      <c r="L41" s="13" t="str">
        <f>IF(Results!$F41&lt;&gt;"",I41-G41,"")</f>
        <v/>
      </c>
      <c r="M41" s="13" t="str">
        <f>IF(Results!$L41&lt;&gt;"",Results!$L41*0.293071,"")</f>
        <v/>
      </c>
      <c r="N41" s="84" t="str">
        <f>IF(Results!$M41&lt;&gt;"",Results!$M41/SUM($M$7:$M$189),"")</f>
        <v/>
      </c>
      <c r="O41" s="85" t="str">
        <f>IF(Results!$C41="Energy", VLOOKUP(Results!$D41,'Energy Costs Inputs (Optional)'!$AS$3:$AU$20,2,FALSE)*Results!$I41, "")</f>
        <v/>
      </c>
      <c r="P41" s="84" t="str">
        <f>IF(Results!$O41&lt;&gt;"",Results!$O41/SUM($O$7:$O$189),"")</f>
        <v/>
      </c>
      <c r="Q41" s="85" t="str">
        <f>IF(Results!$C41="Energy", VLOOKUP(Results!$D41,'Energy Costs Inputs (Optional)'!$AS$3:$AU$20,2,FALSE)*Results!$L41, "")</f>
        <v/>
      </c>
      <c r="R41" s="84" t="str">
        <f>IF(Results!$Q41&lt;&gt;"",Results!$Q41/SUM($Q$7:$Q$189),"")</f>
        <v/>
      </c>
      <c r="S41" s="85" t="str">
        <f t="shared" si="0"/>
        <v/>
      </c>
      <c r="T41" s="13" t="str">
        <f>IF(Results!$I41&lt;&gt;"",(HLOOKUP(Table13[[#This Row],[Units]],'Emission Inputs (Optional)'!$L$10:$R$27,MATCH(Table13[[#This Row],[Energy Source]],'Emission Inputs (Optional)'!$L$10:$L$27,0),FALSE))*Table13[[#This Row],[Annual Consumption (Baseline)]],"")</f>
        <v/>
      </c>
      <c r="U41" s="13" t="str">
        <f>IF(Results!$T41&lt;&gt;"",Results!$T41,H41)</f>
        <v/>
      </c>
      <c r="V41" s="84" t="str">
        <f>IF(Results!$U41="","",IF(U41&lt;&gt;"",U41,0)/SUM(Results!$U$7:$U$189))</f>
        <v/>
      </c>
      <c r="W41" s="101" t="str">
        <f>IF(Results!$I41&lt;&gt;"",(HLOOKUP(Table13[[#This Row],[Units]],'Emission Inputs (Optional)'!$L$10:$R$27,MATCH(Table13[[#This Row],[Energy Source]],'Emission Inputs (Optional)'!$L$10:$L$27,0),FALSE))*(Table13[[#This Row],[Annual Consumption (Baseline)]]-Table13[[#This Row],[Energy Savings]]),"")</f>
        <v/>
      </c>
      <c r="X41" s="13" t="str">
        <f>IFERROR(VLOOKUP(B41,'Emission Inputs (Optional)'!$G$9:$J$191,4,FALSE),"")</f>
        <v/>
      </c>
      <c r="Y41" s="95" t="str">
        <f>IF(Results!$W41&lt;&gt;"",Results!$W41,IF(X41&lt;&gt;"",(H41-X41),""))</f>
        <v/>
      </c>
      <c r="Z41" s="95" t="str">
        <f t="shared" si="1"/>
        <v/>
      </c>
      <c r="AA41" s="89" t="str">
        <f>IF(Results!$U41="","",IF(U41&lt;&gt;"",U41,0)/SUM(Results!$U$7:$U$189))</f>
        <v/>
      </c>
      <c r="AB41" s="8"/>
      <c r="AC41" s="8"/>
      <c r="AD41" s="8"/>
      <c r="AE41" s="8"/>
      <c r="AF41" s="8"/>
      <c r="AG41" s="8"/>
      <c r="AH41" s="8"/>
      <c r="AI41" s="8"/>
      <c r="AJ41" s="8"/>
      <c r="AK41" s="8"/>
      <c r="AL41" s="8"/>
      <c r="AM41" s="8"/>
      <c r="AN41" s="8"/>
      <c r="AO41" s="8"/>
      <c r="AP41" s="8"/>
      <c r="AQ41" s="8"/>
      <c r="AR41" s="8"/>
      <c r="AS41" s="8"/>
      <c r="AT41" s="8"/>
    </row>
    <row r="42" spans="1:46" x14ac:dyDescent="0.2">
      <c r="A42" s="55" t="str">
        <f>IF(B42&lt;&gt;"",COUNTA($B$7:B42),"")</f>
        <v/>
      </c>
      <c r="B42" s="83"/>
      <c r="C42" s="86"/>
      <c r="D42" s="83" t="str">
        <f>IF(Table13[[#This Row],[Energy Source]]="","",Table13[[#This Row],[Energy Source]])</f>
        <v/>
      </c>
      <c r="E42" s="83" t="str">
        <f>IF(Table13[[#This Row],[Units]]="", "", Table13[[#This Row],[Units]])</f>
        <v/>
      </c>
      <c r="F42" s="83" t="str">
        <f>IF(Table13[[#This Row],[Annual Consumption (Baseline)]]="", "", Table13[[#This Row],[Annual Consumption (Baseline)]])</f>
        <v/>
      </c>
      <c r="G42" s="83" t="str">
        <f>IF(F42="", "", IF(Results!$C42="Energy", VLOOKUP(Results!$E42,'Emission Inputs (Optional)'!$T$10:$U$27,2,FALSE)*Table13[[#This Row],[Energy Savings]], ""))</f>
        <v/>
      </c>
      <c r="H42" s="13" t="str">
        <f>IFERROR(VLOOKUP(B42,'Emission Inputs (Optional)'!$G$9:$I$191,3,FALSE),"")</f>
        <v/>
      </c>
      <c r="I42" s="13" t="str">
        <f>IF(Results!$C42="Energy", VLOOKUP(Results!$E42,'Emission Inputs (Optional)'!$T$10:$U$27,2,FALSE)*Results!$F42, "")</f>
        <v/>
      </c>
      <c r="J42" s="13" t="str">
        <f>IF(Results!$I42&lt;&gt;"",Results!$I42*0.293071,"")</f>
        <v/>
      </c>
      <c r="K42" s="84" t="str">
        <f>IF(Results!$I42&lt;&gt;"",Results!$I42/SUM($I$7:$I$189),"")</f>
        <v/>
      </c>
      <c r="L42" s="13" t="str">
        <f>IF(Results!$F42&lt;&gt;"",I42-G42,"")</f>
        <v/>
      </c>
      <c r="M42" s="13" t="str">
        <f>IF(Results!$L42&lt;&gt;"",Results!$L42*0.293071,"")</f>
        <v/>
      </c>
      <c r="N42" s="84" t="str">
        <f>IF(Results!$M42&lt;&gt;"",Results!$M42/SUM($M$7:$M$189),"")</f>
        <v/>
      </c>
      <c r="O42" s="85" t="str">
        <f>IF(Results!$C42="Energy", VLOOKUP(Results!$D42,'Energy Costs Inputs (Optional)'!$AS$3:$AU$20,2,FALSE)*Results!$I42, "")</f>
        <v/>
      </c>
      <c r="P42" s="84" t="str">
        <f>IF(Results!$O42&lt;&gt;"",Results!$O42/SUM($O$7:$O$189),"")</f>
        <v/>
      </c>
      <c r="Q42" s="85" t="str">
        <f>IF(Results!$C42="Energy", VLOOKUP(Results!$D42,'Energy Costs Inputs (Optional)'!$AS$3:$AU$20,2,FALSE)*Results!$L42, "")</f>
        <v/>
      </c>
      <c r="R42" s="84" t="str">
        <f>IF(Results!$Q42&lt;&gt;"",Results!$Q42/SUM($Q$7:$Q$189),"")</f>
        <v/>
      </c>
      <c r="S42" s="85" t="str">
        <f t="shared" si="0"/>
        <v/>
      </c>
      <c r="T42" s="13" t="str">
        <f>IF(Results!$I42&lt;&gt;"",(HLOOKUP(Table13[[#This Row],[Units]],'Emission Inputs (Optional)'!$L$10:$R$27,MATCH(Table13[[#This Row],[Energy Source]],'Emission Inputs (Optional)'!$L$10:$L$27,0),FALSE))*Table13[[#This Row],[Annual Consumption (Baseline)]],"")</f>
        <v/>
      </c>
      <c r="U42" s="13" t="str">
        <f>IF(Results!$T42&lt;&gt;"",Results!$T42,H42)</f>
        <v/>
      </c>
      <c r="V42" s="84" t="str">
        <f>IF(Results!$U42="","",IF(U42&lt;&gt;"",U42,0)/SUM(Results!$U$7:$U$189))</f>
        <v/>
      </c>
      <c r="W42" s="101" t="str">
        <f>IF(Results!$I42&lt;&gt;"",(HLOOKUP(Table13[[#This Row],[Units]],'Emission Inputs (Optional)'!$L$10:$R$27,MATCH(Table13[[#This Row],[Energy Source]],'Emission Inputs (Optional)'!$L$10:$L$27,0),FALSE))*(Table13[[#This Row],[Annual Consumption (Baseline)]]-Table13[[#This Row],[Energy Savings]]),"")</f>
        <v/>
      </c>
      <c r="X42" s="13" t="str">
        <f>IFERROR(VLOOKUP(B42,'Emission Inputs (Optional)'!$G$9:$J$191,4,FALSE),"")</f>
        <v/>
      </c>
      <c r="Y42" s="95" t="str">
        <f>IF(Results!$W42&lt;&gt;"",Results!$W42,IF(X42&lt;&gt;"",(H42-X42),""))</f>
        <v/>
      </c>
      <c r="Z42" s="95" t="str">
        <f t="shared" si="1"/>
        <v/>
      </c>
      <c r="AA42" s="89" t="str">
        <f>IF(Results!$U42="","",IF(U42&lt;&gt;"",U42,0)/SUM(Results!$U$7:$U$189))</f>
        <v/>
      </c>
      <c r="AB42" s="8"/>
      <c r="AC42" s="8"/>
      <c r="AD42" s="8"/>
      <c r="AE42" s="8"/>
      <c r="AF42" s="8"/>
      <c r="AG42" s="8"/>
      <c r="AH42" s="8"/>
      <c r="AI42" s="8"/>
      <c r="AJ42" s="8"/>
      <c r="AK42" s="8"/>
      <c r="AL42" s="8"/>
      <c r="AM42" s="8"/>
      <c r="AN42" s="8"/>
      <c r="AO42" s="8"/>
      <c r="AP42" s="8"/>
      <c r="AQ42" s="8"/>
      <c r="AR42" s="8"/>
      <c r="AS42" s="8"/>
      <c r="AT42" s="8"/>
    </row>
    <row r="43" spans="1:46" x14ac:dyDescent="0.2">
      <c r="A43" s="55" t="str">
        <f>IF(B43&lt;&gt;"",COUNTA($B$7:B43),"")</f>
        <v/>
      </c>
      <c r="B43" s="83"/>
      <c r="C43" s="86"/>
      <c r="D43" s="83" t="str">
        <f>IF(Table13[[#This Row],[Energy Source]]="","",Table13[[#This Row],[Energy Source]])</f>
        <v/>
      </c>
      <c r="E43" s="83" t="str">
        <f>IF(Table13[[#This Row],[Units]]="", "", Table13[[#This Row],[Units]])</f>
        <v/>
      </c>
      <c r="F43" s="83" t="str">
        <f>IF(Table13[[#This Row],[Annual Consumption (Baseline)]]="", "", Table13[[#This Row],[Annual Consumption (Baseline)]])</f>
        <v/>
      </c>
      <c r="G43" s="83" t="str">
        <f>IF(F43="", "", IF(Results!$C43="Energy", VLOOKUP(Results!$E43,'Emission Inputs (Optional)'!$T$10:$U$27,2,FALSE)*Table13[[#This Row],[Energy Savings]], ""))</f>
        <v/>
      </c>
      <c r="H43" s="13" t="str">
        <f>IFERROR(VLOOKUP(B43,'Emission Inputs (Optional)'!$G$9:$I$191,3,FALSE),"")</f>
        <v/>
      </c>
      <c r="I43" s="13" t="str">
        <f>IF(Results!$C43="Energy", VLOOKUP(Results!$E43,'Emission Inputs (Optional)'!$T$10:$U$27,2,FALSE)*Results!$F43, "")</f>
        <v/>
      </c>
      <c r="J43" s="13" t="str">
        <f>IF(Results!$I43&lt;&gt;"",Results!$I43*0.293071,"")</f>
        <v/>
      </c>
      <c r="K43" s="84" t="str">
        <f>IF(Results!$I43&lt;&gt;"",Results!$I43/SUM($I$7:$I$189),"")</f>
        <v/>
      </c>
      <c r="L43" s="13" t="str">
        <f>IF(Results!$F43&lt;&gt;"",I43-G43,"")</f>
        <v/>
      </c>
      <c r="M43" s="13" t="str">
        <f>IF(Results!$L43&lt;&gt;"",Results!$L43*0.293071,"")</f>
        <v/>
      </c>
      <c r="N43" s="84" t="str">
        <f>IF(Results!$M43&lt;&gt;"",Results!$M43/SUM($M$7:$M$189),"")</f>
        <v/>
      </c>
      <c r="O43" s="85" t="str">
        <f>IF(Results!$C43="Energy", VLOOKUP(Results!$D43,'Energy Costs Inputs (Optional)'!$AS$3:$AU$20,2,FALSE)*Results!$I43, "")</f>
        <v/>
      </c>
      <c r="P43" s="84" t="str">
        <f>IF(Results!$O43&lt;&gt;"",Results!$O43/SUM($O$7:$O$189),"")</f>
        <v/>
      </c>
      <c r="Q43" s="85" t="str">
        <f>IF(Results!$C43="Energy", VLOOKUP(Results!$D43,'Energy Costs Inputs (Optional)'!$AS$3:$AU$20,2,FALSE)*Results!$L43, "")</f>
        <v/>
      </c>
      <c r="R43" s="84" t="str">
        <f>IF(Results!$Q43&lt;&gt;"",Results!$Q43/SUM($Q$7:$Q$189),"")</f>
        <v/>
      </c>
      <c r="S43" s="85" t="str">
        <f t="shared" si="0"/>
        <v/>
      </c>
      <c r="T43" s="13" t="str">
        <f>IF(Results!$I43&lt;&gt;"",(HLOOKUP(Table13[[#This Row],[Units]],'Emission Inputs (Optional)'!$L$10:$R$27,MATCH(Table13[[#This Row],[Energy Source]],'Emission Inputs (Optional)'!$L$10:$L$27,0),FALSE))*Table13[[#This Row],[Annual Consumption (Baseline)]],"")</f>
        <v/>
      </c>
      <c r="U43" s="13" t="str">
        <f>IF(Results!$T43&lt;&gt;"",Results!$T43,H43)</f>
        <v/>
      </c>
      <c r="V43" s="84" t="str">
        <f>IF(Results!$U43="","",IF(U43&lt;&gt;"",U43,0)/SUM(Results!$U$7:$U$189))</f>
        <v/>
      </c>
      <c r="W43" s="101" t="str">
        <f>IF(Results!$I43&lt;&gt;"",(HLOOKUP(Table13[[#This Row],[Units]],'Emission Inputs (Optional)'!$L$10:$R$27,MATCH(Table13[[#This Row],[Energy Source]],'Emission Inputs (Optional)'!$L$10:$L$27,0),FALSE))*(Table13[[#This Row],[Annual Consumption (Baseline)]]-Table13[[#This Row],[Energy Savings]]),"")</f>
        <v/>
      </c>
      <c r="X43" s="13" t="str">
        <f>IFERROR(VLOOKUP(B43,'Emission Inputs (Optional)'!$G$9:$J$191,4,FALSE),"")</f>
        <v/>
      </c>
      <c r="Y43" s="95" t="str">
        <f>IF(Results!$W43&lt;&gt;"",Results!$W43,IF(X43&lt;&gt;"",(H43-X43),""))</f>
        <v/>
      </c>
      <c r="Z43" s="95" t="str">
        <f t="shared" si="1"/>
        <v/>
      </c>
      <c r="AA43" s="89" t="str">
        <f>IF(Results!$U43="","",IF(U43&lt;&gt;"",U43,0)/SUM(Results!$U$7:$U$189))</f>
        <v/>
      </c>
      <c r="AB43" s="8"/>
      <c r="AC43" s="8"/>
      <c r="AD43" s="8"/>
      <c r="AE43" s="8"/>
      <c r="AF43" s="8"/>
      <c r="AG43" s="8"/>
      <c r="AH43" s="8"/>
      <c r="AI43" s="8"/>
      <c r="AJ43" s="8"/>
      <c r="AK43" s="8"/>
      <c r="AL43" s="8"/>
      <c r="AM43" s="8"/>
      <c r="AN43" s="8"/>
      <c r="AO43" s="8"/>
      <c r="AP43" s="8"/>
      <c r="AQ43" s="8"/>
      <c r="AR43" s="8"/>
      <c r="AS43" s="8"/>
      <c r="AT43" s="8"/>
    </row>
    <row r="44" spans="1:46" x14ac:dyDescent="0.2">
      <c r="A44" s="55" t="str">
        <f>IF(B44&lt;&gt;"",COUNTA($B$7:B44),"")</f>
        <v/>
      </c>
      <c r="B44" s="83"/>
      <c r="C44" s="86"/>
      <c r="D44" s="83" t="str">
        <f>IF(Table13[[#This Row],[Energy Source]]="","",Table13[[#This Row],[Energy Source]])</f>
        <v/>
      </c>
      <c r="E44" s="83" t="str">
        <f>IF(Table13[[#This Row],[Units]]="", "", Table13[[#This Row],[Units]])</f>
        <v/>
      </c>
      <c r="F44" s="83" t="str">
        <f>IF(Table13[[#This Row],[Annual Consumption (Baseline)]]="", "", Table13[[#This Row],[Annual Consumption (Baseline)]])</f>
        <v/>
      </c>
      <c r="G44" s="83" t="str">
        <f>IF(F44="", "", IF(Results!$C44="Energy", VLOOKUP(Results!$E44,'Emission Inputs (Optional)'!$T$10:$U$27,2,FALSE)*Table13[[#This Row],[Energy Savings]], ""))</f>
        <v/>
      </c>
      <c r="H44" s="13" t="str">
        <f>IFERROR(VLOOKUP(B44,'Emission Inputs (Optional)'!$G$9:$I$191,3,FALSE),"")</f>
        <v/>
      </c>
      <c r="I44" s="13" t="str">
        <f>IF(Results!$C44="Energy", VLOOKUP(Results!$E44,'Emission Inputs (Optional)'!$T$10:$U$27,2,FALSE)*Results!$F44, "")</f>
        <v/>
      </c>
      <c r="J44" s="13" t="str">
        <f>IF(Results!$I44&lt;&gt;"",Results!$I44*0.293071,"")</f>
        <v/>
      </c>
      <c r="K44" s="84" t="str">
        <f>IF(Results!$I44&lt;&gt;"",Results!$I44/SUM($I$7:$I$189),"")</f>
        <v/>
      </c>
      <c r="L44" s="13" t="str">
        <f>IF(Results!$F44&lt;&gt;"",I44-G44,"")</f>
        <v/>
      </c>
      <c r="M44" s="13" t="str">
        <f>IF(Results!$L44&lt;&gt;"",Results!$L44*0.293071,"")</f>
        <v/>
      </c>
      <c r="N44" s="84" t="str">
        <f>IF(Results!$M44&lt;&gt;"",Results!$M44/SUM($M$7:$M$189),"")</f>
        <v/>
      </c>
      <c r="O44" s="85" t="str">
        <f>IF(Results!$C44="Energy", VLOOKUP(Results!$D44,'Energy Costs Inputs (Optional)'!$AS$3:$AU$20,2,FALSE)*Results!$I44, "")</f>
        <v/>
      </c>
      <c r="P44" s="84" t="str">
        <f>IF(Results!$O44&lt;&gt;"",Results!$O44/SUM($O$7:$O$189),"")</f>
        <v/>
      </c>
      <c r="Q44" s="85" t="str">
        <f>IF(Results!$C44="Energy", VLOOKUP(Results!$D44,'Energy Costs Inputs (Optional)'!$AS$3:$AU$20,2,FALSE)*Results!$L44, "")</f>
        <v/>
      </c>
      <c r="R44" s="84" t="str">
        <f>IF(Results!$Q44&lt;&gt;"",Results!$Q44/SUM($Q$7:$Q$189),"")</f>
        <v/>
      </c>
      <c r="S44" s="85" t="str">
        <f t="shared" si="0"/>
        <v/>
      </c>
      <c r="T44" s="13" t="str">
        <f>IF(Results!$I44&lt;&gt;"",(HLOOKUP(Table13[[#This Row],[Units]],'Emission Inputs (Optional)'!$L$10:$R$27,MATCH(Table13[[#This Row],[Energy Source]],'Emission Inputs (Optional)'!$L$10:$L$27,0),FALSE))*Table13[[#This Row],[Annual Consumption (Baseline)]],"")</f>
        <v/>
      </c>
      <c r="U44" s="13" t="str">
        <f>IF(Results!$T44&lt;&gt;"",Results!$T44,H44)</f>
        <v/>
      </c>
      <c r="V44" s="84" t="str">
        <f>IF(Results!$U44="","",IF(U44&lt;&gt;"",U44,0)/SUM(Results!$U$7:$U$189))</f>
        <v/>
      </c>
      <c r="W44" s="101" t="str">
        <f>IF(Results!$I44&lt;&gt;"",(HLOOKUP(Table13[[#This Row],[Units]],'Emission Inputs (Optional)'!$L$10:$R$27,MATCH(Table13[[#This Row],[Energy Source]],'Emission Inputs (Optional)'!$L$10:$L$27,0),FALSE))*(Table13[[#This Row],[Annual Consumption (Baseline)]]-Table13[[#This Row],[Energy Savings]]),"")</f>
        <v/>
      </c>
      <c r="X44" s="13" t="str">
        <f>IFERROR(VLOOKUP(B44,'Emission Inputs (Optional)'!$G$9:$J$191,4,FALSE),"")</f>
        <v/>
      </c>
      <c r="Y44" s="95" t="str">
        <f>IF(Results!$W44&lt;&gt;"",Results!$W44,IF(X44&lt;&gt;"",(H44-X44),""))</f>
        <v/>
      </c>
      <c r="Z44" s="95" t="str">
        <f t="shared" si="1"/>
        <v/>
      </c>
      <c r="AA44" s="89" t="str">
        <f>IF(Results!$U44="","",IF(U44&lt;&gt;"",U44,0)/SUM(Results!$U$7:$U$189))</f>
        <v/>
      </c>
      <c r="AB44" s="8"/>
      <c r="AC44" s="8"/>
      <c r="AD44" s="8"/>
      <c r="AE44" s="8"/>
      <c r="AF44" s="8"/>
      <c r="AG44" s="8"/>
      <c r="AH44" s="8"/>
      <c r="AI44" s="8"/>
      <c r="AJ44" s="8"/>
      <c r="AK44" s="8"/>
      <c r="AL44" s="8"/>
      <c r="AM44" s="8"/>
      <c r="AN44" s="8"/>
      <c r="AO44" s="8"/>
      <c r="AP44" s="8"/>
      <c r="AQ44" s="8"/>
      <c r="AR44" s="8"/>
      <c r="AS44" s="8"/>
      <c r="AT44" s="8"/>
    </row>
    <row r="45" spans="1:46" x14ac:dyDescent="0.2">
      <c r="A45" s="55" t="str">
        <f>IF(B45&lt;&gt;"",COUNTA($B$7:B45),"")</f>
        <v/>
      </c>
      <c r="B45" s="83"/>
      <c r="C45" s="86"/>
      <c r="D45" s="83" t="str">
        <f>IF(Table13[[#This Row],[Energy Source]]="","",Table13[[#This Row],[Energy Source]])</f>
        <v/>
      </c>
      <c r="E45" s="83" t="str">
        <f>IF(Table13[[#This Row],[Units]]="", "", Table13[[#This Row],[Units]])</f>
        <v/>
      </c>
      <c r="F45" s="83" t="str">
        <f>IF(Table13[[#This Row],[Annual Consumption (Baseline)]]="", "", Table13[[#This Row],[Annual Consumption (Baseline)]])</f>
        <v/>
      </c>
      <c r="G45" s="83" t="str">
        <f>IF(F45="", "", IF(Results!$C45="Energy", VLOOKUP(Results!$E45,'Emission Inputs (Optional)'!$T$10:$U$27,2,FALSE)*Table13[[#This Row],[Energy Savings]], ""))</f>
        <v/>
      </c>
      <c r="H45" s="13" t="str">
        <f>IFERROR(VLOOKUP(B45,'Emission Inputs (Optional)'!$G$9:$I$191,3,FALSE),"")</f>
        <v/>
      </c>
      <c r="I45" s="13" t="str">
        <f>IF(Results!$C45="Energy", VLOOKUP(Results!$E45,'Emission Inputs (Optional)'!$T$10:$U$27,2,FALSE)*Results!$F45, "")</f>
        <v/>
      </c>
      <c r="J45" s="13" t="str">
        <f>IF(Results!$I45&lt;&gt;"",Results!$I45*0.293071,"")</f>
        <v/>
      </c>
      <c r="K45" s="84" t="str">
        <f>IF(Results!$I45&lt;&gt;"",Results!$I45/SUM($I$7:$I$189),"")</f>
        <v/>
      </c>
      <c r="L45" s="13" t="str">
        <f>IF(Results!$F45&lt;&gt;"",I45-G45,"")</f>
        <v/>
      </c>
      <c r="M45" s="13" t="str">
        <f>IF(Results!$L45&lt;&gt;"",Results!$L45*0.293071,"")</f>
        <v/>
      </c>
      <c r="N45" s="84" t="str">
        <f>IF(Results!$M45&lt;&gt;"",Results!$M45/SUM($M$7:$M$189),"")</f>
        <v/>
      </c>
      <c r="O45" s="85" t="str">
        <f>IF(Results!$C45="Energy", VLOOKUP(Results!$D45,'Energy Costs Inputs (Optional)'!$AS$3:$AU$20,2,FALSE)*Results!$I45, "")</f>
        <v/>
      </c>
      <c r="P45" s="84" t="str">
        <f>IF(Results!$O45&lt;&gt;"",Results!$O45/SUM($O$7:$O$189),"")</f>
        <v/>
      </c>
      <c r="Q45" s="85" t="str">
        <f>IF(Results!$C45="Energy", VLOOKUP(Results!$D45,'Energy Costs Inputs (Optional)'!$AS$3:$AU$20,2,FALSE)*Results!$L45, "")</f>
        <v/>
      </c>
      <c r="R45" s="84" t="str">
        <f>IF(Results!$Q45&lt;&gt;"",Results!$Q45/SUM($Q$7:$Q$189),"")</f>
        <v/>
      </c>
      <c r="S45" s="85" t="str">
        <f t="shared" si="0"/>
        <v/>
      </c>
      <c r="T45" s="13" t="str">
        <f>IF(Results!$I45&lt;&gt;"",(HLOOKUP(Table13[[#This Row],[Units]],'Emission Inputs (Optional)'!$L$10:$R$27,MATCH(Table13[[#This Row],[Energy Source]],'Emission Inputs (Optional)'!$L$10:$L$27,0),FALSE))*Table13[[#This Row],[Annual Consumption (Baseline)]],"")</f>
        <v/>
      </c>
      <c r="U45" s="13" t="str">
        <f>IF(Results!$T45&lt;&gt;"",Results!$T45,H45)</f>
        <v/>
      </c>
      <c r="V45" s="84" t="str">
        <f>IF(Results!$U45="","",IF(U45&lt;&gt;"",U45,0)/SUM(Results!$U$7:$U$189))</f>
        <v/>
      </c>
      <c r="W45" s="101" t="str">
        <f>IF(Results!$I45&lt;&gt;"",(HLOOKUP(Table13[[#This Row],[Units]],'Emission Inputs (Optional)'!$L$10:$R$27,MATCH(Table13[[#This Row],[Energy Source]],'Emission Inputs (Optional)'!$L$10:$L$27,0),FALSE))*(Table13[[#This Row],[Annual Consumption (Baseline)]]-Table13[[#This Row],[Energy Savings]]),"")</f>
        <v/>
      </c>
      <c r="X45" s="13" t="str">
        <f>IFERROR(VLOOKUP(B45,'Emission Inputs (Optional)'!$G$9:$J$191,4,FALSE),"")</f>
        <v/>
      </c>
      <c r="Y45" s="95" t="str">
        <f>IF(Results!$W45&lt;&gt;"",Results!$W45,IF(X45&lt;&gt;"",(H45-X45),""))</f>
        <v/>
      </c>
      <c r="Z45" s="95" t="str">
        <f t="shared" si="1"/>
        <v/>
      </c>
      <c r="AA45" s="89" t="str">
        <f>IF(Results!$U45="","",IF(U45&lt;&gt;"",U45,0)/SUM(Results!$U$7:$U$189))</f>
        <v/>
      </c>
      <c r="AB45" s="8"/>
      <c r="AC45" s="8"/>
      <c r="AD45" s="8"/>
      <c r="AE45" s="8"/>
      <c r="AF45" s="8"/>
      <c r="AG45" s="8"/>
      <c r="AH45" s="8"/>
      <c r="AI45" s="8"/>
      <c r="AJ45" s="8"/>
      <c r="AK45" s="8"/>
      <c r="AL45" s="8"/>
      <c r="AM45" s="8"/>
      <c r="AN45" s="8"/>
      <c r="AO45" s="8"/>
      <c r="AP45" s="8"/>
      <c r="AQ45" s="8"/>
      <c r="AR45" s="8"/>
      <c r="AS45" s="8"/>
      <c r="AT45" s="8"/>
    </row>
    <row r="46" spans="1:46" x14ac:dyDescent="0.2">
      <c r="A46" s="55" t="str">
        <f>IF(B46&lt;&gt;"",COUNTA($B$7:B46),"")</f>
        <v/>
      </c>
      <c r="B46" s="83"/>
      <c r="C46" s="86"/>
      <c r="D46" s="83" t="str">
        <f>IF(Table13[[#This Row],[Energy Source]]="","",Table13[[#This Row],[Energy Source]])</f>
        <v/>
      </c>
      <c r="E46" s="83" t="str">
        <f>IF(Table13[[#This Row],[Units]]="", "", Table13[[#This Row],[Units]])</f>
        <v/>
      </c>
      <c r="F46" s="83" t="str">
        <f>IF(Table13[[#This Row],[Annual Consumption (Baseline)]]="", "", Table13[[#This Row],[Annual Consumption (Baseline)]])</f>
        <v/>
      </c>
      <c r="G46" s="83" t="str">
        <f>IF(F46="", "", IF(Results!$C46="Energy", VLOOKUP(Results!$E46,'Emission Inputs (Optional)'!$T$10:$U$27,2,FALSE)*Table13[[#This Row],[Energy Savings]], ""))</f>
        <v/>
      </c>
      <c r="H46" s="13" t="str">
        <f>IFERROR(VLOOKUP(B46,'Emission Inputs (Optional)'!$G$9:$I$191,3,FALSE),"")</f>
        <v/>
      </c>
      <c r="I46" s="13" t="str">
        <f>IF(Results!$C46="Energy", VLOOKUP(Results!$E46,'Emission Inputs (Optional)'!$T$10:$U$27,2,FALSE)*Results!$F46, "")</f>
        <v/>
      </c>
      <c r="J46" s="13" t="str">
        <f>IF(Results!$I46&lt;&gt;"",Results!$I46*0.293071,"")</f>
        <v/>
      </c>
      <c r="K46" s="84" t="str">
        <f>IF(Results!$I46&lt;&gt;"",Results!$I46/SUM($I$7:$I$189),"")</f>
        <v/>
      </c>
      <c r="L46" s="13" t="str">
        <f>IF(Results!$F46&lt;&gt;"",I46-G46,"")</f>
        <v/>
      </c>
      <c r="M46" s="13" t="str">
        <f>IF(Results!$L46&lt;&gt;"",Results!$L46*0.293071,"")</f>
        <v/>
      </c>
      <c r="N46" s="84" t="str">
        <f>IF(Results!$M46&lt;&gt;"",Results!$M46/SUM($M$7:$M$189),"")</f>
        <v/>
      </c>
      <c r="O46" s="85" t="str">
        <f>IF(Results!$C46="Energy", VLOOKUP(Results!$D46,'Energy Costs Inputs (Optional)'!$AS$3:$AU$20,2,FALSE)*Results!$I46, "")</f>
        <v/>
      </c>
      <c r="P46" s="84" t="str">
        <f>IF(Results!$O46&lt;&gt;"",Results!$O46/SUM($O$7:$O$189),"")</f>
        <v/>
      </c>
      <c r="Q46" s="85" t="str">
        <f>IF(Results!$C46="Energy", VLOOKUP(Results!$D46,'Energy Costs Inputs (Optional)'!$AS$3:$AU$20,2,FALSE)*Results!$L46, "")</f>
        <v/>
      </c>
      <c r="R46" s="84" t="str">
        <f>IF(Results!$Q46&lt;&gt;"",Results!$Q46/SUM($Q$7:$Q$189),"")</f>
        <v/>
      </c>
      <c r="S46" s="85" t="str">
        <f t="shared" si="0"/>
        <v/>
      </c>
      <c r="T46" s="13" t="str">
        <f>IF(Results!$I46&lt;&gt;"",(HLOOKUP(Table13[[#This Row],[Units]],'Emission Inputs (Optional)'!$L$10:$R$27,MATCH(Table13[[#This Row],[Energy Source]],'Emission Inputs (Optional)'!$L$10:$L$27,0),FALSE))*Table13[[#This Row],[Annual Consumption (Baseline)]],"")</f>
        <v/>
      </c>
      <c r="U46" s="13" t="str">
        <f>IF(Results!$T46&lt;&gt;"",Results!$T46,H46)</f>
        <v/>
      </c>
      <c r="V46" s="84" t="str">
        <f>IF(Results!$U46="","",IF(U46&lt;&gt;"",U46,0)/SUM(Results!$U$7:$U$189))</f>
        <v/>
      </c>
      <c r="W46" s="101" t="str">
        <f>IF(Results!$I46&lt;&gt;"",(HLOOKUP(Table13[[#This Row],[Units]],'Emission Inputs (Optional)'!$L$10:$R$27,MATCH(Table13[[#This Row],[Energy Source]],'Emission Inputs (Optional)'!$L$10:$L$27,0),FALSE))*(Table13[[#This Row],[Annual Consumption (Baseline)]]-Table13[[#This Row],[Energy Savings]]),"")</f>
        <v/>
      </c>
      <c r="X46" s="13" t="str">
        <f>IFERROR(VLOOKUP(B46,'Emission Inputs (Optional)'!$G$9:$J$191,4,FALSE),"")</f>
        <v/>
      </c>
      <c r="Y46" s="95" t="str">
        <f>IF(Results!$W46&lt;&gt;"",Results!$W46,IF(X46&lt;&gt;"",(H46-X46),""))</f>
        <v/>
      </c>
      <c r="Z46" s="95" t="str">
        <f t="shared" si="1"/>
        <v/>
      </c>
      <c r="AA46" s="89" t="str">
        <f>IF(Results!$U46="","",IF(U46&lt;&gt;"",U46,0)/SUM(Results!$U$7:$U$189))</f>
        <v/>
      </c>
      <c r="AB46" s="8"/>
      <c r="AC46" s="8"/>
      <c r="AD46" s="8"/>
      <c r="AE46" s="8"/>
      <c r="AF46" s="8"/>
      <c r="AG46" s="8"/>
      <c r="AH46" s="8"/>
      <c r="AI46" s="8"/>
      <c r="AJ46" s="8"/>
      <c r="AK46" s="8"/>
      <c r="AL46" s="8"/>
      <c r="AM46" s="8"/>
      <c r="AN46" s="8"/>
      <c r="AO46" s="8"/>
      <c r="AP46" s="8"/>
      <c r="AQ46" s="8"/>
      <c r="AR46" s="8"/>
      <c r="AS46" s="8"/>
      <c r="AT46" s="8"/>
    </row>
    <row r="47" spans="1:46" x14ac:dyDescent="0.2">
      <c r="A47" s="55" t="str">
        <f>IF(B47&lt;&gt;"",COUNTA($B$7:B47),"")</f>
        <v/>
      </c>
      <c r="B47" s="83"/>
      <c r="C47" s="86"/>
      <c r="D47" s="83" t="str">
        <f>IF(Table13[[#This Row],[Energy Source]]="","",Table13[[#This Row],[Energy Source]])</f>
        <v/>
      </c>
      <c r="E47" s="83" t="str">
        <f>IF(Table13[[#This Row],[Units]]="", "", Table13[[#This Row],[Units]])</f>
        <v/>
      </c>
      <c r="F47" s="83" t="str">
        <f>IF(Table13[[#This Row],[Annual Consumption (Baseline)]]="", "", Table13[[#This Row],[Annual Consumption (Baseline)]])</f>
        <v/>
      </c>
      <c r="G47" s="83" t="str">
        <f>IF(F47="", "", IF(Results!$C47="Energy", VLOOKUP(Results!$E47,'Emission Inputs (Optional)'!$T$10:$U$27,2,FALSE)*Table13[[#This Row],[Energy Savings]], ""))</f>
        <v/>
      </c>
      <c r="H47" s="13" t="str">
        <f>IFERROR(VLOOKUP(B47,'Emission Inputs (Optional)'!$G$9:$I$191,3,FALSE),"")</f>
        <v/>
      </c>
      <c r="I47" s="13" t="str">
        <f>IF(Results!$C47="Energy", VLOOKUP(Results!$E47,'Emission Inputs (Optional)'!$T$10:$U$27,2,FALSE)*Results!$F47, "")</f>
        <v/>
      </c>
      <c r="J47" s="13" t="str">
        <f>IF(Results!$I47&lt;&gt;"",Results!$I47*0.293071,"")</f>
        <v/>
      </c>
      <c r="K47" s="84" t="str">
        <f>IF(Results!$I47&lt;&gt;"",Results!$I47/SUM($I$7:$I$189),"")</f>
        <v/>
      </c>
      <c r="L47" s="13" t="str">
        <f>IF(Results!$F47&lt;&gt;"",I47-G47,"")</f>
        <v/>
      </c>
      <c r="M47" s="13" t="str">
        <f>IF(Results!$L47&lt;&gt;"",Results!$L47*0.293071,"")</f>
        <v/>
      </c>
      <c r="N47" s="84" t="str">
        <f>IF(Results!$M47&lt;&gt;"",Results!$M47/SUM($M$7:$M$189),"")</f>
        <v/>
      </c>
      <c r="O47" s="85" t="str">
        <f>IF(Results!$C47="Energy", VLOOKUP(Results!$D47,'Energy Costs Inputs (Optional)'!$AS$3:$AU$20,2,FALSE)*Results!$I47, "")</f>
        <v/>
      </c>
      <c r="P47" s="84" t="str">
        <f>IF(Results!$O47&lt;&gt;"",Results!$O47/SUM($O$7:$O$189),"")</f>
        <v/>
      </c>
      <c r="Q47" s="85" t="str">
        <f>IF(Results!$C47="Energy", VLOOKUP(Results!$D47,'Energy Costs Inputs (Optional)'!$AS$3:$AU$20,2,FALSE)*Results!$L47, "")</f>
        <v/>
      </c>
      <c r="R47" s="84" t="str">
        <f>IF(Results!$Q47&lt;&gt;"",Results!$Q47/SUM($Q$7:$Q$189),"")</f>
        <v/>
      </c>
      <c r="S47" s="85" t="str">
        <f t="shared" si="0"/>
        <v/>
      </c>
      <c r="T47" s="13" t="str">
        <f>IF(Results!$I47&lt;&gt;"",(HLOOKUP(Table13[[#This Row],[Units]],'Emission Inputs (Optional)'!$L$10:$R$27,MATCH(Table13[[#This Row],[Energy Source]],'Emission Inputs (Optional)'!$L$10:$L$27,0),FALSE))*Table13[[#This Row],[Annual Consumption (Baseline)]],"")</f>
        <v/>
      </c>
      <c r="U47" s="13" t="str">
        <f>IF(Results!$T47&lt;&gt;"",Results!$T47,H47)</f>
        <v/>
      </c>
      <c r="V47" s="84" t="str">
        <f>IF(Results!$U47="","",IF(U47&lt;&gt;"",U47,0)/SUM(Results!$U$7:$U$189))</f>
        <v/>
      </c>
      <c r="W47" s="101" t="str">
        <f>IF(Results!$I47&lt;&gt;"",(HLOOKUP(Table13[[#This Row],[Units]],'Emission Inputs (Optional)'!$L$10:$R$27,MATCH(Table13[[#This Row],[Energy Source]],'Emission Inputs (Optional)'!$L$10:$L$27,0),FALSE))*(Table13[[#This Row],[Annual Consumption (Baseline)]]-Table13[[#This Row],[Energy Savings]]),"")</f>
        <v/>
      </c>
      <c r="X47" s="13" t="str">
        <f>IFERROR(VLOOKUP(B47,'Emission Inputs (Optional)'!$G$9:$J$191,4,FALSE),"")</f>
        <v/>
      </c>
      <c r="Y47" s="95" t="str">
        <f>IF(Results!$W47&lt;&gt;"",Results!$W47,IF(X47&lt;&gt;"",(H47-X47),""))</f>
        <v/>
      </c>
      <c r="Z47" s="95" t="str">
        <f t="shared" si="1"/>
        <v/>
      </c>
      <c r="AA47" s="89" t="str">
        <f>IF(Results!$U47="","",IF(U47&lt;&gt;"",U47,0)/SUM(Results!$U$7:$U$189))</f>
        <v/>
      </c>
      <c r="AB47" s="8"/>
      <c r="AC47" s="8"/>
      <c r="AD47" s="8"/>
      <c r="AE47" s="8"/>
      <c r="AF47" s="8"/>
      <c r="AG47" s="8"/>
      <c r="AH47" s="8"/>
      <c r="AI47" s="8"/>
      <c r="AJ47" s="8"/>
      <c r="AK47" s="8"/>
      <c r="AL47" s="8"/>
      <c r="AM47" s="8"/>
      <c r="AN47" s="8"/>
      <c r="AO47" s="8"/>
      <c r="AP47" s="8"/>
      <c r="AQ47" s="8"/>
      <c r="AR47" s="8"/>
      <c r="AS47" s="8"/>
      <c r="AT47" s="8"/>
    </row>
    <row r="48" spans="1:46" x14ac:dyDescent="0.2">
      <c r="A48" s="55" t="str">
        <f>IF(B48&lt;&gt;"",COUNTA($B$7:B48),"")</f>
        <v/>
      </c>
      <c r="B48" s="83"/>
      <c r="C48" s="86"/>
      <c r="D48" s="83" t="str">
        <f>IF(Table13[[#This Row],[Energy Source]]="","",Table13[[#This Row],[Energy Source]])</f>
        <v/>
      </c>
      <c r="E48" s="83" t="str">
        <f>IF(Table13[[#This Row],[Units]]="", "", Table13[[#This Row],[Units]])</f>
        <v/>
      </c>
      <c r="F48" s="83" t="str">
        <f>IF(Table13[[#This Row],[Annual Consumption (Baseline)]]="", "", Table13[[#This Row],[Annual Consumption (Baseline)]])</f>
        <v/>
      </c>
      <c r="G48" s="83" t="str">
        <f>IF(F48="", "", IF(Results!$C48="Energy", VLOOKUP(Results!$E48,'Emission Inputs (Optional)'!$T$10:$U$27,2,FALSE)*Table13[[#This Row],[Energy Savings]], ""))</f>
        <v/>
      </c>
      <c r="H48" s="13" t="str">
        <f>IFERROR(VLOOKUP(B48,'Emission Inputs (Optional)'!$G$9:$I$191,3,FALSE),"")</f>
        <v/>
      </c>
      <c r="I48" s="13" t="str">
        <f>IF(Results!$C48="Energy", VLOOKUP(Results!$E48,'Emission Inputs (Optional)'!$T$10:$U$27,2,FALSE)*Results!$F48, "")</f>
        <v/>
      </c>
      <c r="J48" s="13" t="str">
        <f>IF(Results!$I48&lt;&gt;"",Results!$I48*0.293071,"")</f>
        <v/>
      </c>
      <c r="K48" s="84" t="str">
        <f>IF(Results!$I48&lt;&gt;"",Results!$I48/SUM($I$7:$I$189),"")</f>
        <v/>
      </c>
      <c r="L48" s="13" t="str">
        <f>IF(Results!$F48&lt;&gt;"",I48-G48,"")</f>
        <v/>
      </c>
      <c r="M48" s="13" t="str">
        <f>IF(Results!$L48&lt;&gt;"",Results!$L48*0.293071,"")</f>
        <v/>
      </c>
      <c r="N48" s="84" t="str">
        <f>IF(Results!$M48&lt;&gt;"",Results!$M48/SUM($M$7:$M$189),"")</f>
        <v/>
      </c>
      <c r="O48" s="85" t="str">
        <f>IF(Results!$C48="Energy", VLOOKUP(Results!$D48,'Energy Costs Inputs (Optional)'!$AS$3:$AU$20,2,FALSE)*Results!$I48, "")</f>
        <v/>
      </c>
      <c r="P48" s="84" t="str">
        <f>IF(Results!$O48&lt;&gt;"",Results!$O48/SUM($O$7:$O$189),"")</f>
        <v/>
      </c>
      <c r="Q48" s="85" t="str">
        <f>IF(Results!$C48="Energy", VLOOKUP(Results!$D48,'Energy Costs Inputs (Optional)'!$AS$3:$AU$20,2,FALSE)*Results!$L48, "")</f>
        <v/>
      </c>
      <c r="R48" s="84" t="str">
        <f>IF(Results!$Q48&lt;&gt;"",Results!$Q48/SUM($Q$7:$Q$189),"")</f>
        <v/>
      </c>
      <c r="S48" s="85" t="str">
        <f t="shared" si="0"/>
        <v/>
      </c>
      <c r="T48" s="13" t="str">
        <f>IF(Results!$I48&lt;&gt;"",(HLOOKUP(Table13[[#This Row],[Units]],'Emission Inputs (Optional)'!$L$10:$R$27,MATCH(Table13[[#This Row],[Energy Source]],'Emission Inputs (Optional)'!$L$10:$L$27,0),FALSE))*Table13[[#This Row],[Annual Consumption (Baseline)]],"")</f>
        <v/>
      </c>
      <c r="U48" s="13" t="str">
        <f>IF(Results!$T48&lt;&gt;"",Results!$T48,H48)</f>
        <v/>
      </c>
      <c r="V48" s="84" t="str">
        <f>IF(Results!$U48="","",IF(U48&lt;&gt;"",U48,0)/SUM(Results!$U$7:$U$189))</f>
        <v/>
      </c>
      <c r="W48" s="101" t="str">
        <f>IF(Results!$I48&lt;&gt;"",(HLOOKUP(Table13[[#This Row],[Units]],'Emission Inputs (Optional)'!$L$10:$R$27,MATCH(Table13[[#This Row],[Energy Source]],'Emission Inputs (Optional)'!$L$10:$L$27,0),FALSE))*(Table13[[#This Row],[Annual Consumption (Baseline)]]-Table13[[#This Row],[Energy Savings]]),"")</f>
        <v/>
      </c>
      <c r="X48" s="13" t="str">
        <f>IFERROR(VLOOKUP(B48,'Emission Inputs (Optional)'!$G$9:$J$191,4,FALSE),"")</f>
        <v/>
      </c>
      <c r="Y48" s="95" t="str">
        <f>IF(Results!$W48&lt;&gt;"",Results!$W48,IF(X48&lt;&gt;"",(H48-X48),""))</f>
        <v/>
      </c>
      <c r="Z48" s="95" t="str">
        <f t="shared" si="1"/>
        <v/>
      </c>
      <c r="AA48" s="89" t="str">
        <f>IF(Results!$U48="","",IF(U48&lt;&gt;"",U48,0)/SUM(Results!$U$7:$U$189))</f>
        <v/>
      </c>
      <c r="AB48" s="8"/>
      <c r="AC48" s="8"/>
      <c r="AD48" s="8"/>
      <c r="AE48" s="8"/>
      <c r="AF48" s="8"/>
      <c r="AG48" s="8"/>
      <c r="AH48" s="8"/>
      <c r="AI48" s="8"/>
      <c r="AJ48" s="8"/>
      <c r="AK48" s="8"/>
      <c r="AL48" s="8"/>
      <c r="AM48" s="8"/>
      <c r="AN48" s="8"/>
      <c r="AO48" s="8"/>
      <c r="AP48" s="8"/>
      <c r="AQ48" s="8"/>
      <c r="AR48" s="8"/>
      <c r="AS48" s="8"/>
      <c r="AT48" s="8"/>
    </row>
    <row r="49" spans="1:46" x14ac:dyDescent="0.2">
      <c r="A49" s="55" t="str">
        <f>IF(B49&lt;&gt;"",COUNTA($B$7:B49),"")</f>
        <v/>
      </c>
      <c r="B49" s="83"/>
      <c r="C49" s="86"/>
      <c r="D49" s="83" t="str">
        <f>IF(Table13[[#This Row],[Energy Source]]="","",Table13[[#This Row],[Energy Source]])</f>
        <v/>
      </c>
      <c r="E49" s="83" t="str">
        <f>IF(Table13[[#This Row],[Units]]="", "", Table13[[#This Row],[Units]])</f>
        <v/>
      </c>
      <c r="F49" s="83" t="str">
        <f>IF(Table13[[#This Row],[Annual Consumption (Baseline)]]="", "", Table13[[#This Row],[Annual Consumption (Baseline)]])</f>
        <v/>
      </c>
      <c r="G49" s="83" t="str">
        <f>IF(F49="", "", IF(Results!$C49="Energy", VLOOKUP(Results!$E49,'Emission Inputs (Optional)'!$T$10:$U$27,2,FALSE)*Table13[[#This Row],[Energy Savings]], ""))</f>
        <v/>
      </c>
      <c r="H49" s="13" t="str">
        <f>IFERROR(VLOOKUP(B49,'Emission Inputs (Optional)'!$G$9:$I$191,3,FALSE),"")</f>
        <v/>
      </c>
      <c r="I49" s="13" t="str">
        <f>IF(Results!$C49="Energy", VLOOKUP(Results!$E49,'Emission Inputs (Optional)'!$T$10:$U$27,2,FALSE)*Results!$F49, "")</f>
        <v/>
      </c>
      <c r="J49" s="13" t="str">
        <f>IF(Results!$I49&lt;&gt;"",Results!$I49*0.293071,"")</f>
        <v/>
      </c>
      <c r="K49" s="84" t="str">
        <f>IF(Results!$I49&lt;&gt;"",Results!$I49/SUM($I$7:$I$189),"")</f>
        <v/>
      </c>
      <c r="L49" s="13" t="str">
        <f>IF(Results!$F49&lt;&gt;"",I49-G49,"")</f>
        <v/>
      </c>
      <c r="M49" s="13" t="str">
        <f>IF(Results!$L49&lt;&gt;"",Results!$L49*0.293071,"")</f>
        <v/>
      </c>
      <c r="N49" s="84" t="str">
        <f>IF(Results!$M49&lt;&gt;"",Results!$M49/SUM($M$7:$M$189),"")</f>
        <v/>
      </c>
      <c r="O49" s="85" t="str">
        <f>IF(Results!$C49="Energy", VLOOKUP(Results!$D49,'Energy Costs Inputs (Optional)'!$AS$3:$AU$20,2,FALSE)*Results!$I49, "")</f>
        <v/>
      </c>
      <c r="P49" s="84" t="str">
        <f>IF(Results!$O49&lt;&gt;"",Results!$O49/SUM($O$7:$O$189),"")</f>
        <v/>
      </c>
      <c r="Q49" s="85" t="str">
        <f>IF(Results!$C49="Energy", VLOOKUP(Results!$D49,'Energy Costs Inputs (Optional)'!$AS$3:$AU$20,2,FALSE)*Results!$L49, "")</f>
        <v/>
      </c>
      <c r="R49" s="84" t="str">
        <f>IF(Results!$Q49&lt;&gt;"",Results!$Q49/SUM($Q$7:$Q$189),"")</f>
        <v/>
      </c>
      <c r="S49" s="85" t="str">
        <f t="shared" si="0"/>
        <v/>
      </c>
      <c r="T49" s="13" t="str">
        <f>IF(Results!$I49&lt;&gt;"",(HLOOKUP(Table13[[#This Row],[Units]],'Emission Inputs (Optional)'!$L$10:$R$27,MATCH(Table13[[#This Row],[Energy Source]],'Emission Inputs (Optional)'!$L$10:$L$27,0),FALSE))*Table13[[#This Row],[Annual Consumption (Baseline)]],"")</f>
        <v/>
      </c>
      <c r="U49" s="13" t="str">
        <f>IF(Results!$T49&lt;&gt;"",Results!$T49,H49)</f>
        <v/>
      </c>
      <c r="V49" s="84" t="str">
        <f>IF(Results!$U49="","",IF(U49&lt;&gt;"",U49,0)/SUM(Results!$U$7:$U$189))</f>
        <v/>
      </c>
      <c r="W49" s="101" t="str">
        <f>IF(Results!$I49&lt;&gt;"",(HLOOKUP(Table13[[#This Row],[Units]],'Emission Inputs (Optional)'!$L$10:$R$27,MATCH(Table13[[#This Row],[Energy Source]],'Emission Inputs (Optional)'!$L$10:$L$27,0),FALSE))*(Table13[[#This Row],[Annual Consumption (Baseline)]]-Table13[[#This Row],[Energy Savings]]),"")</f>
        <v/>
      </c>
      <c r="X49" s="13" t="str">
        <f>IFERROR(VLOOKUP(B49,'Emission Inputs (Optional)'!$G$9:$J$191,4,FALSE),"")</f>
        <v/>
      </c>
      <c r="Y49" s="95" t="str">
        <f>IF(Results!$W49&lt;&gt;"",Results!$W49,IF(X49&lt;&gt;"",(H49-X49),""))</f>
        <v/>
      </c>
      <c r="Z49" s="95" t="str">
        <f t="shared" si="1"/>
        <v/>
      </c>
      <c r="AA49" s="89" t="str">
        <f>IF(Results!$U49="","",IF(U49&lt;&gt;"",U49,0)/SUM(Results!$U$7:$U$189))</f>
        <v/>
      </c>
      <c r="AB49" s="8"/>
      <c r="AC49" s="8"/>
      <c r="AD49" s="8"/>
      <c r="AE49" s="8"/>
      <c r="AF49" s="8"/>
      <c r="AG49" s="8"/>
      <c r="AH49" s="8"/>
      <c r="AI49" s="8"/>
      <c r="AJ49" s="8"/>
      <c r="AK49" s="8"/>
      <c r="AL49" s="8"/>
      <c r="AM49" s="8"/>
      <c r="AN49" s="8"/>
      <c r="AO49" s="8"/>
      <c r="AP49" s="8"/>
      <c r="AQ49" s="8"/>
      <c r="AR49" s="8"/>
      <c r="AS49" s="8"/>
      <c r="AT49" s="8"/>
    </row>
    <row r="50" spans="1:46" x14ac:dyDescent="0.2">
      <c r="A50" s="55" t="str">
        <f>IF(B50&lt;&gt;"",COUNTA($B$7:B50),"")</f>
        <v/>
      </c>
      <c r="B50" s="83"/>
      <c r="C50" s="86"/>
      <c r="D50" s="83" t="str">
        <f>IF(Table13[[#This Row],[Energy Source]]="","",Table13[[#This Row],[Energy Source]])</f>
        <v/>
      </c>
      <c r="E50" s="83" t="str">
        <f>IF(Table13[[#This Row],[Units]]="", "", Table13[[#This Row],[Units]])</f>
        <v/>
      </c>
      <c r="F50" s="83" t="str">
        <f>IF(Table13[[#This Row],[Annual Consumption (Baseline)]]="", "", Table13[[#This Row],[Annual Consumption (Baseline)]])</f>
        <v/>
      </c>
      <c r="G50" s="83" t="str">
        <f>IF(F50="", "", IF(Results!$C50="Energy", VLOOKUP(Results!$E50,'Emission Inputs (Optional)'!$T$10:$U$27,2,FALSE)*Table13[[#This Row],[Energy Savings]], ""))</f>
        <v/>
      </c>
      <c r="H50" s="13" t="str">
        <f>IFERROR(VLOOKUP(B50,'Emission Inputs (Optional)'!$G$9:$I$191,3,FALSE),"")</f>
        <v/>
      </c>
      <c r="I50" s="13" t="str">
        <f>IF(Results!$C50="Energy", VLOOKUP(Results!$E50,'Emission Inputs (Optional)'!$T$10:$U$27,2,FALSE)*Results!$F50, "")</f>
        <v/>
      </c>
      <c r="J50" s="13" t="str">
        <f>IF(Results!$I50&lt;&gt;"",Results!$I50*0.293071,"")</f>
        <v/>
      </c>
      <c r="K50" s="84" t="str">
        <f>IF(Results!$I50&lt;&gt;"",Results!$I50/SUM($I$7:$I$189),"")</f>
        <v/>
      </c>
      <c r="L50" s="13" t="str">
        <f>IF(Results!$F50&lt;&gt;"",I50-G50,"")</f>
        <v/>
      </c>
      <c r="M50" s="13" t="str">
        <f>IF(Results!$L50&lt;&gt;"",Results!$L50*0.293071,"")</f>
        <v/>
      </c>
      <c r="N50" s="84" t="str">
        <f>IF(Results!$M50&lt;&gt;"",Results!$M50/SUM($M$7:$M$189),"")</f>
        <v/>
      </c>
      <c r="O50" s="85" t="str">
        <f>IF(Results!$C50="Energy", VLOOKUP(Results!$D50,'Energy Costs Inputs (Optional)'!$AS$3:$AU$20,2,FALSE)*Results!$I50, "")</f>
        <v/>
      </c>
      <c r="P50" s="84" t="str">
        <f>IF(Results!$O50&lt;&gt;"",Results!$O50/SUM($O$7:$O$189),"")</f>
        <v/>
      </c>
      <c r="Q50" s="85" t="str">
        <f>IF(Results!$C50="Energy", VLOOKUP(Results!$D50,'Energy Costs Inputs (Optional)'!$AS$3:$AU$20,2,FALSE)*Results!$L50, "")</f>
        <v/>
      </c>
      <c r="R50" s="84" t="str">
        <f>IF(Results!$Q50&lt;&gt;"",Results!$Q50/SUM($Q$7:$Q$189),"")</f>
        <v/>
      </c>
      <c r="S50" s="85" t="str">
        <f t="shared" si="0"/>
        <v/>
      </c>
      <c r="T50" s="13" t="str">
        <f>IF(Results!$I50&lt;&gt;"",(HLOOKUP(Table13[[#This Row],[Units]],'Emission Inputs (Optional)'!$L$10:$R$27,MATCH(Table13[[#This Row],[Energy Source]],'Emission Inputs (Optional)'!$L$10:$L$27,0),FALSE))*Table13[[#This Row],[Annual Consumption (Baseline)]],"")</f>
        <v/>
      </c>
      <c r="U50" s="13" t="str">
        <f>IF(Results!$T50&lt;&gt;"",Results!$T50,H50)</f>
        <v/>
      </c>
      <c r="V50" s="84" t="str">
        <f>IF(Results!$U50="","",IF(U50&lt;&gt;"",U50,0)/SUM(Results!$U$7:$U$189))</f>
        <v/>
      </c>
      <c r="W50" s="101" t="str">
        <f>IF(Results!$I50&lt;&gt;"",(HLOOKUP(Table13[[#This Row],[Units]],'Emission Inputs (Optional)'!$L$10:$R$27,MATCH(Table13[[#This Row],[Energy Source]],'Emission Inputs (Optional)'!$L$10:$L$27,0),FALSE))*(Table13[[#This Row],[Annual Consumption (Baseline)]]-Table13[[#This Row],[Energy Savings]]),"")</f>
        <v/>
      </c>
      <c r="X50" s="13" t="str">
        <f>IFERROR(VLOOKUP(B50,'Emission Inputs (Optional)'!$G$9:$J$191,4,FALSE),"")</f>
        <v/>
      </c>
      <c r="Y50" s="95" t="str">
        <f>IF(Results!$W50&lt;&gt;"",Results!$W50,IF(X50&lt;&gt;"",(H50-X50),""))</f>
        <v/>
      </c>
      <c r="Z50" s="95" t="str">
        <f t="shared" si="1"/>
        <v/>
      </c>
      <c r="AA50" s="89" t="str">
        <f>IF(Results!$U50="","",IF(U50&lt;&gt;"",U50,0)/SUM(Results!$U$7:$U$189))</f>
        <v/>
      </c>
      <c r="AB50" s="8"/>
      <c r="AC50" s="8"/>
      <c r="AD50" s="8"/>
      <c r="AE50" s="8"/>
      <c r="AF50" s="8"/>
      <c r="AG50" s="8"/>
      <c r="AH50" s="8"/>
      <c r="AI50" s="8"/>
      <c r="AJ50" s="8"/>
      <c r="AK50" s="8"/>
      <c r="AL50" s="8"/>
      <c r="AM50" s="8"/>
      <c r="AN50" s="8"/>
      <c r="AO50" s="8"/>
      <c r="AP50" s="8"/>
      <c r="AQ50" s="8"/>
      <c r="AR50" s="8"/>
      <c r="AS50" s="8"/>
      <c r="AT50" s="8"/>
    </row>
    <row r="51" spans="1:46" x14ac:dyDescent="0.2">
      <c r="A51" s="55" t="str">
        <f>IF(B51&lt;&gt;"",COUNTA($B$7:B51),"")</f>
        <v/>
      </c>
      <c r="B51" s="83"/>
      <c r="C51" s="86"/>
      <c r="D51" s="83" t="str">
        <f>IF(Table13[[#This Row],[Energy Source]]="","",Table13[[#This Row],[Energy Source]])</f>
        <v/>
      </c>
      <c r="E51" s="83" t="str">
        <f>IF(Table13[[#This Row],[Units]]="", "", Table13[[#This Row],[Units]])</f>
        <v/>
      </c>
      <c r="F51" s="83" t="str">
        <f>IF(Table13[[#This Row],[Annual Consumption (Baseline)]]="", "", Table13[[#This Row],[Annual Consumption (Baseline)]])</f>
        <v/>
      </c>
      <c r="G51" s="83" t="str">
        <f>IF(F51="", "", IF(Results!$C51="Energy", VLOOKUP(Results!$E51,'Emission Inputs (Optional)'!$T$10:$U$27,2,FALSE)*Table13[[#This Row],[Energy Savings]], ""))</f>
        <v/>
      </c>
      <c r="H51" s="13" t="str">
        <f>IFERROR(VLOOKUP(B51,'Emission Inputs (Optional)'!$G$9:$I$191,3,FALSE),"")</f>
        <v/>
      </c>
      <c r="I51" s="13" t="str">
        <f>IF(Results!$C51="Energy", VLOOKUP(Results!$E51,'Emission Inputs (Optional)'!$T$10:$U$27,2,FALSE)*Results!$F51, "")</f>
        <v/>
      </c>
      <c r="J51" s="13" t="str">
        <f>IF(Results!$I51&lt;&gt;"",Results!$I51*0.293071,"")</f>
        <v/>
      </c>
      <c r="K51" s="84" t="str">
        <f>IF(Results!$I51&lt;&gt;"",Results!$I51/SUM($I$7:$I$189),"")</f>
        <v/>
      </c>
      <c r="L51" s="13" t="str">
        <f>IF(Results!$F51&lt;&gt;"",I51-G51,"")</f>
        <v/>
      </c>
      <c r="M51" s="13" t="str">
        <f>IF(Results!$L51&lt;&gt;"",Results!$L51*0.293071,"")</f>
        <v/>
      </c>
      <c r="N51" s="84" t="str">
        <f>IF(Results!$M51&lt;&gt;"",Results!$M51/SUM($M$7:$M$189),"")</f>
        <v/>
      </c>
      <c r="O51" s="85" t="str">
        <f>IF(Results!$C51="Energy", VLOOKUP(Results!$D51,'Energy Costs Inputs (Optional)'!$AS$3:$AU$20,2,FALSE)*Results!$I51, "")</f>
        <v/>
      </c>
      <c r="P51" s="84" t="str">
        <f>IF(Results!$O51&lt;&gt;"",Results!$O51/SUM($O$7:$O$189),"")</f>
        <v/>
      </c>
      <c r="Q51" s="85" t="str">
        <f>IF(Results!$C51="Energy", VLOOKUP(Results!$D51,'Energy Costs Inputs (Optional)'!$AS$3:$AU$20,2,FALSE)*Results!$L51, "")</f>
        <v/>
      </c>
      <c r="R51" s="84" t="str">
        <f>IF(Results!$Q51&lt;&gt;"",Results!$Q51/SUM($Q$7:$Q$189),"")</f>
        <v/>
      </c>
      <c r="S51" s="85" t="str">
        <f t="shared" si="0"/>
        <v/>
      </c>
      <c r="T51" s="13" t="str">
        <f>IF(Results!$I51&lt;&gt;"",(HLOOKUP(Table13[[#This Row],[Units]],'Emission Inputs (Optional)'!$L$10:$R$27,MATCH(Table13[[#This Row],[Energy Source]],'Emission Inputs (Optional)'!$L$10:$L$27,0),FALSE))*Table13[[#This Row],[Annual Consumption (Baseline)]],"")</f>
        <v/>
      </c>
      <c r="U51" s="13" t="str">
        <f>IF(Results!$T51&lt;&gt;"",Results!$T51,H51)</f>
        <v/>
      </c>
      <c r="V51" s="84" t="str">
        <f>IF(Results!$U51="","",IF(U51&lt;&gt;"",U51,0)/SUM(Results!$U$7:$U$189))</f>
        <v/>
      </c>
      <c r="W51" s="101" t="str">
        <f>IF(Results!$I51&lt;&gt;"",(HLOOKUP(Table13[[#This Row],[Units]],'Emission Inputs (Optional)'!$L$10:$R$27,MATCH(Table13[[#This Row],[Energy Source]],'Emission Inputs (Optional)'!$L$10:$L$27,0),FALSE))*(Table13[[#This Row],[Annual Consumption (Baseline)]]-Table13[[#This Row],[Energy Savings]]),"")</f>
        <v/>
      </c>
      <c r="X51" s="13" t="str">
        <f>IFERROR(VLOOKUP(B51,'Emission Inputs (Optional)'!$G$9:$J$191,4,FALSE),"")</f>
        <v/>
      </c>
      <c r="Y51" s="95" t="str">
        <f>IF(Results!$W51&lt;&gt;"",Results!$W51,IF(X51&lt;&gt;"",(H51-X51),""))</f>
        <v/>
      </c>
      <c r="Z51" s="95" t="str">
        <f t="shared" si="1"/>
        <v/>
      </c>
      <c r="AA51" s="89" t="str">
        <f>IF(Results!$U51="","",IF(U51&lt;&gt;"",U51,0)/SUM(Results!$U$7:$U$189))</f>
        <v/>
      </c>
      <c r="AB51" s="8"/>
      <c r="AC51" s="8"/>
      <c r="AD51" s="8"/>
      <c r="AE51" s="8"/>
      <c r="AF51" s="8"/>
      <c r="AG51" s="8"/>
      <c r="AH51" s="8"/>
      <c r="AI51" s="8"/>
      <c r="AJ51" s="8"/>
      <c r="AK51" s="8"/>
      <c r="AL51" s="8"/>
      <c r="AM51" s="8"/>
      <c r="AN51" s="8"/>
      <c r="AO51" s="8"/>
      <c r="AP51" s="8"/>
      <c r="AQ51" s="8"/>
      <c r="AR51" s="8"/>
      <c r="AS51" s="8"/>
      <c r="AT51" s="8"/>
    </row>
    <row r="52" spans="1:46" x14ac:dyDescent="0.2">
      <c r="A52" s="55" t="str">
        <f>IF(B52&lt;&gt;"",COUNTA($B$7:B52),"")</f>
        <v/>
      </c>
      <c r="B52" s="83"/>
      <c r="C52" s="86"/>
      <c r="D52" s="83" t="str">
        <f>IF(Table13[[#This Row],[Energy Source]]="","",Table13[[#This Row],[Energy Source]])</f>
        <v/>
      </c>
      <c r="E52" s="83" t="str">
        <f>IF(Table13[[#This Row],[Units]]="", "", Table13[[#This Row],[Units]])</f>
        <v/>
      </c>
      <c r="F52" s="83" t="str">
        <f>IF(Table13[[#This Row],[Annual Consumption (Baseline)]]="", "", Table13[[#This Row],[Annual Consumption (Baseline)]])</f>
        <v/>
      </c>
      <c r="G52" s="83" t="str">
        <f>IF(F52="", "", IF(Results!$C52="Energy", VLOOKUP(Results!$E52,'Emission Inputs (Optional)'!$T$10:$U$27,2,FALSE)*Table13[[#This Row],[Energy Savings]], ""))</f>
        <v/>
      </c>
      <c r="H52" s="13" t="str">
        <f>IFERROR(VLOOKUP(B52,'Emission Inputs (Optional)'!$G$9:$I$191,3,FALSE),"")</f>
        <v/>
      </c>
      <c r="I52" s="13" t="str">
        <f>IF(Results!$C52="Energy", VLOOKUP(Results!$E52,'Emission Inputs (Optional)'!$T$10:$U$27,2,FALSE)*Results!$F52, "")</f>
        <v/>
      </c>
      <c r="J52" s="13" t="str">
        <f>IF(Results!$I52&lt;&gt;"",Results!$I52*0.293071,"")</f>
        <v/>
      </c>
      <c r="K52" s="84" t="str">
        <f>IF(Results!$I52&lt;&gt;"",Results!$I52/SUM($I$7:$I$189),"")</f>
        <v/>
      </c>
      <c r="L52" s="13" t="str">
        <f>IF(Results!$F52&lt;&gt;"",I52-G52,"")</f>
        <v/>
      </c>
      <c r="M52" s="13" t="str">
        <f>IF(Results!$L52&lt;&gt;"",Results!$L52*0.293071,"")</f>
        <v/>
      </c>
      <c r="N52" s="84" t="str">
        <f>IF(Results!$M52&lt;&gt;"",Results!$M52/SUM($M$7:$M$189),"")</f>
        <v/>
      </c>
      <c r="O52" s="85" t="str">
        <f>IF(Results!$C52="Energy", VLOOKUP(Results!$D52,'Energy Costs Inputs (Optional)'!$AS$3:$AU$20,2,FALSE)*Results!$I52, "")</f>
        <v/>
      </c>
      <c r="P52" s="84" t="str">
        <f>IF(Results!$O52&lt;&gt;"",Results!$O52/SUM($O$7:$O$189),"")</f>
        <v/>
      </c>
      <c r="Q52" s="85" t="str">
        <f>IF(Results!$C52="Energy", VLOOKUP(Results!$D52,'Energy Costs Inputs (Optional)'!$AS$3:$AU$20,2,FALSE)*Results!$L52, "")</f>
        <v/>
      </c>
      <c r="R52" s="84" t="str">
        <f>IF(Results!$Q52&lt;&gt;"",Results!$Q52/SUM($Q$7:$Q$189),"")</f>
        <v/>
      </c>
      <c r="S52" s="85" t="str">
        <f t="shared" si="0"/>
        <v/>
      </c>
      <c r="T52" s="13" t="str">
        <f>IF(Results!$I52&lt;&gt;"",(HLOOKUP(Table13[[#This Row],[Units]],'Emission Inputs (Optional)'!$L$10:$R$27,MATCH(Table13[[#This Row],[Energy Source]],'Emission Inputs (Optional)'!$L$10:$L$27,0),FALSE))*Table13[[#This Row],[Annual Consumption (Baseline)]],"")</f>
        <v/>
      </c>
      <c r="U52" s="13" t="str">
        <f>IF(Results!$T52&lt;&gt;"",Results!$T52,H52)</f>
        <v/>
      </c>
      <c r="V52" s="84" t="str">
        <f>IF(Results!$U52="","",IF(U52&lt;&gt;"",U52,0)/SUM(Results!$U$7:$U$189))</f>
        <v/>
      </c>
      <c r="W52" s="101" t="str">
        <f>IF(Results!$I52&lt;&gt;"",(HLOOKUP(Table13[[#This Row],[Units]],'Emission Inputs (Optional)'!$L$10:$R$27,MATCH(Table13[[#This Row],[Energy Source]],'Emission Inputs (Optional)'!$L$10:$L$27,0),FALSE))*(Table13[[#This Row],[Annual Consumption (Baseline)]]-Table13[[#This Row],[Energy Savings]]),"")</f>
        <v/>
      </c>
      <c r="X52" s="13" t="str">
        <f>IFERROR(VLOOKUP(B52,'Emission Inputs (Optional)'!$G$9:$J$191,4,FALSE),"")</f>
        <v/>
      </c>
      <c r="Y52" s="95" t="str">
        <f>IF(Results!$W52&lt;&gt;"",Results!$W52,IF(X52&lt;&gt;"",(H52-X52),""))</f>
        <v/>
      </c>
      <c r="Z52" s="95" t="str">
        <f t="shared" si="1"/>
        <v/>
      </c>
      <c r="AA52" s="89" t="str">
        <f>IF(Results!$U52="","",IF(U52&lt;&gt;"",U52,0)/SUM(Results!$U$7:$U$189))</f>
        <v/>
      </c>
      <c r="AB52" s="8"/>
      <c r="AC52" s="8"/>
      <c r="AD52" s="8"/>
      <c r="AE52" s="8"/>
      <c r="AF52" s="8"/>
      <c r="AG52" s="8"/>
      <c r="AH52" s="8"/>
      <c r="AI52" s="8"/>
      <c r="AJ52" s="8"/>
      <c r="AK52" s="8"/>
      <c r="AL52" s="8"/>
      <c r="AM52" s="8"/>
      <c r="AN52" s="8"/>
      <c r="AO52" s="8"/>
      <c r="AP52" s="8"/>
      <c r="AQ52" s="8"/>
      <c r="AR52" s="8"/>
      <c r="AS52" s="8"/>
      <c r="AT52" s="8"/>
    </row>
    <row r="53" spans="1:46" x14ac:dyDescent="0.2">
      <c r="A53" s="55" t="str">
        <f>IF(B53&lt;&gt;"",COUNTA($B$7:B53),"")</f>
        <v/>
      </c>
      <c r="B53" s="83"/>
      <c r="C53" s="86"/>
      <c r="D53" s="83" t="str">
        <f>IF(Table13[[#This Row],[Energy Source]]="","",Table13[[#This Row],[Energy Source]])</f>
        <v/>
      </c>
      <c r="E53" s="83" t="str">
        <f>IF(Table13[[#This Row],[Units]]="", "", Table13[[#This Row],[Units]])</f>
        <v/>
      </c>
      <c r="F53" s="83" t="str">
        <f>IF(Table13[[#This Row],[Annual Consumption (Baseline)]]="", "", Table13[[#This Row],[Annual Consumption (Baseline)]])</f>
        <v/>
      </c>
      <c r="G53" s="83" t="str">
        <f>IF(F53="", "", IF(Results!$C53="Energy", VLOOKUP(Results!$E53,'Emission Inputs (Optional)'!$T$10:$U$27,2,FALSE)*Table13[[#This Row],[Energy Savings]], ""))</f>
        <v/>
      </c>
      <c r="H53" s="13" t="str">
        <f>IFERROR(VLOOKUP(B53,'Emission Inputs (Optional)'!$G$9:$I$191,3,FALSE),"")</f>
        <v/>
      </c>
      <c r="I53" s="13" t="str">
        <f>IF(Results!$C53="Energy", VLOOKUP(Results!$E53,'Emission Inputs (Optional)'!$T$10:$U$27,2,FALSE)*Results!$F53, "")</f>
        <v/>
      </c>
      <c r="J53" s="13" t="str">
        <f>IF(Results!$I53&lt;&gt;"",Results!$I53*0.293071,"")</f>
        <v/>
      </c>
      <c r="K53" s="84" t="str">
        <f>IF(Results!$I53&lt;&gt;"",Results!$I53/SUM($I$7:$I$189),"")</f>
        <v/>
      </c>
      <c r="L53" s="13" t="str">
        <f>IF(Results!$F53&lt;&gt;"",I53-G53,"")</f>
        <v/>
      </c>
      <c r="M53" s="13" t="str">
        <f>IF(Results!$L53&lt;&gt;"",Results!$L53*0.293071,"")</f>
        <v/>
      </c>
      <c r="N53" s="84" t="str">
        <f>IF(Results!$M53&lt;&gt;"",Results!$M53/SUM($M$7:$M$189),"")</f>
        <v/>
      </c>
      <c r="O53" s="85" t="str">
        <f>IF(Results!$C53="Energy", VLOOKUP(Results!$D53,'Energy Costs Inputs (Optional)'!$AS$3:$AU$20,2,FALSE)*Results!$I53, "")</f>
        <v/>
      </c>
      <c r="P53" s="84" t="str">
        <f>IF(Results!$O53&lt;&gt;"",Results!$O53/SUM($O$7:$O$189),"")</f>
        <v/>
      </c>
      <c r="Q53" s="85" t="str">
        <f>IF(Results!$C53="Energy", VLOOKUP(Results!$D53,'Energy Costs Inputs (Optional)'!$AS$3:$AU$20,2,FALSE)*Results!$L53, "")</f>
        <v/>
      </c>
      <c r="R53" s="84" t="str">
        <f>IF(Results!$Q53&lt;&gt;"",Results!$Q53/SUM($Q$7:$Q$189),"")</f>
        <v/>
      </c>
      <c r="S53" s="85" t="str">
        <f t="shared" si="0"/>
        <v/>
      </c>
      <c r="T53" s="13" t="str">
        <f>IF(Results!$I53&lt;&gt;"",(HLOOKUP(Table13[[#This Row],[Units]],'Emission Inputs (Optional)'!$L$10:$R$27,MATCH(Table13[[#This Row],[Energy Source]],'Emission Inputs (Optional)'!$L$10:$L$27,0),FALSE))*Table13[[#This Row],[Annual Consumption (Baseline)]],"")</f>
        <v/>
      </c>
      <c r="U53" s="13" t="str">
        <f>IF(Results!$T53&lt;&gt;"",Results!$T53,H53)</f>
        <v/>
      </c>
      <c r="V53" s="84" t="str">
        <f>IF(Results!$U53="","",IF(U53&lt;&gt;"",U53,0)/SUM(Results!$U$7:$U$189))</f>
        <v/>
      </c>
      <c r="W53" s="101" t="str">
        <f>IF(Results!$I53&lt;&gt;"",(HLOOKUP(Table13[[#This Row],[Units]],'Emission Inputs (Optional)'!$L$10:$R$27,MATCH(Table13[[#This Row],[Energy Source]],'Emission Inputs (Optional)'!$L$10:$L$27,0),FALSE))*(Table13[[#This Row],[Annual Consumption (Baseline)]]-Table13[[#This Row],[Energy Savings]]),"")</f>
        <v/>
      </c>
      <c r="X53" s="13" t="str">
        <f>IFERROR(VLOOKUP(B53,'Emission Inputs (Optional)'!$G$9:$J$191,4,FALSE),"")</f>
        <v/>
      </c>
      <c r="Y53" s="95" t="str">
        <f>IF(Results!$W53&lt;&gt;"",Results!$W53,IF(X53&lt;&gt;"",(H53-X53),""))</f>
        <v/>
      </c>
      <c r="Z53" s="95" t="str">
        <f t="shared" si="1"/>
        <v/>
      </c>
      <c r="AA53" s="89" t="str">
        <f>IF(Results!$U53="","",IF(U53&lt;&gt;"",U53,0)/SUM(Results!$U$7:$U$189))</f>
        <v/>
      </c>
      <c r="AB53" s="8"/>
      <c r="AC53" s="8"/>
      <c r="AD53" s="8"/>
      <c r="AE53" s="8"/>
      <c r="AF53" s="8"/>
      <c r="AG53" s="8"/>
      <c r="AH53" s="8"/>
      <c r="AI53" s="8"/>
      <c r="AJ53" s="8"/>
      <c r="AK53" s="8"/>
      <c r="AL53" s="8"/>
      <c r="AM53" s="8"/>
      <c r="AN53" s="8"/>
      <c r="AO53" s="8"/>
      <c r="AP53" s="8"/>
      <c r="AQ53" s="8"/>
      <c r="AR53" s="8"/>
      <c r="AS53" s="8"/>
      <c r="AT53" s="8"/>
    </row>
    <row r="54" spans="1:46" x14ac:dyDescent="0.2">
      <c r="A54" s="55" t="str">
        <f>IF(B54&lt;&gt;"",COUNTA($B$7:B54),"")</f>
        <v/>
      </c>
      <c r="B54" s="83"/>
      <c r="C54" s="86"/>
      <c r="D54" s="83" t="str">
        <f>IF(Table13[[#This Row],[Energy Source]]="","",Table13[[#This Row],[Energy Source]])</f>
        <v/>
      </c>
      <c r="E54" s="83" t="str">
        <f>IF(Table13[[#This Row],[Units]]="", "", Table13[[#This Row],[Units]])</f>
        <v/>
      </c>
      <c r="F54" s="83" t="str">
        <f>IF(Table13[[#This Row],[Annual Consumption (Baseline)]]="", "", Table13[[#This Row],[Annual Consumption (Baseline)]])</f>
        <v/>
      </c>
      <c r="G54" s="83" t="str">
        <f>IF(F54="", "", IF(Results!$C54="Energy", VLOOKUP(Results!$E54,'Emission Inputs (Optional)'!$T$10:$U$27,2,FALSE)*Table13[[#This Row],[Energy Savings]], ""))</f>
        <v/>
      </c>
      <c r="H54" s="13" t="str">
        <f>IFERROR(VLOOKUP(B54,'Emission Inputs (Optional)'!$G$9:$I$191,3,FALSE),"")</f>
        <v/>
      </c>
      <c r="I54" s="13" t="str">
        <f>IF(Results!$C54="Energy", VLOOKUP(Results!$E54,'Emission Inputs (Optional)'!$T$10:$U$27,2,FALSE)*Results!$F54, "")</f>
        <v/>
      </c>
      <c r="J54" s="13" t="str">
        <f>IF(Results!$I54&lt;&gt;"",Results!$I54*0.293071,"")</f>
        <v/>
      </c>
      <c r="K54" s="84" t="str">
        <f>IF(Results!$I54&lt;&gt;"",Results!$I54/SUM($I$7:$I$189),"")</f>
        <v/>
      </c>
      <c r="L54" s="13" t="str">
        <f>IF(Results!$F54&lt;&gt;"",I54-G54,"")</f>
        <v/>
      </c>
      <c r="M54" s="13" t="str">
        <f>IF(Results!$L54&lt;&gt;"",Results!$L54*0.293071,"")</f>
        <v/>
      </c>
      <c r="N54" s="84" t="str">
        <f>IF(Results!$M54&lt;&gt;"",Results!$M54/SUM($M$7:$M$189),"")</f>
        <v/>
      </c>
      <c r="O54" s="85" t="str">
        <f>IF(Results!$C54="Energy", VLOOKUP(Results!$D54,'Energy Costs Inputs (Optional)'!$AS$3:$AU$20,2,FALSE)*Results!$I54, "")</f>
        <v/>
      </c>
      <c r="P54" s="84" t="str">
        <f>IF(Results!$O54&lt;&gt;"",Results!$O54/SUM($O$7:$O$189),"")</f>
        <v/>
      </c>
      <c r="Q54" s="85" t="str">
        <f>IF(Results!$C54="Energy", VLOOKUP(Results!$D54,'Energy Costs Inputs (Optional)'!$AS$3:$AU$20,2,FALSE)*Results!$L54, "")</f>
        <v/>
      </c>
      <c r="R54" s="84" t="str">
        <f>IF(Results!$Q54&lt;&gt;"",Results!$Q54/SUM($Q$7:$Q$189),"")</f>
        <v/>
      </c>
      <c r="S54" s="85" t="str">
        <f t="shared" si="0"/>
        <v/>
      </c>
      <c r="T54" s="13" t="str">
        <f>IF(Results!$I54&lt;&gt;"",(HLOOKUP(Table13[[#This Row],[Units]],'Emission Inputs (Optional)'!$L$10:$R$27,MATCH(Table13[[#This Row],[Energy Source]],'Emission Inputs (Optional)'!$L$10:$L$27,0),FALSE))*Table13[[#This Row],[Annual Consumption (Baseline)]],"")</f>
        <v/>
      </c>
      <c r="U54" s="13" t="str">
        <f>IF(Results!$T54&lt;&gt;"",Results!$T54,H54)</f>
        <v/>
      </c>
      <c r="V54" s="84" t="str">
        <f>IF(Results!$U54="","",IF(U54&lt;&gt;"",U54,0)/SUM(Results!$U$7:$U$189))</f>
        <v/>
      </c>
      <c r="W54" s="101" t="str">
        <f>IF(Results!$I54&lt;&gt;"",(HLOOKUP(Table13[[#This Row],[Units]],'Emission Inputs (Optional)'!$L$10:$R$27,MATCH(Table13[[#This Row],[Energy Source]],'Emission Inputs (Optional)'!$L$10:$L$27,0),FALSE))*(Table13[[#This Row],[Annual Consumption (Baseline)]]-Table13[[#This Row],[Energy Savings]]),"")</f>
        <v/>
      </c>
      <c r="X54" s="13" t="str">
        <f>IFERROR(VLOOKUP(B54,'Emission Inputs (Optional)'!$G$9:$J$191,4,FALSE),"")</f>
        <v/>
      </c>
      <c r="Y54" s="95" t="str">
        <f>IF(Results!$W54&lt;&gt;"",Results!$W54,IF(X54&lt;&gt;"",(H54-X54),""))</f>
        <v/>
      </c>
      <c r="Z54" s="95" t="str">
        <f t="shared" si="1"/>
        <v/>
      </c>
      <c r="AA54" s="89" t="str">
        <f>IF(Results!$U54="","",IF(U54&lt;&gt;"",U54,0)/SUM(Results!$U$7:$U$189))</f>
        <v/>
      </c>
      <c r="AB54" s="8"/>
      <c r="AC54" s="8"/>
      <c r="AD54" s="8"/>
      <c r="AE54" s="8"/>
      <c r="AF54" s="8"/>
      <c r="AG54" s="8"/>
      <c r="AH54" s="8"/>
      <c r="AI54" s="8"/>
      <c r="AJ54" s="8"/>
      <c r="AK54" s="8"/>
      <c r="AL54" s="8"/>
      <c r="AM54" s="8"/>
      <c r="AN54" s="8"/>
      <c r="AO54" s="8"/>
      <c r="AP54" s="8"/>
      <c r="AQ54" s="8"/>
      <c r="AR54" s="8"/>
      <c r="AS54" s="8"/>
      <c r="AT54" s="8"/>
    </row>
    <row r="55" spans="1:46" x14ac:dyDescent="0.2">
      <c r="A55" s="55" t="str">
        <f>IF(B55&lt;&gt;"",COUNTA($B$7:B55),"")</f>
        <v/>
      </c>
      <c r="B55" s="83"/>
      <c r="C55" s="86"/>
      <c r="D55" s="83" t="str">
        <f>IF(Table13[[#This Row],[Energy Source]]="","",Table13[[#This Row],[Energy Source]])</f>
        <v/>
      </c>
      <c r="E55" s="83" t="str">
        <f>IF(Table13[[#This Row],[Units]]="", "", Table13[[#This Row],[Units]])</f>
        <v/>
      </c>
      <c r="F55" s="83" t="str">
        <f>IF(Table13[[#This Row],[Annual Consumption (Baseline)]]="", "", Table13[[#This Row],[Annual Consumption (Baseline)]])</f>
        <v/>
      </c>
      <c r="G55" s="83" t="str">
        <f>IF(F55="", "", IF(Results!$C55="Energy", VLOOKUP(Results!$E55,'Emission Inputs (Optional)'!$T$10:$U$27,2,FALSE)*Table13[[#This Row],[Energy Savings]], ""))</f>
        <v/>
      </c>
      <c r="H55" s="13" t="str">
        <f>IFERROR(VLOOKUP(B55,'Emission Inputs (Optional)'!$G$9:$I$191,3,FALSE),"")</f>
        <v/>
      </c>
      <c r="I55" s="13" t="str">
        <f>IF(Results!$C55="Energy", VLOOKUP(Results!$E55,'Emission Inputs (Optional)'!$T$10:$U$27,2,FALSE)*Results!$F55, "")</f>
        <v/>
      </c>
      <c r="J55" s="13" t="str">
        <f>IF(Results!$I55&lt;&gt;"",Results!$I55*0.293071,"")</f>
        <v/>
      </c>
      <c r="K55" s="84" t="str">
        <f>IF(Results!$I55&lt;&gt;"",Results!$I55/SUM($I$7:$I$189),"")</f>
        <v/>
      </c>
      <c r="L55" s="13" t="str">
        <f>IF(Results!$F55&lt;&gt;"",I55-G55,"")</f>
        <v/>
      </c>
      <c r="M55" s="13" t="str">
        <f>IF(Results!$L55&lt;&gt;"",Results!$L55*0.293071,"")</f>
        <v/>
      </c>
      <c r="N55" s="84" t="str">
        <f>IF(Results!$M55&lt;&gt;"",Results!$M55/SUM($M$7:$M$189),"")</f>
        <v/>
      </c>
      <c r="O55" s="85" t="str">
        <f>IF(Results!$C55="Energy", VLOOKUP(Results!$D55,'Energy Costs Inputs (Optional)'!$AS$3:$AU$20,2,FALSE)*Results!$I55, "")</f>
        <v/>
      </c>
      <c r="P55" s="84" t="str">
        <f>IF(Results!$O55&lt;&gt;"",Results!$O55/SUM($O$7:$O$189),"")</f>
        <v/>
      </c>
      <c r="Q55" s="85" t="str">
        <f>IF(Results!$C55="Energy", VLOOKUP(Results!$D55,'Energy Costs Inputs (Optional)'!$AS$3:$AU$20,2,FALSE)*Results!$L55, "")</f>
        <v/>
      </c>
      <c r="R55" s="84" t="str">
        <f>IF(Results!$Q55&lt;&gt;"",Results!$Q55/SUM($Q$7:$Q$189),"")</f>
        <v/>
      </c>
      <c r="S55" s="85" t="str">
        <f t="shared" si="0"/>
        <v/>
      </c>
      <c r="T55" s="13" t="str">
        <f>IF(Results!$I55&lt;&gt;"",(HLOOKUP(Table13[[#This Row],[Units]],'Emission Inputs (Optional)'!$L$10:$R$27,MATCH(Table13[[#This Row],[Energy Source]],'Emission Inputs (Optional)'!$L$10:$L$27,0),FALSE))*Table13[[#This Row],[Annual Consumption (Baseline)]],"")</f>
        <v/>
      </c>
      <c r="U55" s="13" t="str">
        <f>IF(Results!$T55&lt;&gt;"",Results!$T55,H55)</f>
        <v/>
      </c>
      <c r="V55" s="84" t="str">
        <f>IF(Results!$U55="","",IF(U55&lt;&gt;"",U55,0)/SUM(Results!$U$7:$U$189))</f>
        <v/>
      </c>
      <c r="W55" s="101" t="str">
        <f>IF(Results!$I55&lt;&gt;"",(HLOOKUP(Table13[[#This Row],[Units]],'Emission Inputs (Optional)'!$L$10:$R$27,MATCH(Table13[[#This Row],[Energy Source]],'Emission Inputs (Optional)'!$L$10:$L$27,0),FALSE))*(Table13[[#This Row],[Annual Consumption (Baseline)]]-Table13[[#This Row],[Energy Savings]]),"")</f>
        <v/>
      </c>
      <c r="X55" s="13" t="str">
        <f>IFERROR(VLOOKUP(B55,'Emission Inputs (Optional)'!$G$9:$J$191,4,FALSE),"")</f>
        <v/>
      </c>
      <c r="Y55" s="95" t="str">
        <f>IF(Results!$W55&lt;&gt;"",Results!$W55,IF(X55&lt;&gt;"",(H55-X55),""))</f>
        <v/>
      </c>
      <c r="Z55" s="95" t="str">
        <f t="shared" si="1"/>
        <v/>
      </c>
      <c r="AA55" s="89" t="str">
        <f>IF(Results!$U55="","",IF(U55&lt;&gt;"",U55,0)/SUM(Results!$U$7:$U$189))</f>
        <v/>
      </c>
      <c r="AB55" s="8"/>
      <c r="AC55" s="8"/>
      <c r="AD55" s="8"/>
      <c r="AE55" s="8"/>
      <c r="AF55" s="8"/>
      <c r="AG55" s="8"/>
      <c r="AH55" s="8"/>
      <c r="AI55" s="8"/>
      <c r="AJ55" s="8"/>
      <c r="AK55" s="8"/>
      <c r="AL55" s="8"/>
      <c r="AM55" s="8"/>
      <c r="AN55" s="8"/>
      <c r="AO55" s="8"/>
      <c r="AP55" s="8"/>
      <c r="AQ55" s="8"/>
      <c r="AR55" s="8"/>
      <c r="AS55" s="8"/>
      <c r="AT55" s="8"/>
    </row>
    <row r="56" spans="1:46" x14ac:dyDescent="0.2">
      <c r="A56" s="55" t="str">
        <f>IF(B56&lt;&gt;"",COUNTA($B$7:B56),"")</f>
        <v/>
      </c>
      <c r="B56" s="83"/>
      <c r="C56" s="86"/>
      <c r="D56" s="83" t="str">
        <f>IF(Table13[[#This Row],[Energy Source]]="","",Table13[[#This Row],[Energy Source]])</f>
        <v/>
      </c>
      <c r="E56" s="83" t="str">
        <f>IF(Table13[[#This Row],[Units]]="", "", Table13[[#This Row],[Units]])</f>
        <v/>
      </c>
      <c r="F56" s="83" t="str">
        <f>IF(Table13[[#This Row],[Annual Consumption (Baseline)]]="", "", Table13[[#This Row],[Annual Consumption (Baseline)]])</f>
        <v/>
      </c>
      <c r="G56" s="83" t="str">
        <f>IF(F56="", "", IF(Results!$C56="Energy", VLOOKUP(Results!$E56,'Emission Inputs (Optional)'!$T$10:$U$27,2,FALSE)*Table13[[#This Row],[Energy Savings]], ""))</f>
        <v/>
      </c>
      <c r="H56" s="13" t="str">
        <f>IFERROR(VLOOKUP(B56,'Emission Inputs (Optional)'!$G$9:$I$191,3,FALSE),"")</f>
        <v/>
      </c>
      <c r="I56" s="13" t="str">
        <f>IF(Results!$C56="Energy", VLOOKUP(Results!$E56,'Emission Inputs (Optional)'!$T$10:$U$27,2,FALSE)*Results!$F56, "")</f>
        <v/>
      </c>
      <c r="J56" s="13" t="str">
        <f>IF(Results!$I56&lt;&gt;"",Results!$I56*0.293071,"")</f>
        <v/>
      </c>
      <c r="K56" s="84" t="str">
        <f>IF(Results!$I56&lt;&gt;"",Results!$I56/SUM($I$7:$I$189),"")</f>
        <v/>
      </c>
      <c r="L56" s="13" t="str">
        <f>IF(Results!$F56&lt;&gt;"",I56-G56,"")</f>
        <v/>
      </c>
      <c r="M56" s="13" t="str">
        <f>IF(Results!$L56&lt;&gt;"",Results!$L56*0.293071,"")</f>
        <v/>
      </c>
      <c r="N56" s="84" t="str">
        <f>IF(Results!$M56&lt;&gt;"",Results!$M56/SUM($M$7:$M$189),"")</f>
        <v/>
      </c>
      <c r="O56" s="85" t="str">
        <f>IF(Results!$C56="Energy", VLOOKUP(Results!$D56,'Energy Costs Inputs (Optional)'!$AS$3:$AU$20,2,FALSE)*Results!$I56, "")</f>
        <v/>
      </c>
      <c r="P56" s="84" t="str">
        <f>IF(Results!$O56&lt;&gt;"",Results!$O56/SUM($O$7:$O$189),"")</f>
        <v/>
      </c>
      <c r="Q56" s="85" t="str">
        <f>IF(Results!$C56="Energy", VLOOKUP(Results!$D56,'Energy Costs Inputs (Optional)'!$AS$3:$AU$20,2,FALSE)*Results!$L56, "")</f>
        <v/>
      </c>
      <c r="R56" s="84" t="str">
        <f>IF(Results!$Q56&lt;&gt;"",Results!$Q56/SUM($Q$7:$Q$189),"")</f>
        <v/>
      </c>
      <c r="S56" s="85" t="str">
        <f t="shared" si="0"/>
        <v/>
      </c>
      <c r="T56" s="13" t="str">
        <f>IF(Results!$I56&lt;&gt;"",(HLOOKUP(Table13[[#This Row],[Units]],'Emission Inputs (Optional)'!$L$10:$R$27,MATCH(Table13[[#This Row],[Energy Source]],'Emission Inputs (Optional)'!$L$10:$L$27,0),FALSE))*Table13[[#This Row],[Annual Consumption (Baseline)]],"")</f>
        <v/>
      </c>
      <c r="U56" s="13" t="str">
        <f>IF(Results!$T56&lt;&gt;"",Results!$T56,H56)</f>
        <v/>
      </c>
      <c r="V56" s="84" t="str">
        <f>IF(Results!$U56="","",IF(U56&lt;&gt;"",U56,0)/SUM(Results!$U$7:$U$189))</f>
        <v/>
      </c>
      <c r="W56" s="101" t="str">
        <f>IF(Results!$I56&lt;&gt;"",(HLOOKUP(Table13[[#This Row],[Units]],'Emission Inputs (Optional)'!$L$10:$R$27,MATCH(Table13[[#This Row],[Energy Source]],'Emission Inputs (Optional)'!$L$10:$L$27,0),FALSE))*(Table13[[#This Row],[Annual Consumption (Baseline)]]-Table13[[#This Row],[Energy Savings]]),"")</f>
        <v/>
      </c>
      <c r="X56" s="13" t="str">
        <f>IFERROR(VLOOKUP(B56,'Emission Inputs (Optional)'!$G$9:$J$191,4,FALSE),"")</f>
        <v/>
      </c>
      <c r="Y56" s="95" t="str">
        <f>IF(Results!$W56&lt;&gt;"",Results!$W56,IF(X56&lt;&gt;"",(H56-X56),""))</f>
        <v/>
      </c>
      <c r="Z56" s="95" t="str">
        <f t="shared" si="1"/>
        <v/>
      </c>
      <c r="AA56" s="89" t="str">
        <f>IF(Results!$U56="","",IF(U56&lt;&gt;"",U56,0)/SUM(Results!$U$7:$U$189))</f>
        <v/>
      </c>
      <c r="AB56" s="8"/>
      <c r="AC56" s="8"/>
      <c r="AD56" s="8"/>
      <c r="AE56" s="8"/>
      <c r="AF56" s="8"/>
      <c r="AG56" s="8"/>
      <c r="AH56" s="8"/>
      <c r="AI56" s="8"/>
      <c r="AJ56" s="8"/>
      <c r="AK56" s="8"/>
      <c r="AL56" s="8"/>
      <c r="AM56" s="8"/>
      <c r="AN56" s="8"/>
      <c r="AO56" s="8"/>
      <c r="AP56" s="8"/>
      <c r="AQ56" s="8"/>
      <c r="AR56" s="8"/>
      <c r="AS56" s="8"/>
      <c r="AT56" s="8"/>
    </row>
    <row r="57" spans="1:46" x14ac:dyDescent="0.2">
      <c r="A57" s="55" t="str">
        <f>IF(B57&lt;&gt;"",COUNTA($B$7:B57),"")</f>
        <v/>
      </c>
      <c r="B57" s="83"/>
      <c r="C57" s="86"/>
      <c r="D57" s="83" t="str">
        <f>IF(Table13[[#This Row],[Energy Source]]="","",Table13[[#This Row],[Energy Source]])</f>
        <v/>
      </c>
      <c r="E57" s="83" t="str">
        <f>IF(Table13[[#This Row],[Units]]="", "", Table13[[#This Row],[Units]])</f>
        <v/>
      </c>
      <c r="F57" s="83" t="str">
        <f>IF(Table13[[#This Row],[Annual Consumption (Baseline)]]="", "", Table13[[#This Row],[Annual Consumption (Baseline)]])</f>
        <v/>
      </c>
      <c r="G57" s="83" t="str">
        <f>IF(F57="", "", IF(Results!$C57="Energy", VLOOKUP(Results!$E57,'Emission Inputs (Optional)'!$T$10:$U$27,2,FALSE)*Table13[[#This Row],[Energy Savings]], ""))</f>
        <v/>
      </c>
      <c r="H57" s="13" t="str">
        <f>IFERROR(VLOOKUP(B57,'Emission Inputs (Optional)'!$G$9:$I$191,3,FALSE),"")</f>
        <v/>
      </c>
      <c r="I57" s="13" t="str">
        <f>IF(Results!$C57="Energy", VLOOKUP(Results!$E57,'Emission Inputs (Optional)'!$T$10:$U$27,2,FALSE)*Results!$F57, "")</f>
        <v/>
      </c>
      <c r="J57" s="13" t="str">
        <f>IF(Results!$I57&lt;&gt;"",Results!$I57*0.293071,"")</f>
        <v/>
      </c>
      <c r="K57" s="84" t="str">
        <f>IF(Results!$I57&lt;&gt;"",Results!$I57/SUM($I$7:$I$189),"")</f>
        <v/>
      </c>
      <c r="L57" s="13" t="str">
        <f>IF(Results!$F57&lt;&gt;"",I57-G57,"")</f>
        <v/>
      </c>
      <c r="M57" s="13" t="str">
        <f>IF(Results!$L57&lt;&gt;"",Results!$L57*0.293071,"")</f>
        <v/>
      </c>
      <c r="N57" s="84" t="str">
        <f>IF(Results!$M57&lt;&gt;"",Results!$M57/SUM($M$7:$M$189),"")</f>
        <v/>
      </c>
      <c r="O57" s="85" t="str">
        <f>IF(Results!$C57="Energy", VLOOKUP(Results!$D57,'Energy Costs Inputs (Optional)'!$AS$3:$AU$20,2,FALSE)*Results!$I57, "")</f>
        <v/>
      </c>
      <c r="P57" s="84" t="str">
        <f>IF(Results!$O57&lt;&gt;"",Results!$O57/SUM($O$7:$O$189),"")</f>
        <v/>
      </c>
      <c r="Q57" s="85" t="str">
        <f>IF(Results!$C57="Energy", VLOOKUP(Results!$D57,'Energy Costs Inputs (Optional)'!$AS$3:$AU$20,2,FALSE)*Results!$L57, "")</f>
        <v/>
      </c>
      <c r="R57" s="84" t="str">
        <f>IF(Results!$Q57&lt;&gt;"",Results!$Q57/SUM($Q$7:$Q$189),"")</f>
        <v/>
      </c>
      <c r="S57" s="85" t="str">
        <f t="shared" si="0"/>
        <v/>
      </c>
      <c r="T57" s="13" t="str">
        <f>IF(Results!$I57&lt;&gt;"",(HLOOKUP(Table13[[#This Row],[Units]],'Emission Inputs (Optional)'!$L$10:$R$27,MATCH(Table13[[#This Row],[Energy Source]],'Emission Inputs (Optional)'!$L$10:$L$27,0),FALSE))*Table13[[#This Row],[Annual Consumption (Baseline)]],"")</f>
        <v/>
      </c>
      <c r="U57" s="13" t="str">
        <f>IF(Results!$T57&lt;&gt;"",Results!$T57,H57)</f>
        <v/>
      </c>
      <c r="V57" s="84" t="str">
        <f>IF(Results!$U57="","",IF(U57&lt;&gt;"",U57,0)/SUM(Results!$U$7:$U$189))</f>
        <v/>
      </c>
      <c r="W57" s="101" t="str">
        <f>IF(Results!$I57&lt;&gt;"",(HLOOKUP(Table13[[#This Row],[Units]],'Emission Inputs (Optional)'!$L$10:$R$27,MATCH(Table13[[#This Row],[Energy Source]],'Emission Inputs (Optional)'!$L$10:$L$27,0),FALSE))*(Table13[[#This Row],[Annual Consumption (Baseline)]]-Table13[[#This Row],[Energy Savings]]),"")</f>
        <v/>
      </c>
      <c r="X57" s="13" t="str">
        <f>IFERROR(VLOOKUP(B57,'Emission Inputs (Optional)'!$G$9:$J$191,4,FALSE),"")</f>
        <v/>
      </c>
      <c r="Y57" s="95" t="str">
        <f>IF(Results!$W57&lt;&gt;"",Results!$W57,IF(X57&lt;&gt;"",(H57-X57),""))</f>
        <v/>
      </c>
      <c r="Z57" s="95" t="str">
        <f t="shared" si="1"/>
        <v/>
      </c>
      <c r="AA57" s="89" t="str">
        <f>IF(Results!$U57="","",IF(U57&lt;&gt;"",U57,0)/SUM(Results!$U$7:$U$189))</f>
        <v/>
      </c>
      <c r="AB57" s="8"/>
      <c r="AC57" s="8"/>
      <c r="AD57" s="8"/>
      <c r="AE57" s="8"/>
      <c r="AF57" s="8"/>
      <c r="AG57" s="8"/>
      <c r="AH57" s="8"/>
      <c r="AI57" s="8"/>
      <c r="AJ57" s="8"/>
      <c r="AK57" s="8"/>
      <c r="AL57" s="8"/>
      <c r="AM57" s="8"/>
      <c r="AN57" s="8"/>
      <c r="AO57" s="8"/>
      <c r="AP57" s="8"/>
      <c r="AQ57" s="8"/>
      <c r="AR57" s="8"/>
      <c r="AS57" s="8"/>
      <c r="AT57" s="8"/>
    </row>
    <row r="58" spans="1:46" x14ac:dyDescent="0.2">
      <c r="A58" s="55" t="str">
        <f>IF(B58&lt;&gt;"",COUNTA($B$7:B58),"")</f>
        <v/>
      </c>
      <c r="B58" s="83"/>
      <c r="C58" s="86"/>
      <c r="D58" s="83" t="str">
        <f>IF(Table13[[#This Row],[Energy Source]]="","",Table13[[#This Row],[Energy Source]])</f>
        <v/>
      </c>
      <c r="E58" s="83" t="str">
        <f>IF(Table13[[#This Row],[Units]]="", "", Table13[[#This Row],[Units]])</f>
        <v/>
      </c>
      <c r="F58" s="83" t="str">
        <f>IF(Table13[[#This Row],[Annual Consumption (Baseline)]]="", "", Table13[[#This Row],[Annual Consumption (Baseline)]])</f>
        <v/>
      </c>
      <c r="G58" s="83" t="str">
        <f>IF(F58="", "", IF(Results!$C58="Energy", VLOOKUP(Results!$E58,'Emission Inputs (Optional)'!$T$10:$U$27,2,FALSE)*Table13[[#This Row],[Energy Savings]], ""))</f>
        <v/>
      </c>
      <c r="H58" s="13" t="str">
        <f>IFERROR(VLOOKUP(B58,'Emission Inputs (Optional)'!$G$9:$I$191,3,FALSE),"")</f>
        <v/>
      </c>
      <c r="I58" s="13" t="str">
        <f>IF(Results!$C58="Energy", VLOOKUP(Results!$E58,'Emission Inputs (Optional)'!$T$10:$U$27,2,FALSE)*Results!$F58, "")</f>
        <v/>
      </c>
      <c r="J58" s="13" t="str">
        <f>IF(Results!$I58&lt;&gt;"",Results!$I58*0.293071,"")</f>
        <v/>
      </c>
      <c r="K58" s="84" t="str">
        <f>IF(Results!$I58&lt;&gt;"",Results!$I58/SUM($I$7:$I$189),"")</f>
        <v/>
      </c>
      <c r="L58" s="13" t="str">
        <f>IF(Results!$F58&lt;&gt;"",I58-G58,"")</f>
        <v/>
      </c>
      <c r="M58" s="13" t="str">
        <f>IF(Results!$L58&lt;&gt;"",Results!$L58*0.293071,"")</f>
        <v/>
      </c>
      <c r="N58" s="84" t="str">
        <f>IF(Results!$M58&lt;&gt;"",Results!$M58/SUM($M$7:$M$189),"")</f>
        <v/>
      </c>
      <c r="O58" s="85" t="str">
        <f>IF(Results!$C58="Energy", VLOOKUP(Results!$D58,'Energy Costs Inputs (Optional)'!$AS$3:$AU$20,2,FALSE)*Results!$I58, "")</f>
        <v/>
      </c>
      <c r="P58" s="84" t="str">
        <f>IF(Results!$O58&lt;&gt;"",Results!$O58/SUM($O$7:$O$189),"")</f>
        <v/>
      </c>
      <c r="Q58" s="85" t="str">
        <f>IF(Results!$C58="Energy", VLOOKUP(Results!$D58,'Energy Costs Inputs (Optional)'!$AS$3:$AU$20,2,FALSE)*Results!$L58, "")</f>
        <v/>
      </c>
      <c r="R58" s="84" t="str">
        <f>IF(Results!$Q58&lt;&gt;"",Results!$Q58/SUM($Q$7:$Q$189),"")</f>
        <v/>
      </c>
      <c r="S58" s="85" t="str">
        <f t="shared" si="0"/>
        <v/>
      </c>
      <c r="T58" s="13" t="str">
        <f>IF(Results!$I58&lt;&gt;"",(HLOOKUP(Table13[[#This Row],[Units]],'Emission Inputs (Optional)'!$L$10:$R$27,MATCH(Table13[[#This Row],[Energy Source]],'Emission Inputs (Optional)'!$L$10:$L$27,0),FALSE))*Table13[[#This Row],[Annual Consumption (Baseline)]],"")</f>
        <v/>
      </c>
      <c r="U58" s="13" t="str">
        <f>IF(Results!$T58&lt;&gt;"",Results!$T58,H58)</f>
        <v/>
      </c>
      <c r="V58" s="84" t="str">
        <f>IF(Results!$U58="","",IF(U58&lt;&gt;"",U58,0)/SUM(Results!$U$7:$U$189))</f>
        <v/>
      </c>
      <c r="W58" s="101" t="str">
        <f>IF(Results!$I58&lt;&gt;"",(HLOOKUP(Table13[[#This Row],[Units]],'Emission Inputs (Optional)'!$L$10:$R$27,MATCH(Table13[[#This Row],[Energy Source]],'Emission Inputs (Optional)'!$L$10:$L$27,0),FALSE))*(Table13[[#This Row],[Annual Consumption (Baseline)]]-Table13[[#This Row],[Energy Savings]]),"")</f>
        <v/>
      </c>
      <c r="X58" s="13" t="str">
        <f>IFERROR(VLOOKUP(B58,'Emission Inputs (Optional)'!$G$9:$J$191,4,FALSE),"")</f>
        <v/>
      </c>
      <c r="Y58" s="95" t="str">
        <f>IF(Results!$W58&lt;&gt;"",Results!$W58,IF(X58&lt;&gt;"",(H58-X58),""))</f>
        <v/>
      </c>
      <c r="Z58" s="95" t="str">
        <f t="shared" si="1"/>
        <v/>
      </c>
      <c r="AA58" s="89" t="str">
        <f>IF(Results!$U58="","",IF(U58&lt;&gt;"",U58,0)/SUM(Results!$U$7:$U$189))</f>
        <v/>
      </c>
      <c r="AB58" s="8"/>
      <c r="AC58" s="8"/>
      <c r="AD58" s="8"/>
      <c r="AE58" s="8"/>
      <c r="AF58" s="8"/>
      <c r="AG58" s="8"/>
      <c r="AH58" s="8"/>
      <c r="AI58" s="8"/>
      <c r="AJ58" s="8"/>
      <c r="AK58" s="8"/>
      <c r="AL58" s="8"/>
      <c r="AM58" s="8"/>
      <c r="AN58" s="8"/>
      <c r="AO58" s="8"/>
      <c r="AP58" s="8"/>
      <c r="AQ58" s="8"/>
      <c r="AR58" s="8"/>
      <c r="AS58" s="8"/>
      <c r="AT58" s="8"/>
    </row>
    <row r="59" spans="1:46" x14ac:dyDescent="0.2">
      <c r="A59" s="55" t="str">
        <f>IF(B59&lt;&gt;"",COUNTA($B$7:B59),"")</f>
        <v/>
      </c>
      <c r="B59" s="83"/>
      <c r="C59" s="86"/>
      <c r="D59" s="83" t="str">
        <f>IF(Table13[[#This Row],[Energy Source]]="","",Table13[[#This Row],[Energy Source]])</f>
        <v/>
      </c>
      <c r="E59" s="83" t="str">
        <f>IF(Table13[[#This Row],[Units]]="", "", Table13[[#This Row],[Units]])</f>
        <v/>
      </c>
      <c r="F59" s="83" t="str">
        <f>IF(Table13[[#This Row],[Annual Consumption (Baseline)]]="", "", Table13[[#This Row],[Annual Consumption (Baseline)]])</f>
        <v/>
      </c>
      <c r="G59" s="83" t="str">
        <f>IF(F59="", "", IF(Results!$C59="Energy", VLOOKUP(Results!$E59,'Emission Inputs (Optional)'!$T$10:$U$27,2,FALSE)*Table13[[#This Row],[Energy Savings]], ""))</f>
        <v/>
      </c>
      <c r="H59" s="13" t="str">
        <f>IFERROR(VLOOKUP(B59,'Emission Inputs (Optional)'!$G$9:$I$191,3,FALSE),"")</f>
        <v/>
      </c>
      <c r="I59" s="13" t="str">
        <f>IF(Results!$C59="Energy", VLOOKUP(Results!$E59,'Emission Inputs (Optional)'!$T$10:$U$27,2,FALSE)*Results!$F59, "")</f>
        <v/>
      </c>
      <c r="J59" s="13" t="str">
        <f>IF(Results!$I59&lt;&gt;"",Results!$I59*0.293071,"")</f>
        <v/>
      </c>
      <c r="K59" s="84" t="str">
        <f>IF(Results!$I59&lt;&gt;"",Results!$I59/SUM($I$7:$I$189),"")</f>
        <v/>
      </c>
      <c r="L59" s="13" t="str">
        <f>IF(Results!$F59&lt;&gt;"",I59-G59,"")</f>
        <v/>
      </c>
      <c r="M59" s="13" t="str">
        <f>IF(Results!$L59&lt;&gt;"",Results!$L59*0.293071,"")</f>
        <v/>
      </c>
      <c r="N59" s="84" t="str">
        <f>IF(Results!$M59&lt;&gt;"",Results!$M59/SUM($M$7:$M$189),"")</f>
        <v/>
      </c>
      <c r="O59" s="85" t="str">
        <f>IF(Results!$C59="Energy", VLOOKUP(Results!$D59,'Energy Costs Inputs (Optional)'!$AS$3:$AU$20,2,FALSE)*Results!$I59, "")</f>
        <v/>
      </c>
      <c r="P59" s="84" t="str">
        <f>IF(Results!$O59&lt;&gt;"",Results!$O59/SUM($O$7:$O$189),"")</f>
        <v/>
      </c>
      <c r="Q59" s="85" t="str">
        <f>IF(Results!$C59="Energy", VLOOKUP(Results!$D59,'Energy Costs Inputs (Optional)'!$AS$3:$AU$20,2,FALSE)*Results!$L59, "")</f>
        <v/>
      </c>
      <c r="R59" s="84" t="str">
        <f>IF(Results!$Q59&lt;&gt;"",Results!$Q59/SUM($Q$7:$Q$189),"")</f>
        <v/>
      </c>
      <c r="S59" s="85" t="str">
        <f t="shared" si="0"/>
        <v/>
      </c>
      <c r="T59" s="13" t="str">
        <f>IF(Results!$I59&lt;&gt;"",(HLOOKUP(Table13[[#This Row],[Units]],'Emission Inputs (Optional)'!$L$10:$R$27,MATCH(Table13[[#This Row],[Energy Source]],'Emission Inputs (Optional)'!$L$10:$L$27,0),FALSE))*Table13[[#This Row],[Annual Consumption (Baseline)]],"")</f>
        <v/>
      </c>
      <c r="U59" s="13" t="str">
        <f>IF(Results!$T59&lt;&gt;"",Results!$T59,H59)</f>
        <v/>
      </c>
      <c r="V59" s="84" t="str">
        <f>IF(Results!$U59="","",IF(U59&lt;&gt;"",U59,0)/SUM(Results!$U$7:$U$189))</f>
        <v/>
      </c>
      <c r="W59" s="101" t="str">
        <f>IF(Results!$I59&lt;&gt;"",(HLOOKUP(Table13[[#This Row],[Units]],'Emission Inputs (Optional)'!$L$10:$R$27,MATCH(Table13[[#This Row],[Energy Source]],'Emission Inputs (Optional)'!$L$10:$L$27,0),FALSE))*(Table13[[#This Row],[Annual Consumption (Baseline)]]-Table13[[#This Row],[Energy Savings]]),"")</f>
        <v/>
      </c>
      <c r="X59" s="13" t="str">
        <f>IFERROR(VLOOKUP(B59,'Emission Inputs (Optional)'!$G$9:$J$191,4,FALSE),"")</f>
        <v/>
      </c>
      <c r="Y59" s="95" t="str">
        <f>IF(Results!$W59&lt;&gt;"",Results!$W59,IF(X59&lt;&gt;"",(H59-X59),""))</f>
        <v/>
      </c>
      <c r="Z59" s="95" t="str">
        <f t="shared" si="1"/>
        <v/>
      </c>
      <c r="AA59" s="89" t="str">
        <f>IF(Results!$U59="","",IF(U59&lt;&gt;"",U59,0)/SUM(Results!$U$7:$U$189))</f>
        <v/>
      </c>
      <c r="AB59" s="8"/>
      <c r="AC59" s="8"/>
      <c r="AD59" s="8"/>
      <c r="AE59" s="8"/>
      <c r="AF59" s="8"/>
      <c r="AG59" s="8"/>
      <c r="AH59" s="8"/>
      <c r="AI59" s="8"/>
      <c r="AJ59" s="8"/>
      <c r="AK59" s="8"/>
      <c r="AL59" s="8"/>
      <c r="AM59" s="8"/>
      <c r="AN59" s="8"/>
      <c r="AO59" s="8"/>
      <c r="AP59" s="8"/>
      <c r="AQ59" s="8"/>
      <c r="AR59" s="8"/>
      <c r="AS59" s="8"/>
      <c r="AT59" s="8"/>
    </row>
    <row r="60" spans="1:46" x14ac:dyDescent="0.2">
      <c r="A60" s="55" t="str">
        <f>IF(B60&lt;&gt;"",COUNTA($B$7:B60),"")</f>
        <v/>
      </c>
      <c r="B60" s="83"/>
      <c r="C60" s="86"/>
      <c r="D60" s="83" t="str">
        <f>IF(Table13[[#This Row],[Energy Source]]="","",Table13[[#This Row],[Energy Source]])</f>
        <v/>
      </c>
      <c r="E60" s="83" t="str">
        <f>IF(Table13[[#This Row],[Units]]="", "", Table13[[#This Row],[Units]])</f>
        <v/>
      </c>
      <c r="F60" s="83" t="str">
        <f>IF(Table13[[#This Row],[Annual Consumption (Baseline)]]="", "", Table13[[#This Row],[Annual Consumption (Baseline)]])</f>
        <v/>
      </c>
      <c r="G60" s="83" t="str">
        <f>IF(F60="", "", IF(Results!$C60="Energy", VLOOKUP(Results!$E60,'Emission Inputs (Optional)'!$T$10:$U$27,2,FALSE)*Table13[[#This Row],[Energy Savings]], ""))</f>
        <v/>
      </c>
      <c r="H60" s="13" t="str">
        <f>IFERROR(VLOOKUP(B60,'Emission Inputs (Optional)'!$G$9:$I$191,3,FALSE),"")</f>
        <v/>
      </c>
      <c r="I60" s="13" t="str">
        <f>IF(Results!$C60="Energy", VLOOKUP(Results!$E60,'Emission Inputs (Optional)'!$T$10:$U$27,2,FALSE)*Results!$F60, "")</f>
        <v/>
      </c>
      <c r="J60" s="13" t="str">
        <f>IF(Results!$I60&lt;&gt;"",Results!$I60*0.293071,"")</f>
        <v/>
      </c>
      <c r="K60" s="84" t="str">
        <f>IF(Results!$I60&lt;&gt;"",Results!$I60/SUM($I$7:$I$189),"")</f>
        <v/>
      </c>
      <c r="L60" s="13" t="str">
        <f>IF(Results!$F60&lt;&gt;"",I60-G60,"")</f>
        <v/>
      </c>
      <c r="M60" s="13" t="str">
        <f>IF(Results!$L60&lt;&gt;"",Results!$L60*0.293071,"")</f>
        <v/>
      </c>
      <c r="N60" s="84" t="str">
        <f>IF(Results!$M60&lt;&gt;"",Results!$M60/SUM($M$7:$M$189),"")</f>
        <v/>
      </c>
      <c r="O60" s="85" t="str">
        <f>IF(Results!$C60="Energy", VLOOKUP(Results!$D60,'Energy Costs Inputs (Optional)'!$AS$3:$AU$20,2,FALSE)*Results!$I60, "")</f>
        <v/>
      </c>
      <c r="P60" s="84" t="str">
        <f>IF(Results!$O60&lt;&gt;"",Results!$O60/SUM($O$7:$O$189),"")</f>
        <v/>
      </c>
      <c r="Q60" s="85" t="str">
        <f>IF(Results!$C60="Energy", VLOOKUP(Results!$D60,'Energy Costs Inputs (Optional)'!$AS$3:$AU$20,2,FALSE)*Results!$L60, "")</f>
        <v/>
      </c>
      <c r="R60" s="84" t="str">
        <f>IF(Results!$Q60&lt;&gt;"",Results!$Q60/SUM($Q$7:$Q$189),"")</f>
        <v/>
      </c>
      <c r="S60" s="85" t="str">
        <f t="shared" si="0"/>
        <v/>
      </c>
      <c r="T60" s="13" t="str">
        <f>IF(Results!$I60&lt;&gt;"",(HLOOKUP(Table13[[#This Row],[Units]],'Emission Inputs (Optional)'!$L$10:$R$27,MATCH(Table13[[#This Row],[Energy Source]],'Emission Inputs (Optional)'!$L$10:$L$27,0),FALSE))*Table13[[#This Row],[Annual Consumption (Baseline)]],"")</f>
        <v/>
      </c>
      <c r="U60" s="13" t="str">
        <f>IF(Results!$T60&lt;&gt;"",Results!$T60,H60)</f>
        <v/>
      </c>
      <c r="V60" s="84" t="str">
        <f>IF(Results!$U60="","",IF(U60&lt;&gt;"",U60,0)/SUM(Results!$U$7:$U$189))</f>
        <v/>
      </c>
      <c r="W60" s="101" t="str">
        <f>IF(Results!$I60&lt;&gt;"",(HLOOKUP(Table13[[#This Row],[Units]],'Emission Inputs (Optional)'!$L$10:$R$27,MATCH(Table13[[#This Row],[Energy Source]],'Emission Inputs (Optional)'!$L$10:$L$27,0),FALSE))*(Table13[[#This Row],[Annual Consumption (Baseline)]]-Table13[[#This Row],[Energy Savings]]),"")</f>
        <v/>
      </c>
      <c r="X60" s="13" t="str">
        <f>IFERROR(VLOOKUP(B60,'Emission Inputs (Optional)'!$G$9:$J$191,4,FALSE),"")</f>
        <v/>
      </c>
      <c r="Y60" s="95" t="str">
        <f>IF(Results!$W60&lt;&gt;"",Results!$W60,IF(X60&lt;&gt;"",(H60-X60),""))</f>
        <v/>
      </c>
      <c r="Z60" s="95" t="str">
        <f t="shared" si="1"/>
        <v/>
      </c>
      <c r="AA60" s="89" t="str">
        <f>IF(Results!$U60="","",IF(U60&lt;&gt;"",U60,0)/SUM(Results!$U$7:$U$189))</f>
        <v/>
      </c>
      <c r="AB60" s="8"/>
      <c r="AC60" s="8"/>
      <c r="AD60" s="8"/>
      <c r="AE60" s="8"/>
      <c r="AF60" s="8"/>
      <c r="AG60" s="8"/>
      <c r="AH60" s="8"/>
      <c r="AI60" s="8"/>
      <c r="AJ60" s="8"/>
      <c r="AK60" s="8"/>
      <c r="AL60" s="8"/>
      <c r="AM60" s="8"/>
      <c r="AN60" s="8"/>
      <c r="AO60" s="8"/>
      <c r="AP60" s="8"/>
      <c r="AQ60" s="8"/>
      <c r="AR60" s="8"/>
      <c r="AS60" s="8"/>
      <c r="AT60" s="8"/>
    </row>
    <row r="61" spans="1:46" x14ac:dyDescent="0.2">
      <c r="A61" s="55" t="str">
        <f>IF(B61&lt;&gt;"",COUNTA($B$7:B61),"")</f>
        <v/>
      </c>
      <c r="B61" s="83"/>
      <c r="C61" s="86"/>
      <c r="D61" s="83" t="str">
        <f>IF(Table13[[#This Row],[Energy Source]]="","",Table13[[#This Row],[Energy Source]])</f>
        <v/>
      </c>
      <c r="E61" s="83" t="str">
        <f>IF(Table13[[#This Row],[Units]]="", "", Table13[[#This Row],[Units]])</f>
        <v/>
      </c>
      <c r="F61" s="83" t="str">
        <f>IF(Table13[[#This Row],[Annual Consumption (Baseline)]]="", "", Table13[[#This Row],[Annual Consumption (Baseline)]])</f>
        <v/>
      </c>
      <c r="G61" s="83" t="str">
        <f>IF(F61="", "", IF(Results!$C61="Energy", VLOOKUP(Results!$E61,'Emission Inputs (Optional)'!$T$10:$U$27,2,FALSE)*Table13[[#This Row],[Energy Savings]], ""))</f>
        <v/>
      </c>
      <c r="H61" s="13" t="str">
        <f>IFERROR(VLOOKUP(B61,'Emission Inputs (Optional)'!$G$9:$I$191,3,FALSE),"")</f>
        <v/>
      </c>
      <c r="I61" s="13" t="str">
        <f>IF(Results!$C61="Energy", VLOOKUP(Results!$E61,'Emission Inputs (Optional)'!$T$10:$U$27,2,FALSE)*Results!$F61, "")</f>
        <v/>
      </c>
      <c r="J61" s="13" t="str">
        <f>IF(Results!$I61&lt;&gt;"",Results!$I61*0.293071,"")</f>
        <v/>
      </c>
      <c r="K61" s="84" t="str">
        <f>IF(Results!$I61&lt;&gt;"",Results!$I61/SUM($I$7:$I$189),"")</f>
        <v/>
      </c>
      <c r="L61" s="13" t="str">
        <f>IF(Results!$F61&lt;&gt;"",I61-G61,"")</f>
        <v/>
      </c>
      <c r="M61" s="13" t="str">
        <f>IF(Results!$L61&lt;&gt;"",Results!$L61*0.293071,"")</f>
        <v/>
      </c>
      <c r="N61" s="84" t="str">
        <f>IF(Results!$M61&lt;&gt;"",Results!$M61/SUM($M$7:$M$189),"")</f>
        <v/>
      </c>
      <c r="O61" s="85" t="str">
        <f>IF(Results!$C61="Energy", VLOOKUP(Results!$D61,'Energy Costs Inputs (Optional)'!$AS$3:$AU$20,2,FALSE)*Results!$I61, "")</f>
        <v/>
      </c>
      <c r="P61" s="84" t="str">
        <f>IF(Results!$O61&lt;&gt;"",Results!$O61/SUM($O$7:$O$189),"")</f>
        <v/>
      </c>
      <c r="Q61" s="85" t="str">
        <f>IF(Results!$C61="Energy", VLOOKUP(Results!$D61,'Energy Costs Inputs (Optional)'!$AS$3:$AU$20,2,FALSE)*Results!$L61, "")</f>
        <v/>
      </c>
      <c r="R61" s="84" t="str">
        <f>IF(Results!$Q61&lt;&gt;"",Results!$Q61/SUM($Q$7:$Q$189),"")</f>
        <v/>
      </c>
      <c r="S61" s="85" t="str">
        <f t="shared" si="0"/>
        <v/>
      </c>
      <c r="T61" s="13" t="str">
        <f>IF(Results!$I61&lt;&gt;"",(HLOOKUP(Table13[[#This Row],[Units]],'Emission Inputs (Optional)'!$L$10:$R$27,MATCH(Table13[[#This Row],[Energy Source]],'Emission Inputs (Optional)'!$L$10:$L$27,0),FALSE))*Table13[[#This Row],[Annual Consumption (Baseline)]],"")</f>
        <v/>
      </c>
      <c r="U61" s="13" t="str">
        <f>IF(Results!$T61&lt;&gt;"",Results!$T61,H61)</f>
        <v/>
      </c>
      <c r="V61" s="84" t="str">
        <f>IF(Results!$U61="","",IF(U61&lt;&gt;"",U61,0)/SUM(Results!$U$7:$U$189))</f>
        <v/>
      </c>
      <c r="W61" s="101" t="str">
        <f>IF(Results!$I61&lt;&gt;"",(HLOOKUP(Table13[[#This Row],[Units]],'Emission Inputs (Optional)'!$L$10:$R$27,MATCH(Table13[[#This Row],[Energy Source]],'Emission Inputs (Optional)'!$L$10:$L$27,0),FALSE))*(Table13[[#This Row],[Annual Consumption (Baseline)]]-Table13[[#This Row],[Energy Savings]]),"")</f>
        <v/>
      </c>
      <c r="X61" s="13" t="str">
        <f>IFERROR(VLOOKUP(B61,'Emission Inputs (Optional)'!$G$9:$J$191,4,FALSE),"")</f>
        <v/>
      </c>
      <c r="Y61" s="95" t="str">
        <f>IF(Results!$W61&lt;&gt;"",Results!$W61,IF(X61&lt;&gt;"",(H61-X61),""))</f>
        <v/>
      </c>
      <c r="Z61" s="95" t="str">
        <f t="shared" si="1"/>
        <v/>
      </c>
      <c r="AA61" s="89" t="str">
        <f>IF(Results!$U61="","",IF(U61&lt;&gt;"",U61,0)/SUM(Results!$U$7:$U$189))</f>
        <v/>
      </c>
      <c r="AB61" s="8"/>
      <c r="AC61" s="8"/>
      <c r="AD61" s="8"/>
      <c r="AE61" s="8"/>
      <c r="AF61" s="8"/>
      <c r="AG61" s="8"/>
      <c r="AH61" s="8"/>
      <c r="AI61" s="8"/>
      <c r="AJ61" s="8"/>
      <c r="AK61" s="8"/>
      <c r="AL61" s="8"/>
      <c r="AM61" s="8"/>
      <c r="AN61" s="8"/>
      <c r="AO61" s="8"/>
      <c r="AP61" s="8"/>
      <c r="AQ61" s="8"/>
      <c r="AR61" s="8"/>
      <c r="AS61" s="8"/>
      <c r="AT61" s="8"/>
    </row>
    <row r="62" spans="1:46" x14ac:dyDescent="0.2">
      <c r="A62" s="55" t="str">
        <f>IF(B62&lt;&gt;"",COUNTA($B$7:B62),"")</f>
        <v/>
      </c>
      <c r="B62" s="83"/>
      <c r="C62" s="83"/>
      <c r="D62" s="83" t="str">
        <f>IF(Table13[[#This Row],[Energy Source]]="","",Table13[[#This Row],[Energy Source]])</f>
        <v/>
      </c>
      <c r="E62" s="83" t="str">
        <f>IF(Table13[[#This Row],[Units]]="", "", Table13[[#This Row],[Units]])</f>
        <v/>
      </c>
      <c r="F62" s="83" t="str">
        <f>IF(Table13[[#This Row],[Annual Consumption (Baseline)]]="", "", Table13[[#This Row],[Annual Consumption (Baseline)]])</f>
        <v/>
      </c>
      <c r="G62" s="83" t="str">
        <f>IF(F62="", "", IF(Results!$C62="Energy", VLOOKUP(Results!$E62,'Emission Inputs (Optional)'!$T$10:$U$27,2,FALSE)*Table13[[#This Row],[Energy Savings]], ""))</f>
        <v/>
      </c>
      <c r="H62" s="13" t="str">
        <f>IFERROR(VLOOKUP(B62,'Emission Inputs (Optional)'!$G$9:$I$191,3,FALSE),"")</f>
        <v/>
      </c>
      <c r="I62" s="13" t="str">
        <f>IF(Results!$C62="Energy", VLOOKUP(Results!$E62,'Emission Inputs (Optional)'!$T$10:$U$27,2,FALSE)*Results!$F62, "")</f>
        <v/>
      </c>
      <c r="J62" s="13" t="str">
        <f>IF(Results!$I62&lt;&gt;"",Results!$I62*0.293071,"")</f>
        <v/>
      </c>
      <c r="K62" s="84" t="str">
        <f>IF(Results!$I62&lt;&gt;"",Results!$I62/SUM($I$7:$I$189),"")</f>
        <v/>
      </c>
      <c r="L62" s="13" t="str">
        <f>IF(Results!$F62&lt;&gt;"",I62-G62,"")</f>
        <v/>
      </c>
      <c r="M62" s="13" t="str">
        <f>IF(Results!$L62&lt;&gt;"",Results!$L62*0.293071,"")</f>
        <v/>
      </c>
      <c r="N62" s="84" t="str">
        <f>IF(Results!$M62&lt;&gt;"",Results!$M62/SUM($M$7:$M$189),"")</f>
        <v/>
      </c>
      <c r="O62" s="85" t="str">
        <f>IF(Results!$C62="Energy", VLOOKUP(Results!$D62,'Energy Costs Inputs (Optional)'!$AS$3:$AU$20,2,FALSE)*Results!$I62, "")</f>
        <v/>
      </c>
      <c r="P62" s="84" t="str">
        <f>IF(Results!$O62&lt;&gt;"",Results!$O62/SUM($O$7:$O$189),"")</f>
        <v/>
      </c>
      <c r="Q62" s="85" t="str">
        <f>IF(Results!$C62="Energy", VLOOKUP(Results!$D62,'Energy Costs Inputs (Optional)'!$AS$3:$AU$20,2,FALSE)*Results!$L62, "")</f>
        <v/>
      </c>
      <c r="R62" s="84" t="str">
        <f>IF(Results!$Q62&lt;&gt;"",Results!$Q62/SUM($Q$7:$Q$189),"")</f>
        <v/>
      </c>
      <c r="S62" s="85" t="str">
        <f t="shared" si="0"/>
        <v/>
      </c>
      <c r="T62" s="13" t="str">
        <f>IF(Results!$I62&lt;&gt;"",(HLOOKUP(Table13[[#This Row],[Units]],'Emission Inputs (Optional)'!$L$10:$R$27,MATCH(Table13[[#This Row],[Energy Source]],'Emission Inputs (Optional)'!$L$10:$L$27,0),FALSE))*Table13[[#This Row],[Annual Consumption (Baseline)]],"")</f>
        <v/>
      </c>
      <c r="U62" s="13" t="str">
        <f>IF(Results!$T62&lt;&gt;"",Results!$T62,H62)</f>
        <v/>
      </c>
      <c r="V62" s="84" t="str">
        <f>IF(Results!$U62="","",IF(U62&lt;&gt;"",U62,0)/SUM(Results!$U$7:$U$189))</f>
        <v/>
      </c>
      <c r="W62" s="101" t="str">
        <f>IF(Results!$I62&lt;&gt;"",(HLOOKUP(Table13[[#This Row],[Units]],'Emission Inputs (Optional)'!$L$10:$R$27,MATCH(Table13[[#This Row],[Energy Source]],'Emission Inputs (Optional)'!$L$10:$L$27,0),FALSE))*(Table13[[#This Row],[Annual Consumption (Baseline)]]-Table13[[#This Row],[Energy Savings]]),"")</f>
        <v/>
      </c>
      <c r="X62" s="13" t="str">
        <f>IFERROR(VLOOKUP(B62,'Emission Inputs (Optional)'!$G$9:$J$191,4,FALSE),"")</f>
        <v/>
      </c>
      <c r="Y62" s="95" t="str">
        <f>IF(Results!$W62&lt;&gt;"",Results!$W62,IF(X62&lt;&gt;"",(H62-X62),""))</f>
        <v/>
      </c>
      <c r="Z62" s="95" t="str">
        <f t="shared" si="1"/>
        <v/>
      </c>
      <c r="AA62" s="89" t="str">
        <f>IF(Results!$U62="","",IF(U62&lt;&gt;"",U62,0)/SUM(Results!$U$7:$U$189))</f>
        <v/>
      </c>
      <c r="AB62" s="8"/>
      <c r="AC62" s="8"/>
      <c r="AD62" s="8"/>
      <c r="AE62" s="8"/>
      <c r="AF62" s="8"/>
      <c r="AG62" s="8"/>
      <c r="AH62" s="8"/>
      <c r="AI62" s="8"/>
      <c r="AJ62" s="8"/>
      <c r="AK62" s="8"/>
      <c r="AL62" s="8"/>
      <c r="AM62" s="8"/>
      <c r="AN62" s="8"/>
      <c r="AO62" s="8"/>
      <c r="AP62" s="8"/>
      <c r="AQ62" s="8"/>
      <c r="AR62" s="8"/>
      <c r="AS62" s="8"/>
      <c r="AT62" s="8"/>
    </row>
    <row r="63" spans="1:46" x14ac:dyDescent="0.2">
      <c r="A63" s="55" t="str">
        <f>IF(B63&lt;&gt;"",COUNTA($B$7:B63),"")</f>
        <v/>
      </c>
      <c r="B63" s="83"/>
      <c r="C63" s="83"/>
      <c r="D63" s="83" t="str">
        <f>IF(Table13[[#This Row],[Energy Source]]="","",Table13[[#This Row],[Energy Source]])</f>
        <v/>
      </c>
      <c r="E63" s="83" t="str">
        <f>IF(Table13[[#This Row],[Units]]="", "", Table13[[#This Row],[Units]])</f>
        <v/>
      </c>
      <c r="F63" s="83" t="str">
        <f>IF(Table13[[#This Row],[Annual Consumption (Baseline)]]="", "", Table13[[#This Row],[Annual Consumption (Baseline)]])</f>
        <v/>
      </c>
      <c r="G63" s="83" t="str">
        <f>IF(F63="", "", IF(Results!$C63="Energy", VLOOKUP(Results!$E63,'Emission Inputs (Optional)'!$T$10:$U$27,2,FALSE)*Table13[[#This Row],[Energy Savings]], ""))</f>
        <v/>
      </c>
      <c r="H63" s="13" t="str">
        <f>IFERROR(VLOOKUP(B63,'Emission Inputs (Optional)'!$G$9:$I$191,3,FALSE),"")</f>
        <v/>
      </c>
      <c r="I63" s="13" t="str">
        <f>IF(Results!$C63="Energy", VLOOKUP(Results!$E63,'Emission Inputs (Optional)'!$T$10:$U$27,2,FALSE)*Results!$F63, "")</f>
        <v/>
      </c>
      <c r="J63" s="13" t="str">
        <f>IF(Results!$I63&lt;&gt;"",Results!$I63*0.293071,"")</f>
        <v/>
      </c>
      <c r="K63" s="84" t="str">
        <f>IF(Results!$I63&lt;&gt;"",Results!$I63/SUM($I$7:$I$189),"")</f>
        <v/>
      </c>
      <c r="L63" s="13" t="str">
        <f>IF(Results!$F63&lt;&gt;"",I63-G63,"")</f>
        <v/>
      </c>
      <c r="M63" s="13" t="str">
        <f>IF(Results!$L63&lt;&gt;"",Results!$L63*0.293071,"")</f>
        <v/>
      </c>
      <c r="N63" s="84" t="str">
        <f>IF(Results!$M63&lt;&gt;"",Results!$M63/SUM($M$7:$M$189),"")</f>
        <v/>
      </c>
      <c r="O63" s="85" t="str">
        <f>IF(Results!$C63="Energy", VLOOKUP(Results!$D63,'Energy Costs Inputs (Optional)'!$AS$3:$AU$20,2,FALSE)*Results!$I63, "")</f>
        <v/>
      </c>
      <c r="P63" s="84" t="str">
        <f>IF(Results!$O63&lt;&gt;"",Results!$O63/SUM($O$7:$O$189),"")</f>
        <v/>
      </c>
      <c r="Q63" s="85" t="str">
        <f>IF(Results!$C63="Energy", VLOOKUP(Results!$D63,'Energy Costs Inputs (Optional)'!$AS$3:$AU$20,2,FALSE)*Results!$L63, "")</f>
        <v/>
      </c>
      <c r="R63" s="84" t="str">
        <f>IF(Results!$Q63&lt;&gt;"",Results!$Q63/SUM($Q$7:$Q$189),"")</f>
        <v/>
      </c>
      <c r="S63" s="85" t="str">
        <f t="shared" si="0"/>
        <v/>
      </c>
      <c r="T63" s="13" t="str">
        <f>IF(Results!$I63&lt;&gt;"",(HLOOKUP(Table13[[#This Row],[Units]],'Emission Inputs (Optional)'!$L$10:$R$27,MATCH(Table13[[#This Row],[Energy Source]],'Emission Inputs (Optional)'!$L$10:$L$27,0),FALSE))*Table13[[#This Row],[Annual Consumption (Baseline)]],"")</f>
        <v/>
      </c>
      <c r="U63" s="13" t="str">
        <f>IF(Results!$T63&lt;&gt;"",Results!$T63,H63)</f>
        <v/>
      </c>
      <c r="V63" s="84" t="str">
        <f>IF(Results!$U63="","",IF(U63&lt;&gt;"",U63,0)/SUM(Results!$U$7:$U$189))</f>
        <v/>
      </c>
      <c r="W63" s="101" t="str">
        <f>IF(Results!$I63&lt;&gt;"",(HLOOKUP(Table13[[#This Row],[Units]],'Emission Inputs (Optional)'!$L$10:$R$27,MATCH(Table13[[#This Row],[Energy Source]],'Emission Inputs (Optional)'!$L$10:$L$27,0),FALSE))*(Table13[[#This Row],[Annual Consumption (Baseline)]]-Table13[[#This Row],[Energy Savings]]),"")</f>
        <v/>
      </c>
      <c r="X63" s="13" t="str">
        <f>IFERROR(VLOOKUP(B63,'Emission Inputs (Optional)'!$G$9:$J$191,4,FALSE),"")</f>
        <v/>
      </c>
      <c r="Y63" s="95" t="str">
        <f>IF(Results!$W63&lt;&gt;"",Results!$W63,IF(X63&lt;&gt;"",(H63-X63),""))</f>
        <v/>
      </c>
      <c r="Z63" s="95" t="str">
        <f t="shared" si="1"/>
        <v/>
      </c>
      <c r="AA63" s="89" t="str">
        <f>IF(Results!$U63="","",IF(U63&lt;&gt;"",U63,0)/SUM(Results!$U$7:$U$189))</f>
        <v/>
      </c>
      <c r="AB63" s="8"/>
      <c r="AC63" s="8"/>
      <c r="AD63" s="8"/>
      <c r="AE63" s="8"/>
      <c r="AF63" s="8"/>
      <c r="AG63" s="8"/>
      <c r="AH63" s="8"/>
      <c r="AI63" s="8"/>
      <c r="AJ63" s="8"/>
      <c r="AK63" s="8"/>
      <c r="AL63" s="8"/>
      <c r="AM63" s="8"/>
      <c r="AN63" s="8"/>
      <c r="AO63" s="8"/>
      <c r="AP63" s="8"/>
      <c r="AQ63" s="8"/>
      <c r="AR63" s="8"/>
      <c r="AS63" s="8"/>
      <c r="AT63" s="8"/>
    </row>
    <row r="64" spans="1:46" x14ac:dyDescent="0.2">
      <c r="A64" s="55" t="str">
        <f>IF(B64&lt;&gt;"",COUNTA($B$7:B64),"")</f>
        <v/>
      </c>
      <c r="B64" s="83"/>
      <c r="C64" s="83"/>
      <c r="D64" s="83" t="str">
        <f>IF(Table13[[#This Row],[Energy Source]]="","",Table13[[#This Row],[Energy Source]])</f>
        <v/>
      </c>
      <c r="E64" s="83" t="str">
        <f>IF(Table13[[#This Row],[Units]]="", "", Table13[[#This Row],[Units]])</f>
        <v/>
      </c>
      <c r="F64" s="83" t="str">
        <f>IF(Table13[[#This Row],[Annual Consumption (Baseline)]]="", "", Table13[[#This Row],[Annual Consumption (Baseline)]])</f>
        <v/>
      </c>
      <c r="G64" s="83" t="str">
        <f>IF(F64="", "", IF(Results!$C64="Energy", VLOOKUP(Results!$E64,'Emission Inputs (Optional)'!$T$10:$U$27,2,FALSE)*Table13[[#This Row],[Energy Savings]], ""))</f>
        <v/>
      </c>
      <c r="H64" s="13" t="str">
        <f>IFERROR(VLOOKUP(B64,'Emission Inputs (Optional)'!$G$9:$I$191,3,FALSE),"")</f>
        <v/>
      </c>
      <c r="I64" s="13" t="str">
        <f>IF(Results!$C64="Energy", VLOOKUP(Results!$E64,'Emission Inputs (Optional)'!$T$10:$U$27,2,FALSE)*Results!$F64, "")</f>
        <v/>
      </c>
      <c r="J64" s="13" t="str">
        <f>IF(Results!$I64&lt;&gt;"",Results!$I64*0.293071,"")</f>
        <v/>
      </c>
      <c r="K64" s="84" t="str">
        <f>IF(Results!$I64&lt;&gt;"",Results!$I64/SUM($I$7:$I$189),"")</f>
        <v/>
      </c>
      <c r="L64" s="13" t="str">
        <f>IF(Results!$F64&lt;&gt;"",I64-G64,"")</f>
        <v/>
      </c>
      <c r="M64" s="13" t="str">
        <f>IF(Results!$L64&lt;&gt;"",Results!$L64*0.293071,"")</f>
        <v/>
      </c>
      <c r="N64" s="84" t="str">
        <f>IF(Results!$M64&lt;&gt;"",Results!$M64/SUM($M$7:$M$189),"")</f>
        <v/>
      </c>
      <c r="O64" s="85" t="str">
        <f>IF(Results!$C64="Energy", VLOOKUP(Results!$D64,'Energy Costs Inputs (Optional)'!$AS$3:$AU$20,2,FALSE)*Results!$I64, "")</f>
        <v/>
      </c>
      <c r="P64" s="84" t="str">
        <f>IF(Results!$O64&lt;&gt;"",Results!$O64/SUM($O$7:$O$189),"")</f>
        <v/>
      </c>
      <c r="Q64" s="85" t="str">
        <f>IF(Results!$C64="Energy", VLOOKUP(Results!$D64,'Energy Costs Inputs (Optional)'!$AS$3:$AU$20,2,FALSE)*Results!$L64, "")</f>
        <v/>
      </c>
      <c r="R64" s="84" t="str">
        <f>IF(Results!$Q64&lt;&gt;"",Results!$Q64/SUM($Q$7:$Q$189),"")</f>
        <v/>
      </c>
      <c r="S64" s="85" t="str">
        <f t="shared" si="0"/>
        <v/>
      </c>
      <c r="T64" s="13" t="str">
        <f>IF(Results!$I64&lt;&gt;"",(HLOOKUP(Table13[[#This Row],[Units]],'Emission Inputs (Optional)'!$L$10:$R$27,MATCH(Table13[[#This Row],[Energy Source]],'Emission Inputs (Optional)'!$L$10:$L$27,0),FALSE))*Table13[[#This Row],[Annual Consumption (Baseline)]],"")</f>
        <v/>
      </c>
      <c r="U64" s="13" t="str">
        <f>IF(Results!$T64&lt;&gt;"",Results!$T64,H64)</f>
        <v/>
      </c>
      <c r="V64" s="84" t="str">
        <f>IF(Results!$U64="","",IF(U64&lt;&gt;"",U64,0)/SUM(Results!$U$7:$U$189))</f>
        <v/>
      </c>
      <c r="W64" s="101" t="str">
        <f>IF(Results!$I64&lt;&gt;"",(HLOOKUP(Table13[[#This Row],[Units]],'Emission Inputs (Optional)'!$L$10:$R$27,MATCH(Table13[[#This Row],[Energy Source]],'Emission Inputs (Optional)'!$L$10:$L$27,0),FALSE))*(Table13[[#This Row],[Annual Consumption (Baseline)]]-Table13[[#This Row],[Energy Savings]]),"")</f>
        <v/>
      </c>
      <c r="X64" s="13" t="str">
        <f>IFERROR(VLOOKUP(B64,'Emission Inputs (Optional)'!$G$9:$J$191,4,FALSE),"")</f>
        <v/>
      </c>
      <c r="Y64" s="95" t="str">
        <f>IF(Results!$W64&lt;&gt;"",Results!$W64,IF(X64&lt;&gt;"",(H64-X64),""))</f>
        <v/>
      </c>
      <c r="Z64" s="95" t="str">
        <f t="shared" si="1"/>
        <v/>
      </c>
      <c r="AA64" s="89" t="str">
        <f>IF(Results!$U64="","",IF(U64&lt;&gt;"",U64,0)/SUM(Results!$U$7:$U$189))</f>
        <v/>
      </c>
      <c r="AB64" s="8"/>
      <c r="AC64" s="8"/>
      <c r="AD64" s="8"/>
      <c r="AE64" s="8"/>
      <c r="AF64" s="8"/>
      <c r="AG64" s="8"/>
      <c r="AH64" s="8"/>
      <c r="AI64" s="8"/>
      <c r="AJ64" s="8"/>
      <c r="AK64" s="8"/>
      <c r="AL64" s="8"/>
      <c r="AM64" s="8"/>
      <c r="AN64" s="8"/>
      <c r="AO64" s="8"/>
      <c r="AP64" s="8"/>
      <c r="AQ64" s="8"/>
      <c r="AR64" s="8"/>
      <c r="AS64" s="8"/>
      <c r="AT64" s="8"/>
    </row>
    <row r="65" spans="1:46" x14ac:dyDescent="0.2">
      <c r="A65" s="55" t="str">
        <f>IF(B65&lt;&gt;"",COUNTA($B$7:B65),"")</f>
        <v/>
      </c>
      <c r="B65" s="83"/>
      <c r="C65" s="83"/>
      <c r="D65" s="83" t="str">
        <f>IF(Table13[[#This Row],[Energy Source]]="","",Table13[[#This Row],[Energy Source]])</f>
        <v/>
      </c>
      <c r="E65" s="83" t="str">
        <f>IF(Table13[[#This Row],[Units]]="", "", Table13[[#This Row],[Units]])</f>
        <v/>
      </c>
      <c r="F65" s="83" t="str">
        <f>IF(Table13[[#This Row],[Annual Consumption (Baseline)]]="", "", Table13[[#This Row],[Annual Consumption (Baseline)]])</f>
        <v/>
      </c>
      <c r="G65" s="83" t="str">
        <f>IF(F65="", "", IF(Results!$C65="Energy", VLOOKUP(Results!$E65,'Emission Inputs (Optional)'!$T$10:$U$27,2,FALSE)*Table13[[#This Row],[Energy Savings]], ""))</f>
        <v/>
      </c>
      <c r="H65" s="13" t="str">
        <f>IFERROR(VLOOKUP(B65,'Emission Inputs (Optional)'!$G$9:$I$191,3,FALSE),"")</f>
        <v/>
      </c>
      <c r="I65" s="13" t="str">
        <f>IF(Results!$C65="Energy", VLOOKUP(Results!$E65,'Emission Inputs (Optional)'!$T$10:$U$27,2,FALSE)*Results!$F65, "")</f>
        <v/>
      </c>
      <c r="J65" s="13" t="str">
        <f>IF(Results!$I65&lt;&gt;"",Results!$I65*0.293071,"")</f>
        <v/>
      </c>
      <c r="K65" s="84" t="str">
        <f>IF(Results!$I65&lt;&gt;"",Results!$I65/SUM($I$7:$I$189),"")</f>
        <v/>
      </c>
      <c r="L65" s="13" t="str">
        <f>IF(Results!$F65&lt;&gt;"",I65-G65,"")</f>
        <v/>
      </c>
      <c r="M65" s="13" t="str">
        <f>IF(Results!$L65&lt;&gt;"",Results!$L65*0.293071,"")</f>
        <v/>
      </c>
      <c r="N65" s="84" t="str">
        <f>IF(Results!$M65&lt;&gt;"",Results!$M65/SUM($M$7:$M$189),"")</f>
        <v/>
      </c>
      <c r="O65" s="85" t="str">
        <f>IF(Results!$C65="Energy", VLOOKUP(Results!$D65,'Energy Costs Inputs (Optional)'!$AS$3:$AU$20,2,FALSE)*Results!$I65, "")</f>
        <v/>
      </c>
      <c r="P65" s="84" t="str">
        <f>IF(Results!$O65&lt;&gt;"",Results!$O65/SUM($O$7:$O$189),"")</f>
        <v/>
      </c>
      <c r="Q65" s="85" t="str">
        <f>IF(Results!$C65="Energy", VLOOKUP(Results!$D65,'Energy Costs Inputs (Optional)'!$AS$3:$AU$20,2,FALSE)*Results!$L65, "")</f>
        <v/>
      </c>
      <c r="R65" s="84" t="str">
        <f>IF(Results!$Q65&lt;&gt;"",Results!$Q65/SUM($Q$7:$Q$189),"")</f>
        <v/>
      </c>
      <c r="S65" s="85" t="str">
        <f t="shared" si="0"/>
        <v/>
      </c>
      <c r="T65" s="13" t="str">
        <f>IF(Results!$I65&lt;&gt;"",(HLOOKUP(Table13[[#This Row],[Units]],'Emission Inputs (Optional)'!$L$10:$R$27,MATCH(Table13[[#This Row],[Energy Source]],'Emission Inputs (Optional)'!$L$10:$L$27,0),FALSE))*Table13[[#This Row],[Annual Consumption (Baseline)]],"")</f>
        <v/>
      </c>
      <c r="U65" s="13" t="str">
        <f>IF(Results!$T65&lt;&gt;"",Results!$T65,H65)</f>
        <v/>
      </c>
      <c r="V65" s="84" t="str">
        <f>IF(Results!$U65="","",IF(U65&lt;&gt;"",U65,0)/SUM(Results!$U$7:$U$189))</f>
        <v/>
      </c>
      <c r="W65" s="101" t="str">
        <f>IF(Results!$I65&lt;&gt;"",(HLOOKUP(Table13[[#This Row],[Units]],'Emission Inputs (Optional)'!$L$10:$R$27,MATCH(Table13[[#This Row],[Energy Source]],'Emission Inputs (Optional)'!$L$10:$L$27,0),FALSE))*(Table13[[#This Row],[Annual Consumption (Baseline)]]-Table13[[#This Row],[Energy Savings]]),"")</f>
        <v/>
      </c>
      <c r="X65" s="13" t="str">
        <f>IFERROR(VLOOKUP(B65,'Emission Inputs (Optional)'!$G$9:$J$191,4,FALSE),"")</f>
        <v/>
      </c>
      <c r="Y65" s="95" t="str">
        <f>IF(Results!$W65&lt;&gt;"",Results!$W65,IF(X65&lt;&gt;"",(H65-X65),""))</f>
        <v/>
      </c>
      <c r="Z65" s="95" t="str">
        <f t="shared" si="1"/>
        <v/>
      </c>
      <c r="AA65" s="89" t="str">
        <f>IF(Results!$U65="","",IF(U65&lt;&gt;"",U65,0)/SUM(Results!$U$7:$U$189))</f>
        <v/>
      </c>
      <c r="AB65" s="8"/>
      <c r="AC65" s="8"/>
      <c r="AD65" s="8"/>
      <c r="AE65" s="8"/>
      <c r="AF65" s="8"/>
      <c r="AG65" s="8"/>
      <c r="AH65" s="8"/>
      <c r="AI65" s="8"/>
      <c r="AJ65" s="8"/>
      <c r="AK65" s="8"/>
      <c r="AL65" s="8"/>
      <c r="AM65" s="8"/>
      <c r="AN65" s="8"/>
      <c r="AO65" s="8"/>
      <c r="AP65" s="8"/>
      <c r="AQ65" s="8"/>
      <c r="AR65" s="8"/>
      <c r="AS65" s="8"/>
      <c r="AT65" s="8"/>
    </row>
    <row r="66" spans="1:46" x14ac:dyDescent="0.2">
      <c r="A66" s="55" t="str">
        <f>IF(B66&lt;&gt;"",COUNTA($B$7:B66),"")</f>
        <v/>
      </c>
      <c r="B66" s="83"/>
      <c r="C66" s="83"/>
      <c r="D66" s="83" t="str">
        <f>IF(Table13[[#This Row],[Energy Source]]="","",Table13[[#This Row],[Energy Source]])</f>
        <v/>
      </c>
      <c r="E66" s="83" t="str">
        <f>IF(Table13[[#This Row],[Units]]="", "", Table13[[#This Row],[Units]])</f>
        <v/>
      </c>
      <c r="F66" s="83" t="str">
        <f>IF(Table13[[#This Row],[Annual Consumption (Baseline)]]="", "", Table13[[#This Row],[Annual Consumption (Baseline)]])</f>
        <v/>
      </c>
      <c r="G66" s="83" t="str">
        <f>IF(F66="", "", IF(Results!$C66="Energy", VLOOKUP(Results!$E66,'Emission Inputs (Optional)'!$T$10:$U$27,2,FALSE)*Table13[[#This Row],[Energy Savings]], ""))</f>
        <v/>
      </c>
      <c r="H66" s="13" t="str">
        <f>IFERROR(VLOOKUP(B66,'Emission Inputs (Optional)'!$G$9:$I$191,3,FALSE),"")</f>
        <v/>
      </c>
      <c r="I66" s="13" t="str">
        <f>IF(Results!$C66="Energy", VLOOKUP(Results!$E66,'Emission Inputs (Optional)'!$T$10:$U$27,2,FALSE)*Results!$F66, "")</f>
        <v/>
      </c>
      <c r="J66" s="13" t="str">
        <f>IF(Results!$I66&lt;&gt;"",Results!$I66*0.293071,"")</f>
        <v/>
      </c>
      <c r="K66" s="84" t="str">
        <f>IF(Results!$I66&lt;&gt;"",Results!$I66/SUM($I$7:$I$189),"")</f>
        <v/>
      </c>
      <c r="L66" s="13" t="str">
        <f>IF(Results!$F66&lt;&gt;"",I66-G66,"")</f>
        <v/>
      </c>
      <c r="M66" s="13" t="str">
        <f>IF(Results!$L66&lt;&gt;"",Results!$L66*0.293071,"")</f>
        <v/>
      </c>
      <c r="N66" s="84" t="str">
        <f>IF(Results!$M66&lt;&gt;"",Results!$M66/SUM($M$7:$M$189),"")</f>
        <v/>
      </c>
      <c r="O66" s="85" t="str">
        <f>IF(Results!$C66="Energy", VLOOKUP(Results!$D66,'Energy Costs Inputs (Optional)'!$AS$3:$AU$20,2,FALSE)*Results!$I66, "")</f>
        <v/>
      </c>
      <c r="P66" s="84" t="str">
        <f>IF(Results!$O66&lt;&gt;"",Results!$O66/SUM($O$7:$O$189),"")</f>
        <v/>
      </c>
      <c r="Q66" s="85" t="str">
        <f>IF(Results!$C66="Energy", VLOOKUP(Results!$D66,'Energy Costs Inputs (Optional)'!$AS$3:$AU$20,2,FALSE)*Results!$L66, "")</f>
        <v/>
      </c>
      <c r="R66" s="84" t="str">
        <f>IF(Results!$Q66&lt;&gt;"",Results!$Q66/SUM($Q$7:$Q$189),"")</f>
        <v/>
      </c>
      <c r="S66" s="85" t="str">
        <f t="shared" si="0"/>
        <v/>
      </c>
      <c r="T66" s="13" t="str">
        <f>IF(Results!$I66&lt;&gt;"",(HLOOKUP(Table13[[#This Row],[Units]],'Emission Inputs (Optional)'!$L$10:$R$27,MATCH(Table13[[#This Row],[Energy Source]],'Emission Inputs (Optional)'!$L$10:$L$27,0),FALSE))*Table13[[#This Row],[Annual Consumption (Baseline)]],"")</f>
        <v/>
      </c>
      <c r="U66" s="13" t="str">
        <f>IF(Results!$T66&lt;&gt;"",Results!$T66,H66)</f>
        <v/>
      </c>
      <c r="V66" s="84" t="str">
        <f>IF(Results!$U66="","",IF(U66&lt;&gt;"",U66,0)/SUM(Results!$U$7:$U$189))</f>
        <v/>
      </c>
      <c r="W66" s="101" t="str">
        <f>IF(Results!$I66&lt;&gt;"",(HLOOKUP(Table13[[#This Row],[Units]],'Emission Inputs (Optional)'!$L$10:$R$27,MATCH(Table13[[#This Row],[Energy Source]],'Emission Inputs (Optional)'!$L$10:$L$27,0),FALSE))*(Table13[[#This Row],[Annual Consumption (Baseline)]]-Table13[[#This Row],[Energy Savings]]),"")</f>
        <v/>
      </c>
      <c r="X66" s="13" t="str">
        <f>IFERROR(VLOOKUP(B66,'Emission Inputs (Optional)'!$G$9:$J$191,4,FALSE),"")</f>
        <v/>
      </c>
      <c r="Y66" s="95" t="str">
        <f>IF(Results!$W66&lt;&gt;"",Results!$W66,IF(X66&lt;&gt;"",(H66-X66),""))</f>
        <v/>
      </c>
      <c r="Z66" s="95" t="str">
        <f t="shared" si="1"/>
        <v/>
      </c>
      <c r="AA66" s="89" t="str">
        <f>IF(Results!$U66="","",IF(U66&lt;&gt;"",U66,0)/SUM(Results!$U$7:$U$189))</f>
        <v/>
      </c>
      <c r="AB66" s="8"/>
      <c r="AC66" s="8"/>
      <c r="AD66" s="8"/>
      <c r="AE66" s="8"/>
      <c r="AF66" s="8"/>
      <c r="AG66" s="8"/>
      <c r="AH66" s="8"/>
      <c r="AI66" s="8"/>
      <c r="AJ66" s="8"/>
      <c r="AK66" s="8"/>
      <c r="AL66" s="8"/>
      <c r="AM66" s="8"/>
      <c r="AN66" s="8"/>
      <c r="AO66" s="8"/>
      <c r="AP66" s="8"/>
      <c r="AQ66" s="8"/>
      <c r="AR66" s="8"/>
      <c r="AS66" s="8"/>
      <c r="AT66" s="8"/>
    </row>
    <row r="67" spans="1:46" x14ac:dyDescent="0.2">
      <c r="A67" s="55" t="str">
        <f>IF(B67&lt;&gt;"",COUNTA($B$7:B67),"")</f>
        <v/>
      </c>
      <c r="B67" s="83"/>
      <c r="C67" s="83"/>
      <c r="D67" s="83" t="str">
        <f>IF(Table13[[#This Row],[Energy Source]]="","",Table13[[#This Row],[Energy Source]])</f>
        <v/>
      </c>
      <c r="E67" s="83" t="str">
        <f>IF(Table13[[#This Row],[Units]]="", "", Table13[[#This Row],[Units]])</f>
        <v/>
      </c>
      <c r="F67" s="83" t="str">
        <f>IF(Table13[[#This Row],[Annual Consumption (Baseline)]]="", "", Table13[[#This Row],[Annual Consumption (Baseline)]])</f>
        <v/>
      </c>
      <c r="G67" s="83" t="str">
        <f>IF(F67="", "", IF(Results!$C67="Energy", VLOOKUP(Results!$E67,'Emission Inputs (Optional)'!$T$10:$U$27,2,FALSE)*Table13[[#This Row],[Energy Savings]], ""))</f>
        <v/>
      </c>
      <c r="H67" s="13" t="str">
        <f>IFERROR(VLOOKUP(B67,'Emission Inputs (Optional)'!$G$9:$I$191,3,FALSE),"")</f>
        <v/>
      </c>
      <c r="I67" s="13" t="str">
        <f>IF(Results!$C67="Energy", VLOOKUP(Results!$E67,'Emission Inputs (Optional)'!$T$10:$U$27,2,FALSE)*Results!$F67, "")</f>
        <v/>
      </c>
      <c r="J67" s="13" t="str">
        <f>IF(Results!$I67&lt;&gt;"",Results!$I67*0.293071,"")</f>
        <v/>
      </c>
      <c r="K67" s="84" t="str">
        <f>IF(Results!$I67&lt;&gt;"",Results!$I67/SUM($I$7:$I$189),"")</f>
        <v/>
      </c>
      <c r="L67" s="13" t="str">
        <f>IF(Results!$F67&lt;&gt;"",I67-G67,"")</f>
        <v/>
      </c>
      <c r="M67" s="13" t="str">
        <f>IF(Results!$L67&lt;&gt;"",Results!$L67*0.293071,"")</f>
        <v/>
      </c>
      <c r="N67" s="84" t="str">
        <f>IF(Results!$M67&lt;&gt;"",Results!$M67/SUM($M$7:$M$189),"")</f>
        <v/>
      </c>
      <c r="O67" s="85" t="str">
        <f>IF(Results!$C67="Energy", VLOOKUP(Results!$D67,'Energy Costs Inputs (Optional)'!$AS$3:$AU$20,2,FALSE)*Results!$I67, "")</f>
        <v/>
      </c>
      <c r="P67" s="84" t="str">
        <f>IF(Results!$O67&lt;&gt;"",Results!$O67/SUM($O$7:$O$189),"")</f>
        <v/>
      </c>
      <c r="Q67" s="85" t="str">
        <f>IF(Results!$C67="Energy", VLOOKUP(Results!$D67,'Energy Costs Inputs (Optional)'!$AS$3:$AU$20,2,FALSE)*Results!$L67, "")</f>
        <v/>
      </c>
      <c r="R67" s="84" t="str">
        <f>IF(Results!$Q67&lt;&gt;"",Results!$Q67/SUM($Q$7:$Q$189),"")</f>
        <v/>
      </c>
      <c r="S67" s="85" t="str">
        <f t="shared" si="0"/>
        <v/>
      </c>
      <c r="T67" s="13" t="str">
        <f>IF(Results!$I67&lt;&gt;"",(HLOOKUP(Table13[[#This Row],[Units]],'Emission Inputs (Optional)'!$L$10:$R$27,MATCH(Table13[[#This Row],[Energy Source]],'Emission Inputs (Optional)'!$L$10:$L$27,0),FALSE))*Table13[[#This Row],[Annual Consumption (Baseline)]],"")</f>
        <v/>
      </c>
      <c r="U67" s="13" t="str">
        <f>IF(Results!$T67&lt;&gt;"",Results!$T67,H67)</f>
        <v/>
      </c>
      <c r="V67" s="84" t="str">
        <f>IF(Results!$U67="","",IF(U67&lt;&gt;"",U67,0)/SUM(Results!$U$7:$U$189))</f>
        <v/>
      </c>
      <c r="W67" s="101" t="str">
        <f>IF(Results!$I67&lt;&gt;"",(HLOOKUP(Table13[[#This Row],[Units]],'Emission Inputs (Optional)'!$L$10:$R$27,MATCH(Table13[[#This Row],[Energy Source]],'Emission Inputs (Optional)'!$L$10:$L$27,0),FALSE))*(Table13[[#This Row],[Annual Consumption (Baseline)]]-Table13[[#This Row],[Energy Savings]]),"")</f>
        <v/>
      </c>
      <c r="X67" s="13" t="str">
        <f>IFERROR(VLOOKUP(B67,'Emission Inputs (Optional)'!$G$9:$J$191,4,FALSE),"")</f>
        <v/>
      </c>
      <c r="Y67" s="95" t="str">
        <f>IF(Results!$W67&lt;&gt;"",Results!$W67,IF(X67&lt;&gt;"",(H67-X67),""))</f>
        <v/>
      </c>
      <c r="Z67" s="95" t="str">
        <f t="shared" si="1"/>
        <v/>
      </c>
      <c r="AA67" s="89" t="str">
        <f>IF(Results!$U67="","",IF(U67&lt;&gt;"",U67,0)/SUM(Results!$U$7:$U$189))</f>
        <v/>
      </c>
      <c r="AB67" s="8"/>
      <c r="AC67" s="8"/>
      <c r="AD67" s="8"/>
      <c r="AE67" s="8"/>
      <c r="AF67" s="8"/>
      <c r="AG67" s="8"/>
      <c r="AH67" s="8"/>
      <c r="AI67" s="8"/>
      <c r="AJ67" s="8"/>
      <c r="AK67" s="8"/>
      <c r="AL67" s="8"/>
      <c r="AM67" s="8"/>
      <c r="AN67" s="8"/>
      <c r="AO67" s="8"/>
      <c r="AP67" s="8"/>
      <c r="AQ67" s="8"/>
      <c r="AR67" s="8"/>
      <c r="AS67" s="8"/>
      <c r="AT67" s="8"/>
    </row>
    <row r="68" spans="1:46" x14ac:dyDescent="0.2">
      <c r="A68" s="55" t="str">
        <f>IF(B68&lt;&gt;"",COUNTA($B$7:B68),"")</f>
        <v/>
      </c>
      <c r="B68" s="83"/>
      <c r="C68" s="83"/>
      <c r="D68" s="83" t="str">
        <f>IF(Table13[[#This Row],[Energy Source]]="","",Table13[[#This Row],[Energy Source]])</f>
        <v/>
      </c>
      <c r="E68" s="83" t="str">
        <f>IF(Table13[[#This Row],[Units]]="", "", Table13[[#This Row],[Units]])</f>
        <v/>
      </c>
      <c r="F68" s="83" t="str">
        <f>IF(Table13[[#This Row],[Annual Consumption (Baseline)]]="", "", Table13[[#This Row],[Annual Consumption (Baseline)]])</f>
        <v/>
      </c>
      <c r="G68" s="83" t="str">
        <f>IF(F68="", "", IF(Results!$C68="Energy", VLOOKUP(Results!$E68,'Emission Inputs (Optional)'!$T$10:$U$27,2,FALSE)*Table13[[#This Row],[Energy Savings]], ""))</f>
        <v/>
      </c>
      <c r="H68" s="13" t="str">
        <f>IFERROR(VLOOKUP(B68,'Emission Inputs (Optional)'!$G$9:$I$191,3,FALSE),"")</f>
        <v/>
      </c>
      <c r="I68" s="13" t="str">
        <f>IF(Results!$C68="Energy", VLOOKUP(Results!$E68,'Emission Inputs (Optional)'!$T$10:$U$27,2,FALSE)*Results!$F68, "")</f>
        <v/>
      </c>
      <c r="J68" s="13" t="str">
        <f>IF(Results!$I68&lt;&gt;"",Results!$I68*0.293071,"")</f>
        <v/>
      </c>
      <c r="K68" s="84" t="str">
        <f>IF(Results!$I68&lt;&gt;"",Results!$I68/SUM($I$7:$I$189),"")</f>
        <v/>
      </c>
      <c r="L68" s="13" t="str">
        <f>IF(Results!$F68&lt;&gt;"",I68-G68,"")</f>
        <v/>
      </c>
      <c r="M68" s="13" t="str">
        <f>IF(Results!$L68&lt;&gt;"",Results!$L68*0.293071,"")</f>
        <v/>
      </c>
      <c r="N68" s="84" t="str">
        <f>IF(Results!$M68&lt;&gt;"",Results!$M68/SUM($M$7:$M$189),"")</f>
        <v/>
      </c>
      <c r="O68" s="85" t="str">
        <f>IF(Results!$C68="Energy", VLOOKUP(Results!$D68,'Energy Costs Inputs (Optional)'!$AS$3:$AU$20,2,FALSE)*Results!$I68, "")</f>
        <v/>
      </c>
      <c r="P68" s="84" t="str">
        <f>IF(Results!$O68&lt;&gt;"",Results!$O68/SUM($O$7:$O$189),"")</f>
        <v/>
      </c>
      <c r="Q68" s="85" t="str">
        <f>IF(Results!$C68="Energy", VLOOKUP(Results!$D68,'Energy Costs Inputs (Optional)'!$AS$3:$AU$20,2,FALSE)*Results!$L68, "")</f>
        <v/>
      </c>
      <c r="R68" s="84" t="str">
        <f>IF(Results!$Q68&lt;&gt;"",Results!$Q68/SUM($Q$7:$Q$189),"")</f>
        <v/>
      </c>
      <c r="S68" s="85" t="str">
        <f t="shared" si="0"/>
        <v/>
      </c>
      <c r="T68" s="13" t="str">
        <f>IF(Results!$I68&lt;&gt;"",(HLOOKUP(Table13[[#This Row],[Units]],'Emission Inputs (Optional)'!$L$10:$R$27,MATCH(Table13[[#This Row],[Energy Source]],'Emission Inputs (Optional)'!$L$10:$L$27,0),FALSE))*Table13[[#This Row],[Annual Consumption (Baseline)]],"")</f>
        <v/>
      </c>
      <c r="U68" s="13" t="str">
        <f>IF(Results!$T68&lt;&gt;"",Results!$T68,H68)</f>
        <v/>
      </c>
      <c r="V68" s="84" t="str">
        <f>IF(Results!$U68="","",IF(U68&lt;&gt;"",U68,0)/SUM(Results!$U$7:$U$189))</f>
        <v/>
      </c>
      <c r="W68" s="101" t="str">
        <f>IF(Results!$I68&lt;&gt;"",(HLOOKUP(Table13[[#This Row],[Units]],'Emission Inputs (Optional)'!$L$10:$R$27,MATCH(Table13[[#This Row],[Energy Source]],'Emission Inputs (Optional)'!$L$10:$L$27,0),FALSE))*(Table13[[#This Row],[Annual Consumption (Baseline)]]-Table13[[#This Row],[Energy Savings]]),"")</f>
        <v/>
      </c>
      <c r="X68" s="13" t="str">
        <f>IFERROR(VLOOKUP(B68,'Emission Inputs (Optional)'!$G$9:$J$191,4,FALSE),"")</f>
        <v/>
      </c>
      <c r="Y68" s="95" t="str">
        <f>IF(Results!$W68&lt;&gt;"",Results!$W68,IF(X68&lt;&gt;"",(H68-X68),""))</f>
        <v/>
      </c>
      <c r="Z68" s="95" t="str">
        <f t="shared" si="1"/>
        <v/>
      </c>
      <c r="AA68" s="89" t="str">
        <f>IF(Results!$U68="","",IF(U68&lt;&gt;"",U68,0)/SUM(Results!$U$7:$U$189))</f>
        <v/>
      </c>
      <c r="AB68" s="8"/>
      <c r="AC68" s="8"/>
      <c r="AD68" s="8"/>
      <c r="AE68" s="8"/>
      <c r="AF68" s="8"/>
      <c r="AG68" s="8"/>
      <c r="AH68" s="8"/>
      <c r="AI68" s="8"/>
      <c r="AJ68" s="8"/>
      <c r="AK68" s="8"/>
      <c r="AL68" s="8"/>
      <c r="AM68" s="8"/>
      <c r="AN68" s="8"/>
      <c r="AO68" s="8"/>
      <c r="AP68" s="8"/>
      <c r="AQ68" s="8"/>
      <c r="AR68" s="8"/>
      <c r="AS68" s="8"/>
      <c r="AT68" s="8"/>
    </row>
    <row r="69" spans="1:46" x14ac:dyDescent="0.2">
      <c r="A69" s="55" t="str">
        <f>IF(B69&lt;&gt;"",COUNTA($B$7:B69),"")</f>
        <v/>
      </c>
      <c r="B69" s="83"/>
      <c r="C69" s="83"/>
      <c r="D69" s="83" t="str">
        <f>IF(Table13[[#This Row],[Energy Source]]="","",Table13[[#This Row],[Energy Source]])</f>
        <v/>
      </c>
      <c r="E69" s="83" t="str">
        <f>IF(Table13[[#This Row],[Units]]="", "", Table13[[#This Row],[Units]])</f>
        <v/>
      </c>
      <c r="F69" s="83" t="str">
        <f>IF(Table13[[#This Row],[Annual Consumption (Baseline)]]="", "", Table13[[#This Row],[Annual Consumption (Baseline)]])</f>
        <v/>
      </c>
      <c r="G69" s="83" t="str">
        <f>IF(F69="", "", IF(Results!$C69="Energy", VLOOKUP(Results!$E69,'Emission Inputs (Optional)'!$T$10:$U$27,2,FALSE)*Table13[[#This Row],[Energy Savings]], ""))</f>
        <v/>
      </c>
      <c r="H69" s="13" t="str">
        <f>IFERROR(VLOOKUP(B69,'Emission Inputs (Optional)'!$G$9:$I$191,3,FALSE),"")</f>
        <v/>
      </c>
      <c r="I69" s="13" t="str">
        <f>IF(Results!$C69="Energy", VLOOKUP(Results!$E69,'Emission Inputs (Optional)'!$T$10:$U$27,2,FALSE)*Results!$F69, "")</f>
        <v/>
      </c>
      <c r="J69" s="13" t="str">
        <f>IF(Results!$I69&lt;&gt;"",Results!$I69*0.293071,"")</f>
        <v/>
      </c>
      <c r="K69" s="84" t="str">
        <f>IF(Results!$I69&lt;&gt;"",Results!$I69/SUM($I$7:$I$189),"")</f>
        <v/>
      </c>
      <c r="L69" s="13" t="str">
        <f>IF(Results!$F69&lt;&gt;"",I69-G69,"")</f>
        <v/>
      </c>
      <c r="M69" s="13" t="str">
        <f>IF(Results!$L69&lt;&gt;"",Results!$L69*0.293071,"")</f>
        <v/>
      </c>
      <c r="N69" s="84" t="str">
        <f>IF(Results!$M69&lt;&gt;"",Results!$M69/SUM($M$7:$M$189),"")</f>
        <v/>
      </c>
      <c r="O69" s="85" t="str">
        <f>IF(Results!$C69="Energy", VLOOKUP(Results!$D69,'Energy Costs Inputs (Optional)'!$AS$3:$AU$20,2,FALSE)*Results!$I69, "")</f>
        <v/>
      </c>
      <c r="P69" s="84" t="str">
        <f>IF(Results!$O69&lt;&gt;"",Results!$O69/SUM($O$7:$O$189),"")</f>
        <v/>
      </c>
      <c r="Q69" s="85" t="str">
        <f>IF(Results!$C69="Energy", VLOOKUP(Results!$D69,'Energy Costs Inputs (Optional)'!$AS$3:$AU$20,2,FALSE)*Results!$L69, "")</f>
        <v/>
      </c>
      <c r="R69" s="84" t="str">
        <f>IF(Results!$Q69&lt;&gt;"",Results!$Q69/SUM($Q$7:$Q$189),"")</f>
        <v/>
      </c>
      <c r="S69" s="85" t="str">
        <f t="shared" si="0"/>
        <v/>
      </c>
      <c r="T69" s="13" t="str">
        <f>IF(Results!$I69&lt;&gt;"",(HLOOKUP(Table13[[#This Row],[Units]],'Emission Inputs (Optional)'!$L$10:$R$27,MATCH(Table13[[#This Row],[Energy Source]],'Emission Inputs (Optional)'!$L$10:$L$27,0),FALSE))*Table13[[#This Row],[Annual Consumption (Baseline)]],"")</f>
        <v/>
      </c>
      <c r="U69" s="13" t="str">
        <f>IF(Results!$T69&lt;&gt;"",Results!$T69,H69)</f>
        <v/>
      </c>
      <c r="V69" s="84" t="str">
        <f>IF(Results!$U69="","",IF(U69&lt;&gt;"",U69,0)/SUM(Results!$U$7:$U$189))</f>
        <v/>
      </c>
      <c r="W69" s="101" t="str">
        <f>IF(Results!$I69&lt;&gt;"",(HLOOKUP(Table13[[#This Row],[Units]],'Emission Inputs (Optional)'!$L$10:$R$27,MATCH(Table13[[#This Row],[Energy Source]],'Emission Inputs (Optional)'!$L$10:$L$27,0),FALSE))*(Table13[[#This Row],[Annual Consumption (Baseline)]]-Table13[[#This Row],[Energy Savings]]),"")</f>
        <v/>
      </c>
      <c r="X69" s="13" t="str">
        <f>IFERROR(VLOOKUP(B69,'Emission Inputs (Optional)'!$G$9:$J$191,4,FALSE),"")</f>
        <v/>
      </c>
      <c r="Y69" s="95" t="str">
        <f>IF(Results!$W69&lt;&gt;"",Results!$W69,IF(X69&lt;&gt;"",(H69-X69),""))</f>
        <v/>
      </c>
      <c r="Z69" s="95" t="str">
        <f t="shared" si="1"/>
        <v/>
      </c>
      <c r="AA69" s="89" t="str">
        <f>IF(Results!$U69="","",IF(U69&lt;&gt;"",U69,0)/SUM(Results!$U$7:$U$189))</f>
        <v/>
      </c>
      <c r="AB69" s="8"/>
      <c r="AC69" s="8"/>
      <c r="AD69" s="8"/>
      <c r="AE69" s="8"/>
      <c r="AF69" s="8"/>
      <c r="AG69" s="8"/>
      <c r="AH69" s="8"/>
      <c r="AI69" s="8"/>
      <c r="AJ69" s="8"/>
      <c r="AK69" s="8"/>
      <c r="AL69" s="8"/>
      <c r="AM69" s="8"/>
      <c r="AN69" s="8"/>
      <c r="AO69" s="8"/>
      <c r="AP69" s="8"/>
      <c r="AQ69" s="8"/>
      <c r="AR69" s="8"/>
      <c r="AS69" s="8"/>
      <c r="AT69" s="8"/>
    </row>
    <row r="70" spans="1:46" x14ac:dyDescent="0.2">
      <c r="A70" s="55" t="str">
        <f>IF(B70&lt;&gt;"",COUNTA($B$7:B70),"")</f>
        <v/>
      </c>
      <c r="B70" s="83"/>
      <c r="C70" s="83"/>
      <c r="D70" s="83" t="str">
        <f>IF(Table13[[#This Row],[Energy Source]]="","",Table13[[#This Row],[Energy Source]])</f>
        <v/>
      </c>
      <c r="E70" s="83" t="str">
        <f>IF(Table13[[#This Row],[Units]]="", "", Table13[[#This Row],[Units]])</f>
        <v/>
      </c>
      <c r="F70" s="83" t="str">
        <f>IF(Table13[[#This Row],[Annual Consumption (Baseline)]]="", "", Table13[[#This Row],[Annual Consumption (Baseline)]])</f>
        <v/>
      </c>
      <c r="G70" s="83" t="str">
        <f>IF(F70="", "", IF(Results!$C70="Energy", VLOOKUP(Results!$E70,'Emission Inputs (Optional)'!$T$10:$U$27,2,FALSE)*Table13[[#This Row],[Energy Savings]], ""))</f>
        <v/>
      </c>
      <c r="H70" s="13" t="str">
        <f>IFERROR(VLOOKUP(B70,'Emission Inputs (Optional)'!$G$9:$I$191,3,FALSE),"")</f>
        <v/>
      </c>
      <c r="I70" s="13" t="str">
        <f>IF(Results!$C70="Energy", VLOOKUP(Results!$E70,'Emission Inputs (Optional)'!$T$10:$U$27,2,FALSE)*Results!$F70, "")</f>
        <v/>
      </c>
      <c r="J70" s="13" t="str">
        <f>IF(Results!$I70&lt;&gt;"",Results!$I70*0.293071,"")</f>
        <v/>
      </c>
      <c r="K70" s="84" t="str">
        <f>IF(Results!$I70&lt;&gt;"",Results!$I70/SUM($I$7:$I$189),"")</f>
        <v/>
      </c>
      <c r="L70" s="13" t="str">
        <f>IF(Results!$F70&lt;&gt;"",I70-G70,"")</f>
        <v/>
      </c>
      <c r="M70" s="13" t="str">
        <f>IF(Results!$L70&lt;&gt;"",Results!$L70*0.293071,"")</f>
        <v/>
      </c>
      <c r="N70" s="84" t="str">
        <f>IF(Results!$M70&lt;&gt;"",Results!$M70/SUM($M$7:$M$189),"")</f>
        <v/>
      </c>
      <c r="O70" s="85" t="str">
        <f>IF(Results!$C70="Energy", VLOOKUP(Results!$D70,'Energy Costs Inputs (Optional)'!$AS$3:$AU$20,2,FALSE)*Results!$I70, "")</f>
        <v/>
      </c>
      <c r="P70" s="84" t="str">
        <f>IF(Results!$O70&lt;&gt;"",Results!$O70/SUM($O$7:$O$189),"")</f>
        <v/>
      </c>
      <c r="Q70" s="85" t="str">
        <f>IF(Results!$C70="Energy", VLOOKUP(Results!$D70,'Energy Costs Inputs (Optional)'!$AS$3:$AU$20,2,FALSE)*Results!$L70, "")</f>
        <v/>
      </c>
      <c r="R70" s="84" t="str">
        <f>IF(Results!$Q70&lt;&gt;"",Results!$Q70/SUM($Q$7:$Q$189),"")</f>
        <v/>
      </c>
      <c r="S70" s="85" t="str">
        <f t="shared" si="0"/>
        <v/>
      </c>
      <c r="T70" s="13" t="str">
        <f>IF(Results!$I70&lt;&gt;"",(HLOOKUP(Table13[[#This Row],[Units]],'Emission Inputs (Optional)'!$L$10:$R$27,MATCH(Table13[[#This Row],[Energy Source]],'Emission Inputs (Optional)'!$L$10:$L$27,0),FALSE))*Table13[[#This Row],[Annual Consumption (Baseline)]],"")</f>
        <v/>
      </c>
      <c r="U70" s="13" t="str">
        <f>IF(Results!$T70&lt;&gt;"",Results!$T70,H70)</f>
        <v/>
      </c>
      <c r="V70" s="84" t="str">
        <f>IF(Results!$U70="","",IF(U70&lt;&gt;"",U70,0)/SUM(Results!$U$7:$U$189))</f>
        <v/>
      </c>
      <c r="W70" s="101" t="str">
        <f>IF(Results!$I70&lt;&gt;"",(HLOOKUP(Table13[[#This Row],[Units]],'Emission Inputs (Optional)'!$L$10:$R$27,MATCH(Table13[[#This Row],[Energy Source]],'Emission Inputs (Optional)'!$L$10:$L$27,0),FALSE))*(Table13[[#This Row],[Annual Consumption (Baseline)]]-Table13[[#This Row],[Energy Savings]]),"")</f>
        <v/>
      </c>
      <c r="X70" s="13" t="str">
        <f>IFERROR(VLOOKUP(B70,'Emission Inputs (Optional)'!$G$9:$J$191,4,FALSE),"")</f>
        <v/>
      </c>
      <c r="Y70" s="95" t="str">
        <f>IF(Results!$W70&lt;&gt;"",Results!$W70,IF(X70&lt;&gt;"",(H70-X70),""))</f>
        <v/>
      </c>
      <c r="Z70" s="95" t="str">
        <f t="shared" si="1"/>
        <v/>
      </c>
      <c r="AA70" s="89" t="str">
        <f>IF(Results!$U70="","",IF(U70&lt;&gt;"",U70,0)/SUM(Results!$U$7:$U$189))</f>
        <v/>
      </c>
      <c r="AB70" s="8"/>
      <c r="AC70" s="8"/>
      <c r="AD70" s="8"/>
      <c r="AE70" s="8"/>
      <c r="AF70" s="8"/>
      <c r="AG70" s="8"/>
      <c r="AH70" s="8"/>
      <c r="AI70" s="8"/>
      <c r="AJ70" s="8"/>
      <c r="AK70" s="8"/>
      <c r="AL70" s="8"/>
      <c r="AM70" s="8"/>
      <c r="AN70" s="8"/>
      <c r="AO70" s="8"/>
      <c r="AP70" s="8"/>
      <c r="AQ70" s="8"/>
      <c r="AR70" s="8"/>
      <c r="AS70" s="8"/>
      <c r="AT70" s="8"/>
    </row>
    <row r="71" spans="1:46" x14ac:dyDescent="0.2">
      <c r="A71" s="55" t="str">
        <f>IF(B71&lt;&gt;"",COUNTA($B$7:B71),"")</f>
        <v/>
      </c>
      <c r="B71" s="83"/>
      <c r="C71" s="83"/>
      <c r="D71" s="83" t="str">
        <f>IF(Table13[[#This Row],[Energy Source]]="","",Table13[[#This Row],[Energy Source]])</f>
        <v/>
      </c>
      <c r="E71" s="83" t="str">
        <f>IF(Table13[[#This Row],[Units]]="", "", Table13[[#This Row],[Units]])</f>
        <v/>
      </c>
      <c r="F71" s="83" t="str">
        <f>IF(Table13[[#This Row],[Annual Consumption (Baseline)]]="", "", Table13[[#This Row],[Annual Consumption (Baseline)]])</f>
        <v/>
      </c>
      <c r="G71" s="83" t="str">
        <f>IF(F71="", "", IF(Results!$C71="Energy", VLOOKUP(Results!$E71,'Emission Inputs (Optional)'!$T$10:$U$27,2,FALSE)*Table13[[#This Row],[Energy Savings]], ""))</f>
        <v/>
      </c>
      <c r="H71" s="13" t="str">
        <f>IFERROR(VLOOKUP(B71,'Emission Inputs (Optional)'!$G$9:$I$191,3,FALSE),"")</f>
        <v/>
      </c>
      <c r="I71" s="13" t="str">
        <f>IF(Results!$C71="Energy", VLOOKUP(Results!$E71,'Emission Inputs (Optional)'!$T$10:$U$27,2,FALSE)*Results!$F71, "")</f>
        <v/>
      </c>
      <c r="J71" s="13" t="str">
        <f>IF(Results!$I71&lt;&gt;"",Results!$I71*0.293071,"")</f>
        <v/>
      </c>
      <c r="K71" s="84" t="str">
        <f>IF(Results!$I71&lt;&gt;"",Results!$I71/SUM($I$7:$I$189),"")</f>
        <v/>
      </c>
      <c r="L71" s="13" t="str">
        <f>IF(Results!$F71&lt;&gt;"",I71-G71,"")</f>
        <v/>
      </c>
      <c r="M71" s="13" t="str">
        <f>IF(Results!$L71&lt;&gt;"",Results!$L71*0.293071,"")</f>
        <v/>
      </c>
      <c r="N71" s="84" t="str">
        <f>IF(Results!$M71&lt;&gt;"",Results!$M71/SUM($M$7:$M$189),"")</f>
        <v/>
      </c>
      <c r="O71" s="85" t="str">
        <f>IF(Results!$C71="Energy", VLOOKUP(Results!$D71,'Energy Costs Inputs (Optional)'!$AS$3:$AU$20,2,FALSE)*Results!$I71, "")</f>
        <v/>
      </c>
      <c r="P71" s="84" t="str">
        <f>IF(Results!$O71&lt;&gt;"",Results!$O71/SUM($O$7:$O$189),"")</f>
        <v/>
      </c>
      <c r="Q71" s="85" t="str">
        <f>IF(Results!$C71="Energy", VLOOKUP(Results!$D71,'Energy Costs Inputs (Optional)'!$AS$3:$AU$20,2,FALSE)*Results!$L71, "")</f>
        <v/>
      </c>
      <c r="R71" s="84" t="str">
        <f>IF(Results!$Q71&lt;&gt;"",Results!$Q71/SUM($Q$7:$Q$189),"")</f>
        <v/>
      </c>
      <c r="S71" s="85" t="str">
        <f t="shared" si="0"/>
        <v/>
      </c>
      <c r="T71" s="13" t="str">
        <f>IF(Results!$I71&lt;&gt;"",(HLOOKUP(Table13[[#This Row],[Units]],'Emission Inputs (Optional)'!$L$10:$R$27,MATCH(Table13[[#This Row],[Energy Source]],'Emission Inputs (Optional)'!$L$10:$L$27,0),FALSE))*Table13[[#This Row],[Annual Consumption (Baseline)]],"")</f>
        <v/>
      </c>
      <c r="U71" s="13" t="str">
        <f>IF(Results!$T71&lt;&gt;"",Results!$T71,H71)</f>
        <v/>
      </c>
      <c r="V71" s="84" t="str">
        <f>IF(Results!$U71="","",IF(U71&lt;&gt;"",U71,0)/SUM(Results!$U$7:$U$189))</f>
        <v/>
      </c>
      <c r="W71" s="101" t="str">
        <f>IF(Results!$I71&lt;&gt;"",(HLOOKUP(Table13[[#This Row],[Units]],'Emission Inputs (Optional)'!$L$10:$R$27,MATCH(Table13[[#This Row],[Energy Source]],'Emission Inputs (Optional)'!$L$10:$L$27,0),FALSE))*(Table13[[#This Row],[Annual Consumption (Baseline)]]-Table13[[#This Row],[Energy Savings]]),"")</f>
        <v/>
      </c>
      <c r="X71" s="13" t="str">
        <f>IFERROR(VLOOKUP(B71,'Emission Inputs (Optional)'!$G$9:$J$191,4,FALSE),"")</f>
        <v/>
      </c>
      <c r="Y71" s="95" t="str">
        <f>IF(Results!$W71&lt;&gt;"",Results!$W71,IF(X71&lt;&gt;"",(H71-X71),""))</f>
        <v/>
      </c>
      <c r="Z71" s="95" t="str">
        <f t="shared" si="1"/>
        <v/>
      </c>
      <c r="AA71" s="89" t="str">
        <f>IF(Results!$U71="","",IF(U71&lt;&gt;"",U71,0)/SUM(Results!$U$7:$U$189))</f>
        <v/>
      </c>
      <c r="AB71" s="8"/>
      <c r="AC71" s="8"/>
      <c r="AD71" s="8"/>
      <c r="AE71" s="8"/>
      <c r="AF71" s="8"/>
      <c r="AG71" s="8"/>
      <c r="AH71" s="8"/>
      <c r="AI71" s="8"/>
      <c r="AJ71" s="8"/>
      <c r="AK71" s="8"/>
      <c r="AL71" s="8"/>
      <c r="AM71" s="8"/>
      <c r="AN71" s="8"/>
      <c r="AO71" s="8"/>
      <c r="AP71" s="8"/>
      <c r="AQ71" s="8"/>
      <c r="AR71" s="8"/>
      <c r="AS71" s="8"/>
      <c r="AT71" s="8"/>
    </row>
    <row r="72" spans="1:46" x14ac:dyDescent="0.2">
      <c r="A72" s="55" t="str">
        <f>IF(B72&lt;&gt;"",COUNTA($B$7:B72),"")</f>
        <v/>
      </c>
      <c r="B72" s="83"/>
      <c r="C72" s="83"/>
      <c r="D72" s="83" t="str">
        <f>IF(Table13[[#This Row],[Energy Source]]="","",Table13[[#This Row],[Energy Source]])</f>
        <v/>
      </c>
      <c r="E72" s="83" t="str">
        <f>IF(Table13[[#This Row],[Units]]="", "", Table13[[#This Row],[Units]])</f>
        <v/>
      </c>
      <c r="F72" s="83" t="str">
        <f>IF(Table13[[#This Row],[Annual Consumption (Baseline)]]="", "", Table13[[#This Row],[Annual Consumption (Baseline)]])</f>
        <v/>
      </c>
      <c r="G72" s="83" t="str">
        <f>IF(F72="", "", IF(Results!$C72="Energy", VLOOKUP(Results!$E72,'Emission Inputs (Optional)'!$T$10:$U$27,2,FALSE)*Table13[[#This Row],[Energy Savings]], ""))</f>
        <v/>
      </c>
      <c r="H72" s="13" t="str">
        <f>IFERROR(VLOOKUP(B72,'Emission Inputs (Optional)'!$G$9:$I$191,3,FALSE),"")</f>
        <v/>
      </c>
      <c r="I72" s="13" t="str">
        <f>IF(Results!$C72="Energy", VLOOKUP(Results!$E72,'Emission Inputs (Optional)'!$T$10:$U$27,2,FALSE)*Results!$F72, "")</f>
        <v/>
      </c>
      <c r="J72" s="13" t="str">
        <f>IF(Results!$I72&lt;&gt;"",Results!$I72*0.293071,"")</f>
        <v/>
      </c>
      <c r="K72" s="84" t="str">
        <f>IF(Results!$I72&lt;&gt;"",Results!$I72/SUM($I$7:$I$189),"")</f>
        <v/>
      </c>
      <c r="L72" s="13" t="str">
        <f>IF(Results!$F72&lt;&gt;"",I72-G72,"")</f>
        <v/>
      </c>
      <c r="M72" s="13" t="str">
        <f>IF(Results!$L72&lt;&gt;"",Results!$L72*0.293071,"")</f>
        <v/>
      </c>
      <c r="N72" s="84" t="str">
        <f>IF(Results!$M72&lt;&gt;"",Results!$M72/SUM($M$7:$M$189),"")</f>
        <v/>
      </c>
      <c r="O72" s="85" t="str">
        <f>IF(Results!$C72="Energy", VLOOKUP(Results!$D72,'Energy Costs Inputs (Optional)'!$AS$3:$AU$20,2,FALSE)*Results!$I72, "")</f>
        <v/>
      </c>
      <c r="P72" s="84" t="str">
        <f>IF(Results!$O72&lt;&gt;"",Results!$O72/SUM($O$7:$O$189),"")</f>
        <v/>
      </c>
      <c r="Q72" s="85" t="str">
        <f>IF(Results!$C72="Energy", VLOOKUP(Results!$D72,'Energy Costs Inputs (Optional)'!$AS$3:$AU$20,2,FALSE)*Results!$L72, "")</f>
        <v/>
      </c>
      <c r="R72" s="84" t="str">
        <f>IF(Results!$Q72&lt;&gt;"",Results!$Q72/SUM($Q$7:$Q$189),"")</f>
        <v/>
      </c>
      <c r="S72" s="85" t="str">
        <f t="shared" ref="S72:S135" si="2">IF(Q72&lt;&gt;"",O72-Q72,"")</f>
        <v/>
      </c>
      <c r="T72" s="13" t="str">
        <f>IF(Results!$I72&lt;&gt;"",(HLOOKUP(Table13[[#This Row],[Units]],'Emission Inputs (Optional)'!$L$10:$R$27,MATCH(Table13[[#This Row],[Energy Source]],'Emission Inputs (Optional)'!$L$10:$L$27,0),FALSE))*Table13[[#This Row],[Annual Consumption (Baseline)]],"")</f>
        <v/>
      </c>
      <c r="U72" s="13" t="str">
        <f>IF(Results!$T72&lt;&gt;"",Results!$T72,H72)</f>
        <v/>
      </c>
      <c r="V72" s="84" t="str">
        <f>IF(Results!$U72="","",IF(U72&lt;&gt;"",U72,0)/SUM(Results!$U$7:$U$189))</f>
        <v/>
      </c>
      <c r="W72" s="101" t="str">
        <f>IF(Results!$I72&lt;&gt;"",(HLOOKUP(Table13[[#This Row],[Units]],'Emission Inputs (Optional)'!$L$10:$R$27,MATCH(Table13[[#This Row],[Energy Source]],'Emission Inputs (Optional)'!$L$10:$L$27,0),FALSE))*(Table13[[#This Row],[Annual Consumption (Baseline)]]-Table13[[#This Row],[Energy Savings]]),"")</f>
        <v/>
      </c>
      <c r="X72" s="13" t="str">
        <f>IFERROR(VLOOKUP(B72,'Emission Inputs (Optional)'!$G$9:$J$191,4,FALSE),"")</f>
        <v/>
      </c>
      <c r="Y72" s="95" t="str">
        <f>IF(Results!$W72&lt;&gt;"",Results!$W72,IF(X72&lt;&gt;"",(H72-X72),""))</f>
        <v/>
      </c>
      <c r="Z72" s="95" t="str">
        <f t="shared" ref="Z72:Z135" si="3">IF(Y72&lt;&gt;"",U72-Y72,"")</f>
        <v/>
      </c>
      <c r="AA72" s="89" t="str">
        <f>IF(Results!$U72="","",IF(U72&lt;&gt;"",U72,0)/SUM(Results!$U$7:$U$189))</f>
        <v/>
      </c>
      <c r="AB72" s="8"/>
      <c r="AC72" s="8"/>
      <c r="AD72" s="8"/>
      <c r="AE72" s="8"/>
      <c r="AF72" s="8"/>
      <c r="AG72" s="8"/>
      <c r="AH72" s="8"/>
      <c r="AI72" s="8"/>
      <c r="AJ72" s="8"/>
      <c r="AK72" s="8"/>
      <c r="AL72" s="8"/>
      <c r="AM72" s="8"/>
      <c r="AN72" s="8"/>
      <c r="AO72" s="8"/>
      <c r="AP72" s="8"/>
      <c r="AQ72" s="8"/>
      <c r="AR72" s="8"/>
      <c r="AS72" s="8"/>
      <c r="AT72" s="8"/>
    </row>
    <row r="73" spans="1:46" x14ac:dyDescent="0.2">
      <c r="A73" s="55" t="str">
        <f>IF(B73&lt;&gt;"",COUNTA($B$7:B73),"")</f>
        <v/>
      </c>
      <c r="B73" s="83"/>
      <c r="C73" s="83"/>
      <c r="D73" s="83" t="str">
        <f>IF(Table13[[#This Row],[Energy Source]]="","",Table13[[#This Row],[Energy Source]])</f>
        <v/>
      </c>
      <c r="E73" s="83" t="str">
        <f>IF(Table13[[#This Row],[Units]]="", "", Table13[[#This Row],[Units]])</f>
        <v/>
      </c>
      <c r="F73" s="83" t="str">
        <f>IF(Table13[[#This Row],[Annual Consumption (Baseline)]]="", "", Table13[[#This Row],[Annual Consumption (Baseline)]])</f>
        <v/>
      </c>
      <c r="G73" s="83" t="str">
        <f>IF(F73="", "", IF(Results!$C73="Energy", VLOOKUP(Results!$E73,'Emission Inputs (Optional)'!$T$10:$U$27,2,FALSE)*Table13[[#This Row],[Energy Savings]], ""))</f>
        <v/>
      </c>
      <c r="H73" s="13" t="str">
        <f>IFERROR(VLOOKUP(B73,'Emission Inputs (Optional)'!$G$9:$I$191,3,FALSE),"")</f>
        <v/>
      </c>
      <c r="I73" s="13" t="str">
        <f>IF(Results!$C73="Energy", VLOOKUP(Results!$E73,'Emission Inputs (Optional)'!$T$10:$U$27,2,FALSE)*Results!$F73, "")</f>
        <v/>
      </c>
      <c r="J73" s="13" t="str">
        <f>IF(Results!$I73&lt;&gt;"",Results!$I73*0.293071,"")</f>
        <v/>
      </c>
      <c r="K73" s="84" t="str">
        <f>IF(Results!$I73&lt;&gt;"",Results!$I73/SUM($I$7:$I$189),"")</f>
        <v/>
      </c>
      <c r="L73" s="13" t="str">
        <f>IF(Results!$F73&lt;&gt;"",I73-G73,"")</f>
        <v/>
      </c>
      <c r="M73" s="13" t="str">
        <f>IF(Results!$L73&lt;&gt;"",Results!$L73*0.293071,"")</f>
        <v/>
      </c>
      <c r="N73" s="84" t="str">
        <f>IF(Results!$M73&lt;&gt;"",Results!$M73/SUM($M$7:$M$189),"")</f>
        <v/>
      </c>
      <c r="O73" s="85" t="str">
        <f>IF(Results!$C73="Energy", VLOOKUP(Results!$D73,'Energy Costs Inputs (Optional)'!$AS$3:$AU$20,2,FALSE)*Results!$I73, "")</f>
        <v/>
      </c>
      <c r="P73" s="84" t="str">
        <f>IF(Results!$O73&lt;&gt;"",Results!$O73/SUM($O$7:$O$189),"")</f>
        <v/>
      </c>
      <c r="Q73" s="85" t="str">
        <f>IF(Results!$C73="Energy", VLOOKUP(Results!$D73,'Energy Costs Inputs (Optional)'!$AS$3:$AU$20,2,FALSE)*Results!$L73, "")</f>
        <v/>
      </c>
      <c r="R73" s="84" t="str">
        <f>IF(Results!$Q73&lt;&gt;"",Results!$Q73/SUM($Q$7:$Q$189),"")</f>
        <v/>
      </c>
      <c r="S73" s="85" t="str">
        <f t="shared" si="2"/>
        <v/>
      </c>
      <c r="T73" s="13" t="str">
        <f>IF(Results!$I73&lt;&gt;"",(HLOOKUP(Table13[[#This Row],[Units]],'Emission Inputs (Optional)'!$L$10:$R$27,MATCH(Table13[[#This Row],[Energy Source]],'Emission Inputs (Optional)'!$L$10:$L$27,0),FALSE))*Table13[[#This Row],[Annual Consumption (Baseline)]],"")</f>
        <v/>
      </c>
      <c r="U73" s="13" t="str">
        <f>IF(Results!$T73&lt;&gt;"",Results!$T73,H73)</f>
        <v/>
      </c>
      <c r="V73" s="84" t="str">
        <f>IF(Results!$U73="","",IF(U73&lt;&gt;"",U73,0)/SUM(Results!$U$7:$U$189))</f>
        <v/>
      </c>
      <c r="W73" s="101" t="str">
        <f>IF(Results!$I73&lt;&gt;"",(HLOOKUP(Table13[[#This Row],[Units]],'Emission Inputs (Optional)'!$L$10:$R$27,MATCH(Table13[[#This Row],[Energy Source]],'Emission Inputs (Optional)'!$L$10:$L$27,0),FALSE))*(Table13[[#This Row],[Annual Consumption (Baseline)]]-Table13[[#This Row],[Energy Savings]]),"")</f>
        <v/>
      </c>
      <c r="X73" s="13" t="str">
        <f>IFERROR(VLOOKUP(B73,'Emission Inputs (Optional)'!$G$9:$J$191,4,FALSE),"")</f>
        <v/>
      </c>
      <c r="Y73" s="95" t="str">
        <f>IF(Results!$W73&lt;&gt;"",Results!$W73,IF(X73&lt;&gt;"",(H73-X73),""))</f>
        <v/>
      </c>
      <c r="Z73" s="95" t="str">
        <f t="shared" si="3"/>
        <v/>
      </c>
      <c r="AA73" s="89" t="str">
        <f>IF(Results!$U73="","",IF(U73&lt;&gt;"",U73,0)/SUM(Results!$U$7:$U$189))</f>
        <v/>
      </c>
      <c r="AB73" s="8"/>
      <c r="AC73" s="8"/>
      <c r="AD73" s="8"/>
      <c r="AE73" s="8"/>
      <c r="AF73" s="8"/>
      <c r="AG73" s="8"/>
      <c r="AH73" s="8"/>
      <c r="AI73" s="8"/>
      <c r="AJ73" s="8"/>
      <c r="AK73" s="8"/>
      <c r="AL73" s="8"/>
      <c r="AM73" s="8"/>
      <c r="AN73" s="8"/>
      <c r="AO73" s="8"/>
      <c r="AP73" s="8"/>
      <c r="AQ73" s="8"/>
      <c r="AR73" s="8"/>
      <c r="AS73" s="8"/>
      <c r="AT73" s="8"/>
    </row>
    <row r="74" spans="1:46" x14ac:dyDescent="0.2">
      <c r="A74" s="55" t="str">
        <f>IF(B74&lt;&gt;"",COUNTA($B$7:B74),"")</f>
        <v/>
      </c>
      <c r="B74" s="83"/>
      <c r="C74" s="83"/>
      <c r="D74" s="83" t="str">
        <f>IF(Table13[[#This Row],[Energy Source]]="","",Table13[[#This Row],[Energy Source]])</f>
        <v/>
      </c>
      <c r="E74" s="83" t="str">
        <f>IF(Table13[[#This Row],[Units]]="", "", Table13[[#This Row],[Units]])</f>
        <v/>
      </c>
      <c r="F74" s="83" t="str">
        <f>IF(Table13[[#This Row],[Annual Consumption (Baseline)]]="", "", Table13[[#This Row],[Annual Consumption (Baseline)]])</f>
        <v/>
      </c>
      <c r="G74" s="83" t="str">
        <f>IF(F74="", "", IF(Results!$C74="Energy", VLOOKUP(Results!$E74,'Emission Inputs (Optional)'!$T$10:$U$27,2,FALSE)*Table13[[#This Row],[Energy Savings]], ""))</f>
        <v/>
      </c>
      <c r="H74" s="13" t="str">
        <f>IFERROR(VLOOKUP(B74,'Emission Inputs (Optional)'!$G$9:$I$191,3,FALSE),"")</f>
        <v/>
      </c>
      <c r="I74" s="13" t="str">
        <f>IF(Results!$C74="Energy", VLOOKUP(Results!$E74,'Emission Inputs (Optional)'!$T$10:$U$27,2,FALSE)*Results!$F74, "")</f>
        <v/>
      </c>
      <c r="J74" s="13" t="str">
        <f>IF(Results!$I74&lt;&gt;"",Results!$I74*0.293071,"")</f>
        <v/>
      </c>
      <c r="K74" s="84" t="str">
        <f>IF(Results!$I74&lt;&gt;"",Results!$I74/SUM($I$7:$I$189),"")</f>
        <v/>
      </c>
      <c r="L74" s="13" t="str">
        <f>IF(Results!$F74&lt;&gt;"",I74-G74,"")</f>
        <v/>
      </c>
      <c r="M74" s="13" t="str">
        <f>IF(Results!$L74&lt;&gt;"",Results!$L74*0.293071,"")</f>
        <v/>
      </c>
      <c r="N74" s="84" t="str">
        <f>IF(Results!$M74&lt;&gt;"",Results!$M74/SUM($M$7:$M$189),"")</f>
        <v/>
      </c>
      <c r="O74" s="85" t="str">
        <f>IF(Results!$C74="Energy", VLOOKUP(Results!$D74,'Energy Costs Inputs (Optional)'!$AS$3:$AU$20,2,FALSE)*Results!$I74, "")</f>
        <v/>
      </c>
      <c r="P74" s="84" t="str">
        <f>IF(Results!$O74&lt;&gt;"",Results!$O74/SUM($O$7:$O$189),"")</f>
        <v/>
      </c>
      <c r="Q74" s="85" t="str">
        <f>IF(Results!$C74="Energy", VLOOKUP(Results!$D74,'Energy Costs Inputs (Optional)'!$AS$3:$AU$20,2,FALSE)*Results!$L74, "")</f>
        <v/>
      </c>
      <c r="R74" s="84" t="str">
        <f>IF(Results!$Q74&lt;&gt;"",Results!$Q74/SUM($Q$7:$Q$189),"")</f>
        <v/>
      </c>
      <c r="S74" s="85" t="str">
        <f t="shared" si="2"/>
        <v/>
      </c>
      <c r="T74" s="13" t="str">
        <f>IF(Results!$I74&lt;&gt;"",(HLOOKUP(Table13[[#This Row],[Units]],'Emission Inputs (Optional)'!$L$10:$R$27,MATCH(Table13[[#This Row],[Energy Source]],'Emission Inputs (Optional)'!$L$10:$L$27,0),FALSE))*Table13[[#This Row],[Annual Consumption (Baseline)]],"")</f>
        <v/>
      </c>
      <c r="U74" s="13" t="str">
        <f>IF(Results!$T74&lt;&gt;"",Results!$T74,H74)</f>
        <v/>
      </c>
      <c r="V74" s="84" t="str">
        <f>IF(Results!$U74="","",IF(U74&lt;&gt;"",U74,0)/SUM(Results!$U$7:$U$189))</f>
        <v/>
      </c>
      <c r="W74" s="101" t="str">
        <f>IF(Results!$I74&lt;&gt;"",(HLOOKUP(Table13[[#This Row],[Units]],'Emission Inputs (Optional)'!$L$10:$R$27,MATCH(Table13[[#This Row],[Energy Source]],'Emission Inputs (Optional)'!$L$10:$L$27,0),FALSE))*(Table13[[#This Row],[Annual Consumption (Baseline)]]-Table13[[#This Row],[Energy Savings]]),"")</f>
        <v/>
      </c>
      <c r="X74" s="13" t="str">
        <f>IFERROR(VLOOKUP(B74,'Emission Inputs (Optional)'!$G$9:$J$191,4,FALSE),"")</f>
        <v/>
      </c>
      <c r="Y74" s="95" t="str">
        <f>IF(Results!$W74&lt;&gt;"",Results!$W74,IF(X74&lt;&gt;"",(H74-X74),""))</f>
        <v/>
      </c>
      <c r="Z74" s="95" t="str">
        <f t="shared" si="3"/>
        <v/>
      </c>
      <c r="AA74" s="89" t="str">
        <f>IF(Results!$U74="","",IF(U74&lt;&gt;"",U74,0)/SUM(Results!$U$7:$U$189))</f>
        <v/>
      </c>
      <c r="AB74" s="8"/>
      <c r="AC74" s="8"/>
      <c r="AD74" s="8"/>
      <c r="AE74" s="8"/>
      <c r="AF74" s="8"/>
      <c r="AG74" s="8"/>
      <c r="AH74" s="8"/>
      <c r="AI74" s="8"/>
      <c r="AJ74" s="8"/>
      <c r="AK74" s="8"/>
      <c r="AL74" s="8"/>
      <c r="AM74" s="8"/>
      <c r="AN74" s="8"/>
      <c r="AO74" s="8"/>
      <c r="AP74" s="8"/>
      <c r="AQ74" s="8"/>
      <c r="AR74" s="8"/>
      <c r="AS74" s="8"/>
      <c r="AT74" s="8"/>
    </row>
    <row r="75" spans="1:46" x14ac:dyDescent="0.2">
      <c r="A75" s="55" t="str">
        <f>IF(B75&lt;&gt;"",COUNTA($B$7:B75),"")</f>
        <v/>
      </c>
      <c r="B75" s="83"/>
      <c r="C75" s="83"/>
      <c r="D75" s="83" t="str">
        <f>IF(Table13[[#This Row],[Energy Source]]="","",Table13[[#This Row],[Energy Source]])</f>
        <v/>
      </c>
      <c r="E75" s="83" t="str">
        <f>IF(Table13[[#This Row],[Units]]="", "", Table13[[#This Row],[Units]])</f>
        <v/>
      </c>
      <c r="F75" s="83" t="str">
        <f>IF(Table13[[#This Row],[Annual Consumption (Baseline)]]="", "", Table13[[#This Row],[Annual Consumption (Baseline)]])</f>
        <v/>
      </c>
      <c r="G75" s="83" t="str">
        <f>IF(F75="", "", IF(Results!$C75="Energy", VLOOKUP(Results!$E75,'Emission Inputs (Optional)'!$T$10:$U$27,2,FALSE)*Table13[[#This Row],[Energy Savings]], ""))</f>
        <v/>
      </c>
      <c r="H75" s="13" t="str">
        <f>IFERROR(VLOOKUP(B75,'Emission Inputs (Optional)'!$G$9:$I$191,3,FALSE),"")</f>
        <v/>
      </c>
      <c r="I75" s="13" t="str">
        <f>IF(Results!$C75="Energy", VLOOKUP(Results!$E75,'Emission Inputs (Optional)'!$T$10:$U$27,2,FALSE)*Results!$F75, "")</f>
        <v/>
      </c>
      <c r="J75" s="13" t="str">
        <f>IF(Results!$I75&lt;&gt;"",Results!$I75*0.293071,"")</f>
        <v/>
      </c>
      <c r="K75" s="84" t="str">
        <f>IF(Results!$I75&lt;&gt;"",Results!$I75/SUM($I$7:$I$189),"")</f>
        <v/>
      </c>
      <c r="L75" s="13" t="str">
        <f>IF(Results!$F75&lt;&gt;"",I75-G75,"")</f>
        <v/>
      </c>
      <c r="M75" s="13" t="str">
        <f>IF(Results!$L75&lt;&gt;"",Results!$L75*0.293071,"")</f>
        <v/>
      </c>
      <c r="N75" s="84" t="str">
        <f>IF(Results!$M75&lt;&gt;"",Results!$M75/SUM($M$7:$M$189),"")</f>
        <v/>
      </c>
      <c r="O75" s="85" t="str">
        <f>IF(Results!$C75="Energy", VLOOKUP(Results!$D75,'Energy Costs Inputs (Optional)'!$AS$3:$AU$20,2,FALSE)*Results!$I75, "")</f>
        <v/>
      </c>
      <c r="P75" s="84" t="str">
        <f>IF(Results!$O75&lt;&gt;"",Results!$O75/SUM($O$7:$O$189),"")</f>
        <v/>
      </c>
      <c r="Q75" s="85" t="str">
        <f>IF(Results!$C75="Energy", VLOOKUP(Results!$D75,'Energy Costs Inputs (Optional)'!$AS$3:$AU$20,2,FALSE)*Results!$L75, "")</f>
        <v/>
      </c>
      <c r="R75" s="84" t="str">
        <f>IF(Results!$Q75&lt;&gt;"",Results!$Q75/SUM($Q$7:$Q$189),"")</f>
        <v/>
      </c>
      <c r="S75" s="85" t="str">
        <f t="shared" si="2"/>
        <v/>
      </c>
      <c r="T75" s="13" t="str">
        <f>IF(Results!$I75&lt;&gt;"",(HLOOKUP(Table13[[#This Row],[Units]],'Emission Inputs (Optional)'!$L$10:$R$27,MATCH(Table13[[#This Row],[Energy Source]],'Emission Inputs (Optional)'!$L$10:$L$27,0),FALSE))*Table13[[#This Row],[Annual Consumption (Baseline)]],"")</f>
        <v/>
      </c>
      <c r="U75" s="13" t="str">
        <f>IF(Results!$T75&lt;&gt;"",Results!$T75,H75)</f>
        <v/>
      </c>
      <c r="V75" s="84" t="str">
        <f>IF(Results!$U75="","",IF(U75&lt;&gt;"",U75,0)/SUM(Results!$U$7:$U$189))</f>
        <v/>
      </c>
      <c r="W75" s="101" t="str">
        <f>IF(Results!$I75&lt;&gt;"",(HLOOKUP(Table13[[#This Row],[Units]],'Emission Inputs (Optional)'!$L$10:$R$27,MATCH(Table13[[#This Row],[Energy Source]],'Emission Inputs (Optional)'!$L$10:$L$27,0),FALSE))*(Table13[[#This Row],[Annual Consumption (Baseline)]]-Table13[[#This Row],[Energy Savings]]),"")</f>
        <v/>
      </c>
      <c r="X75" s="13" t="str">
        <f>IFERROR(VLOOKUP(B75,'Emission Inputs (Optional)'!$G$9:$J$191,4,FALSE),"")</f>
        <v/>
      </c>
      <c r="Y75" s="95" t="str">
        <f>IF(Results!$W75&lt;&gt;"",Results!$W75,IF(X75&lt;&gt;"",(H75-X75),""))</f>
        <v/>
      </c>
      <c r="Z75" s="95" t="str">
        <f t="shared" si="3"/>
        <v/>
      </c>
      <c r="AA75" s="89" t="str">
        <f>IF(Results!$U75="","",IF(U75&lt;&gt;"",U75,0)/SUM(Results!$U$7:$U$189))</f>
        <v/>
      </c>
      <c r="AB75" s="8"/>
      <c r="AC75" s="8"/>
      <c r="AD75" s="8"/>
      <c r="AE75" s="8"/>
      <c r="AF75" s="8"/>
      <c r="AG75" s="8"/>
      <c r="AH75" s="8"/>
      <c r="AI75" s="8"/>
      <c r="AJ75" s="8"/>
      <c r="AK75" s="8"/>
      <c r="AL75" s="8"/>
      <c r="AM75" s="8"/>
      <c r="AN75" s="8"/>
      <c r="AO75" s="8"/>
      <c r="AP75" s="8"/>
      <c r="AQ75" s="8"/>
      <c r="AR75" s="8"/>
      <c r="AS75" s="8"/>
      <c r="AT75" s="8"/>
    </row>
    <row r="76" spans="1:46" x14ac:dyDescent="0.2">
      <c r="A76" s="55" t="str">
        <f>IF(B76&lt;&gt;"",COUNTA($B$7:B76),"")</f>
        <v/>
      </c>
      <c r="B76" s="83"/>
      <c r="C76" s="83"/>
      <c r="D76" s="83" t="str">
        <f>IF(Table13[[#This Row],[Energy Source]]="","",Table13[[#This Row],[Energy Source]])</f>
        <v/>
      </c>
      <c r="E76" s="83" t="str">
        <f>IF(Table13[[#This Row],[Units]]="", "", Table13[[#This Row],[Units]])</f>
        <v/>
      </c>
      <c r="F76" s="83" t="str">
        <f>IF(Table13[[#This Row],[Annual Consumption (Baseline)]]="", "", Table13[[#This Row],[Annual Consumption (Baseline)]])</f>
        <v/>
      </c>
      <c r="G76" s="83" t="str">
        <f>IF(F76="", "", IF(Results!$C76="Energy", VLOOKUP(Results!$E76,'Emission Inputs (Optional)'!$T$10:$U$27,2,FALSE)*Table13[[#This Row],[Energy Savings]], ""))</f>
        <v/>
      </c>
      <c r="H76" s="13" t="str">
        <f>IFERROR(VLOOKUP(B76,'Emission Inputs (Optional)'!$G$9:$I$191,3,FALSE),"")</f>
        <v/>
      </c>
      <c r="I76" s="13" t="str">
        <f>IF(Results!$C76="Energy", VLOOKUP(Results!$E76,'Emission Inputs (Optional)'!$T$10:$U$27,2,FALSE)*Results!$F76, "")</f>
        <v/>
      </c>
      <c r="J76" s="13" t="str">
        <f>IF(Results!$I76&lt;&gt;"",Results!$I76*0.293071,"")</f>
        <v/>
      </c>
      <c r="K76" s="84" t="str">
        <f>IF(Results!$I76&lt;&gt;"",Results!$I76/SUM($I$7:$I$189),"")</f>
        <v/>
      </c>
      <c r="L76" s="13" t="str">
        <f>IF(Results!$F76&lt;&gt;"",I76-G76,"")</f>
        <v/>
      </c>
      <c r="M76" s="13" t="str">
        <f>IF(Results!$L76&lt;&gt;"",Results!$L76*0.293071,"")</f>
        <v/>
      </c>
      <c r="N76" s="84" t="str">
        <f>IF(Results!$M76&lt;&gt;"",Results!$M76/SUM($M$7:$M$189),"")</f>
        <v/>
      </c>
      <c r="O76" s="85" t="str">
        <f>IF(Results!$C76="Energy", VLOOKUP(Results!$D76,'Energy Costs Inputs (Optional)'!$AS$3:$AU$20,2,FALSE)*Results!$I76, "")</f>
        <v/>
      </c>
      <c r="P76" s="84" t="str">
        <f>IF(Results!$O76&lt;&gt;"",Results!$O76/SUM($O$7:$O$189),"")</f>
        <v/>
      </c>
      <c r="Q76" s="85" t="str">
        <f>IF(Results!$C76="Energy", VLOOKUP(Results!$D76,'Energy Costs Inputs (Optional)'!$AS$3:$AU$20,2,FALSE)*Results!$L76, "")</f>
        <v/>
      </c>
      <c r="R76" s="84" t="str">
        <f>IF(Results!$Q76&lt;&gt;"",Results!$Q76/SUM($Q$7:$Q$189),"")</f>
        <v/>
      </c>
      <c r="S76" s="85" t="str">
        <f t="shared" si="2"/>
        <v/>
      </c>
      <c r="T76" s="13" t="str">
        <f>IF(Results!$I76&lt;&gt;"",(HLOOKUP(Table13[[#This Row],[Units]],'Emission Inputs (Optional)'!$L$10:$R$27,MATCH(Table13[[#This Row],[Energy Source]],'Emission Inputs (Optional)'!$L$10:$L$27,0),FALSE))*Table13[[#This Row],[Annual Consumption (Baseline)]],"")</f>
        <v/>
      </c>
      <c r="U76" s="13" t="str">
        <f>IF(Results!$T76&lt;&gt;"",Results!$T76,H76)</f>
        <v/>
      </c>
      <c r="V76" s="84" t="str">
        <f>IF(Results!$U76="","",IF(U76&lt;&gt;"",U76,0)/SUM(Results!$U$7:$U$189))</f>
        <v/>
      </c>
      <c r="W76" s="101" t="str">
        <f>IF(Results!$I76&lt;&gt;"",(HLOOKUP(Table13[[#This Row],[Units]],'Emission Inputs (Optional)'!$L$10:$R$27,MATCH(Table13[[#This Row],[Energy Source]],'Emission Inputs (Optional)'!$L$10:$L$27,0),FALSE))*(Table13[[#This Row],[Annual Consumption (Baseline)]]-Table13[[#This Row],[Energy Savings]]),"")</f>
        <v/>
      </c>
      <c r="X76" s="13" t="str">
        <f>IFERROR(VLOOKUP(B76,'Emission Inputs (Optional)'!$G$9:$J$191,4,FALSE),"")</f>
        <v/>
      </c>
      <c r="Y76" s="95" t="str">
        <f>IF(Results!$W76&lt;&gt;"",Results!$W76,IF(X76&lt;&gt;"",(H76-X76),""))</f>
        <v/>
      </c>
      <c r="Z76" s="95" t="str">
        <f t="shared" si="3"/>
        <v/>
      </c>
      <c r="AA76" s="89" t="str">
        <f>IF(Results!$U76="","",IF(U76&lt;&gt;"",U76,0)/SUM(Results!$U$7:$U$189))</f>
        <v/>
      </c>
      <c r="AB76" s="8"/>
      <c r="AC76" s="8"/>
      <c r="AD76" s="8"/>
      <c r="AE76" s="8"/>
      <c r="AF76" s="8"/>
      <c r="AG76" s="8"/>
      <c r="AH76" s="8"/>
      <c r="AI76" s="8"/>
      <c r="AJ76" s="8"/>
      <c r="AK76" s="8"/>
      <c r="AL76" s="8"/>
      <c r="AM76" s="8"/>
      <c r="AN76" s="8"/>
      <c r="AO76" s="8"/>
      <c r="AP76" s="8"/>
      <c r="AQ76" s="8"/>
      <c r="AR76" s="8"/>
      <c r="AS76" s="8"/>
      <c r="AT76" s="8"/>
    </row>
    <row r="77" spans="1:46" x14ac:dyDescent="0.2">
      <c r="A77" s="55" t="str">
        <f>IF(B77&lt;&gt;"",COUNTA($B$7:B77),"")</f>
        <v/>
      </c>
      <c r="B77" s="83"/>
      <c r="C77" s="83"/>
      <c r="D77" s="83" t="str">
        <f>IF(Table13[[#This Row],[Energy Source]]="","",Table13[[#This Row],[Energy Source]])</f>
        <v/>
      </c>
      <c r="E77" s="83" t="str">
        <f>IF(Table13[[#This Row],[Units]]="", "", Table13[[#This Row],[Units]])</f>
        <v/>
      </c>
      <c r="F77" s="83" t="str">
        <f>IF(Table13[[#This Row],[Annual Consumption (Baseline)]]="", "", Table13[[#This Row],[Annual Consumption (Baseline)]])</f>
        <v/>
      </c>
      <c r="G77" s="83" t="str">
        <f>IF(F77="", "", IF(Results!$C77="Energy", VLOOKUP(Results!$E77,'Emission Inputs (Optional)'!$T$10:$U$27,2,FALSE)*Table13[[#This Row],[Energy Savings]], ""))</f>
        <v/>
      </c>
      <c r="H77" s="13" t="str">
        <f>IFERROR(VLOOKUP(B77,'Emission Inputs (Optional)'!$G$9:$I$191,3,FALSE),"")</f>
        <v/>
      </c>
      <c r="I77" s="13" t="str">
        <f>IF(Results!$C77="Energy", VLOOKUP(Results!$E77,'Emission Inputs (Optional)'!$T$10:$U$27,2,FALSE)*Results!$F77, "")</f>
        <v/>
      </c>
      <c r="J77" s="13" t="str">
        <f>IF(Results!$I77&lt;&gt;"",Results!$I77*0.293071,"")</f>
        <v/>
      </c>
      <c r="K77" s="84" t="str">
        <f>IF(Results!$I77&lt;&gt;"",Results!$I77/SUM($I$7:$I$189),"")</f>
        <v/>
      </c>
      <c r="L77" s="13" t="str">
        <f>IF(Results!$F77&lt;&gt;"",I77-G77,"")</f>
        <v/>
      </c>
      <c r="M77" s="13" t="str">
        <f>IF(Results!$L77&lt;&gt;"",Results!$L77*0.293071,"")</f>
        <v/>
      </c>
      <c r="N77" s="84" t="str">
        <f>IF(Results!$M77&lt;&gt;"",Results!$M77/SUM($M$7:$M$189),"")</f>
        <v/>
      </c>
      <c r="O77" s="85" t="str">
        <f>IF(Results!$C77="Energy", VLOOKUP(Results!$D77,'Energy Costs Inputs (Optional)'!$AS$3:$AU$20,2,FALSE)*Results!$I77, "")</f>
        <v/>
      </c>
      <c r="P77" s="84" t="str">
        <f>IF(Results!$O77&lt;&gt;"",Results!$O77/SUM($O$7:$O$189),"")</f>
        <v/>
      </c>
      <c r="Q77" s="85" t="str">
        <f>IF(Results!$C77="Energy", VLOOKUP(Results!$D77,'Energy Costs Inputs (Optional)'!$AS$3:$AU$20,2,FALSE)*Results!$L77, "")</f>
        <v/>
      </c>
      <c r="R77" s="84" t="str">
        <f>IF(Results!$Q77&lt;&gt;"",Results!$Q77/SUM($Q$7:$Q$189),"")</f>
        <v/>
      </c>
      <c r="S77" s="85" t="str">
        <f t="shared" si="2"/>
        <v/>
      </c>
      <c r="T77" s="13" t="str">
        <f>IF(Results!$I77&lt;&gt;"",(HLOOKUP(Table13[[#This Row],[Units]],'Emission Inputs (Optional)'!$L$10:$R$27,MATCH(Table13[[#This Row],[Energy Source]],'Emission Inputs (Optional)'!$L$10:$L$27,0),FALSE))*Table13[[#This Row],[Annual Consumption (Baseline)]],"")</f>
        <v/>
      </c>
      <c r="U77" s="13" t="str">
        <f>IF(Results!$T77&lt;&gt;"",Results!$T77,H77)</f>
        <v/>
      </c>
      <c r="V77" s="84" t="str">
        <f>IF(Results!$U77="","",IF(U77&lt;&gt;"",U77,0)/SUM(Results!$U$7:$U$189))</f>
        <v/>
      </c>
      <c r="W77" s="101" t="str">
        <f>IF(Results!$I77&lt;&gt;"",(HLOOKUP(Table13[[#This Row],[Units]],'Emission Inputs (Optional)'!$L$10:$R$27,MATCH(Table13[[#This Row],[Energy Source]],'Emission Inputs (Optional)'!$L$10:$L$27,0),FALSE))*(Table13[[#This Row],[Annual Consumption (Baseline)]]-Table13[[#This Row],[Energy Savings]]),"")</f>
        <v/>
      </c>
      <c r="X77" s="13" t="str">
        <f>IFERROR(VLOOKUP(B77,'Emission Inputs (Optional)'!$G$9:$J$191,4,FALSE),"")</f>
        <v/>
      </c>
      <c r="Y77" s="95" t="str">
        <f>IF(Results!$W77&lt;&gt;"",Results!$W77,IF(X77&lt;&gt;"",(H77-X77),""))</f>
        <v/>
      </c>
      <c r="Z77" s="95" t="str">
        <f t="shared" si="3"/>
        <v/>
      </c>
      <c r="AA77" s="89" t="str">
        <f>IF(Results!$U77="","",IF(U77&lt;&gt;"",U77,0)/SUM(Results!$U$7:$U$189))</f>
        <v/>
      </c>
      <c r="AB77" s="8"/>
      <c r="AC77" s="8"/>
      <c r="AD77" s="8"/>
      <c r="AE77" s="8"/>
      <c r="AF77" s="8"/>
      <c r="AG77" s="8"/>
      <c r="AH77" s="8"/>
      <c r="AI77" s="8"/>
      <c r="AJ77" s="8"/>
      <c r="AK77" s="8"/>
      <c r="AL77" s="8"/>
      <c r="AM77" s="8"/>
      <c r="AN77" s="8"/>
      <c r="AO77" s="8"/>
      <c r="AP77" s="8"/>
      <c r="AQ77" s="8"/>
      <c r="AR77" s="8"/>
      <c r="AS77" s="8"/>
      <c r="AT77" s="8"/>
    </row>
    <row r="78" spans="1:46" x14ac:dyDescent="0.2">
      <c r="A78" s="55" t="str">
        <f>IF(B78&lt;&gt;"",COUNTA($B$7:B78),"")</f>
        <v/>
      </c>
      <c r="B78" s="83"/>
      <c r="C78" s="83"/>
      <c r="D78" s="83" t="str">
        <f>IF(Table13[[#This Row],[Energy Source]]="","",Table13[[#This Row],[Energy Source]])</f>
        <v/>
      </c>
      <c r="E78" s="83" t="str">
        <f>IF(Table13[[#This Row],[Units]]="", "", Table13[[#This Row],[Units]])</f>
        <v/>
      </c>
      <c r="F78" s="83" t="str">
        <f>IF(Table13[[#This Row],[Annual Consumption (Baseline)]]="", "", Table13[[#This Row],[Annual Consumption (Baseline)]])</f>
        <v/>
      </c>
      <c r="G78" s="83" t="str">
        <f>IF(F78="", "", IF(Results!$C78="Energy", VLOOKUP(Results!$E78,'Emission Inputs (Optional)'!$T$10:$U$27,2,FALSE)*Table13[[#This Row],[Energy Savings]], ""))</f>
        <v/>
      </c>
      <c r="H78" s="13" t="str">
        <f>IFERROR(VLOOKUP(B78,'Emission Inputs (Optional)'!$G$9:$I$191,3,FALSE),"")</f>
        <v/>
      </c>
      <c r="I78" s="13" t="str">
        <f>IF(Results!$C78="Energy", VLOOKUP(Results!$E78,'Emission Inputs (Optional)'!$T$10:$U$27,2,FALSE)*Results!$F78, "")</f>
        <v/>
      </c>
      <c r="J78" s="13" t="str">
        <f>IF(Results!$I78&lt;&gt;"",Results!$I78*0.293071,"")</f>
        <v/>
      </c>
      <c r="K78" s="84" t="str">
        <f>IF(Results!$I78&lt;&gt;"",Results!$I78/SUM($I$7:$I$189),"")</f>
        <v/>
      </c>
      <c r="L78" s="13" t="str">
        <f>IF(Results!$F78&lt;&gt;"",I78-G78,"")</f>
        <v/>
      </c>
      <c r="M78" s="13" t="str">
        <f>IF(Results!$L78&lt;&gt;"",Results!$L78*0.293071,"")</f>
        <v/>
      </c>
      <c r="N78" s="84" t="str">
        <f>IF(Results!$M78&lt;&gt;"",Results!$M78/SUM($M$7:$M$189),"")</f>
        <v/>
      </c>
      <c r="O78" s="85" t="str">
        <f>IF(Results!$C78="Energy", VLOOKUP(Results!$D78,'Energy Costs Inputs (Optional)'!$AS$3:$AU$20,2,FALSE)*Results!$I78, "")</f>
        <v/>
      </c>
      <c r="P78" s="84" t="str">
        <f>IF(Results!$O78&lt;&gt;"",Results!$O78/SUM($O$7:$O$189),"")</f>
        <v/>
      </c>
      <c r="Q78" s="85" t="str">
        <f>IF(Results!$C78="Energy", VLOOKUP(Results!$D78,'Energy Costs Inputs (Optional)'!$AS$3:$AU$20,2,FALSE)*Results!$L78, "")</f>
        <v/>
      </c>
      <c r="R78" s="84" t="str">
        <f>IF(Results!$Q78&lt;&gt;"",Results!$Q78/SUM($Q$7:$Q$189),"")</f>
        <v/>
      </c>
      <c r="S78" s="85" t="str">
        <f t="shared" si="2"/>
        <v/>
      </c>
      <c r="T78" s="13" t="str">
        <f>IF(Results!$I78&lt;&gt;"",(HLOOKUP(Table13[[#This Row],[Units]],'Emission Inputs (Optional)'!$L$10:$R$27,MATCH(Table13[[#This Row],[Energy Source]],'Emission Inputs (Optional)'!$L$10:$L$27,0),FALSE))*Table13[[#This Row],[Annual Consumption (Baseline)]],"")</f>
        <v/>
      </c>
      <c r="U78" s="13" t="str">
        <f>IF(Results!$T78&lt;&gt;"",Results!$T78,H78)</f>
        <v/>
      </c>
      <c r="V78" s="84" t="str">
        <f>IF(Results!$U78="","",IF(U78&lt;&gt;"",U78,0)/SUM(Results!$U$7:$U$189))</f>
        <v/>
      </c>
      <c r="W78" s="101" t="str">
        <f>IF(Results!$I78&lt;&gt;"",(HLOOKUP(Table13[[#This Row],[Units]],'Emission Inputs (Optional)'!$L$10:$R$27,MATCH(Table13[[#This Row],[Energy Source]],'Emission Inputs (Optional)'!$L$10:$L$27,0),FALSE))*(Table13[[#This Row],[Annual Consumption (Baseline)]]-Table13[[#This Row],[Energy Savings]]),"")</f>
        <v/>
      </c>
      <c r="X78" s="13" t="str">
        <f>IFERROR(VLOOKUP(B78,'Emission Inputs (Optional)'!$G$9:$J$191,4,FALSE),"")</f>
        <v/>
      </c>
      <c r="Y78" s="95" t="str">
        <f>IF(Results!$W78&lt;&gt;"",Results!$W78,IF(X78&lt;&gt;"",(H78-X78),""))</f>
        <v/>
      </c>
      <c r="Z78" s="95" t="str">
        <f t="shared" si="3"/>
        <v/>
      </c>
      <c r="AA78" s="89" t="str">
        <f>IF(Results!$U78="","",IF(U78&lt;&gt;"",U78,0)/SUM(Results!$U$7:$U$189))</f>
        <v/>
      </c>
      <c r="AB78" s="8"/>
      <c r="AC78" s="8"/>
      <c r="AD78" s="8"/>
      <c r="AE78" s="8"/>
      <c r="AF78" s="8"/>
      <c r="AG78" s="8"/>
      <c r="AH78" s="8"/>
      <c r="AI78" s="8"/>
      <c r="AJ78" s="8"/>
      <c r="AK78" s="8"/>
      <c r="AL78" s="8"/>
      <c r="AM78" s="8"/>
      <c r="AN78" s="8"/>
      <c r="AO78" s="8"/>
      <c r="AP78" s="8"/>
      <c r="AQ78" s="8"/>
      <c r="AR78" s="8"/>
      <c r="AS78" s="8"/>
      <c r="AT78" s="8"/>
    </row>
    <row r="79" spans="1:46" x14ac:dyDescent="0.2">
      <c r="A79" s="55" t="str">
        <f>IF(B79&lt;&gt;"",COUNTA($B$7:B79),"")</f>
        <v/>
      </c>
      <c r="B79" s="83"/>
      <c r="C79" s="83"/>
      <c r="D79" s="83" t="str">
        <f>IF(Table13[[#This Row],[Energy Source]]="","",Table13[[#This Row],[Energy Source]])</f>
        <v/>
      </c>
      <c r="E79" s="83" t="str">
        <f>IF(Table13[[#This Row],[Units]]="", "", Table13[[#This Row],[Units]])</f>
        <v/>
      </c>
      <c r="F79" s="83" t="str">
        <f>IF(Table13[[#This Row],[Annual Consumption (Baseline)]]="", "", Table13[[#This Row],[Annual Consumption (Baseline)]])</f>
        <v/>
      </c>
      <c r="G79" s="83" t="str">
        <f>IF(F79="", "", IF(Results!$C79="Energy", VLOOKUP(Results!$E79,'Emission Inputs (Optional)'!$T$10:$U$27,2,FALSE)*Table13[[#This Row],[Energy Savings]], ""))</f>
        <v/>
      </c>
      <c r="H79" s="13" t="str">
        <f>IFERROR(VLOOKUP(B79,'Emission Inputs (Optional)'!$G$9:$I$191,3,FALSE),"")</f>
        <v/>
      </c>
      <c r="I79" s="13" t="str">
        <f>IF(Results!$C79="Energy", VLOOKUP(Results!$E79,'Emission Inputs (Optional)'!$T$10:$U$27,2,FALSE)*Results!$F79, "")</f>
        <v/>
      </c>
      <c r="J79" s="13" t="str">
        <f>IF(Results!$I79&lt;&gt;"",Results!$I79*0.293071,"")</f>
        <v/>
      </c>
      <c r="K79" s="84" t="str">
        <f>IF(Results!$I79&lt;&gt;"",Results!$I79/SUM($I$7:$I$189),"")</f>
        <v/>
      </c>
      <c r="L79" s="13" t="str">
        <f>IF(Results!$F79&lt;&gt;"",I79-G79,"")</f>
        <v/>
      </c>
      <c r="M79" s="13" t="str">
        <f>IF(Results!$L79&lt;&gt;"",Results!$L79*0.293071,"")</f>
        <v/>
      </c>
      <c r="N79" s="84" t="str">
        <f>IF(Results!$M79&lt;&gt;"",Results!$M79/SUM($M$7:$M$189),"")</f>
        <v/>
      </c>
      <c r="O79" s="85" t="str">
        <f>IF(Results!$C79="Energy", VLOOKUP(Results!$D79,'Energy Costs Inputs (Optional)'!$AS$3:$AU$20,2,FALSE)*Results!$I79, "")</f>
        <v/>
      </c>
      <c r="P79" s="84" t="str">
        <f>IF(Results!$O79&lt;&gt;"",Results!$O79/SUM($O$7:$O$189),"")</f>
        <v/>
      </c>
      <c r="Q79" s="85" t="str">
        <f>IF(Results!$C79="Energy", VLOOKUP(Results!$D79,'Energy Costs Inputs (Optional)'!$AS$3:$AU$20,2,FALSE)*Results!$L79, "")</f>
        <v/>
      </c>
      <c r="R79" s="84" t="str">
        <f>IF(Results!$Q79&lt;&gt;"",Results!$Q79/SUM($Q$7:$Q$189),"")</f>
        <v/>
      </c>
      <c r="S79" s="85" t="str">
        <f t="shared" si="2"/>
        <v/>
      </c>
      <c r="T79" s="13" t="str">
        <f>IF(Results!$I79&lt;&gt;"",(HLOOKUP(Table13[[#This Row],[Units]],'Emission Inputs (Optional)'!$L$10:$R$27,MATCH(Table13[[#This Row],[Energy Source]],'Emission Inputs (Optional)'!$L$10:$L$27,0),FALSE))*Table13[[#This Row],[Annual Consumption (Baseline)]],"")</f>
        <v/>
      </c>
      <c r="U79" s="13" t="str">
        <f>IF(Results!$T79&lt;&gt;"",Results!$T79,H79)</f>
        <v/>
      </c>
      <c r="V79" s="84" t="str">
        <f>IF(Results!$U79="","",IF(U79&lt;&gt;"",U79,0)/SUM(Results!$U$7:$U$189))</f>
        <v/>
      </c>
      <c r="W79" s="101" t="str">
        <f>IF(Results!$I79&lt;&gt;"",(HLOOKUP(Table13[[#This Row],[Units]],'Emission Inputs (Optional)'!$L$10:$R$27,MATCH(Table13[[#This Row],[Energy Source]],'Emission Inputs (Optional)'!$L$10:$L$27,0),FALSE))*(Table13[[#This Row],[Annual Consumption (Baseline)]]-Table13[[#This Row],[Energy Savings]]),"")</f>
        <v/>
      </c>
      <c r="X79" s="13" t="str">
        <f>IFERROR(VLOOKUP(B79,'Emission Inputs (Optional)'!$G$9:$J$191,4,FALSE),"")</f>
        <v/>
      </c>
      <c r="Y79" s="95" t="str">
        <f>IF(Results!$W79&lt;&gt;"",Results!$W79,IF(X79&lt;&gt;"",(H79-X79),""))</f>
        <v/>
      </c>
      <c r="Z79" s="95" t="str">
        <f t="shared" si="3"/>
        <v/>
      </c>
      <c r="AA79" s="89" t="str">
        <f>IF(Results!$U79="","",IF(U79&lt;&gt;"",U79,0)/SUM(Results!$U$7:$U$189))</f>
        <v/>
      </c>
      <c r="AB79" s="8"/>
      <c r="AC79" s="8"/>
      <c r="AD79" s="8"/>
      <c r="AE79" s="8"/>
      <c r="AF79" s="8"/>
      <c r="AG79" s="8"/>
      <c r="AH79" s="8"/>
      <c r="AI79" s="8"/>
      <c r="AJ79" s="8"/>
      <c r="AK79" s="8"/>
      <c r="AL79" s="8"/>
      <c r="AM79" s="8"/>
      <c r="AN79" s="8"/>
      <c r="AO79" s="8"/>
      <c r="AP79" s="8"/>
      <c r="AQ79" s="8"/>
      <c r="AR79" s="8"/>
      <c r="AS79" s="8"/>
      <c r="AT79" s="8"/>
    </row>
    <row r="80" spans="1:46" x14ac:dyDescent="0.2">
      <c r="A80" s="55" t="str">
        <f>IF(B80&lt;&gt;"",COUNTA($B$7:B80),"")</f>
        <v/>
      </c>
      <c r="B80" s="83"/>
      <c r="C80" s="83"/>
      <c r="D80" s="83" t="str">
        <f>IF(Table13[[#This Row],[Energy Source]]="","",Table13[[#This Row],[Energy Source]])</f>
        <v/>
      </c>
      <c r="E80" s="83" t="str">
        <f>IF(Table13[[#This Row],[Units]]="", "", Table13[[#This Row],[Units]])</f>
        <v/>
      </c>
      <c r="F80" s="83" t="str">
        <f>IF(Table13[[#This Row],[Annual Consumption (Baseline)]]="", "", Table13[[#This Row],[Annual Consumption (Baseline)]])</f>
        <v/>
      </c>
      <c r="G80" s="83" t="str">
        <f>IF(F80="", "", IF(Results!$C80="Energy", VLOOKUP(Results!$E80,'Emission Inputs (Optional)'!$T$10:$U$27,2,FALSE)*Table13[[#This Row],[Energy Savings]], ""))</f>
        <v/>
      </c>
      <c r="H80" s="13" t="str">
        <f>IFERROR(VLOOKUP(B80,'Emission Inputs (Optional)'!$G$9:$I$191,3,FALSE),"")</f>
        <v/>
      </c>
      <c r="I80" s="13" t="str">
        <f>IF(Results!$C80="Energy", VLOOKUP(Results!$E80,'Emission Inputs (Optional)'!$T$10:$U$27,2,FALSE)*Results!$F80, "")</f>
        <v/>
      </c>
      <c r="J80" s="13" t="str">
        <f>IF(Results!$I80&lt;&gt;"",Results!$I80*0.293071,"")</f>
        <v/>
      </c>
      <c r="K80" s="84" t="str">
        <f>IF(Results!$I80&lt;&gt;"",Results!$I80/SUM($I$7:$I$189),"")</f>
        <v/>
      </c>
      <c r="L80" s="13" t="str">
        <f>IF(Results!$F80&lt;&gt;"",I80-G80,"")</f>
        <v/>
      </c>
      <c r="M80" s="13" t="str">
        <f>IF(Results!$L80&lt;&gt;"",Results!$L80*0.293071,"")</f>
        <v/>
      </c>
      <c r="N80" s="84" t="str">
        <f>IF(Results!$M80&lt;&gt;"",Results!$M80/SUM($M$7:$M$189),"")</f>
        <v/>
      </c>
      <c r="O80" s="85" t="str">
        <f>IF(Results!$C80="Energy", VLOOKUP(Results!$D80,'Energy Costs Inputs (Optional)'!$AS$3:$AU$20,2,FALSE)*Results!$I80, "")</f>
        <v/>
      </c>
      <c r="P80" s="84" t="str">
        <f>IF(Results!$O80&lt;&gt;"",Results!$O80/SUM($O$7:$O$189),"")</f>
        <v/>
      </c>
      <c r="Q80" s="85" t="str">
        <f>IF(Results!$C80="Energy", VLOOKUP(Results!$D80,'Energy Costs Inputs (Optional)'!$AS$3:$AU$20,2,FALSE)*Results!$L80, "")</f>
        <v/>
      </c>
      <c r="R80" s="84" t="str">
        <f>IF(Results!$Q80&lt;&gt;"",Results!$Q80/SUM($Q$7:$Q$189),"")</f>
        <v/>
      </c>
      <c r="S80" s="85" t="str">
        <f t="shared" si="2"/>
        <v/>
      </c>
      <c r="T80" s="13" t="str">
        <f>IF(Results!$I80&lt;&gt;"",(HLOOKUP(Table13[[#This Row],[Units]],'Emission Inputs (Optional)'!$L$10:$R$27,MATCH(Table13[[#This Row],[Energy Source]],'Emission Inputs (Optional)'!$L$10:$L$27,0),FALSE))*Table13[[#This Row],[Annual Consumption (Baseline)]],"")</f>
        <v/>
      </c>
      <c r="U80" s="13" t="str">
        <f>IF(Results!$T80&lt;&gt;"",Results!$T80,H80)</f>
        <v/>
      </c>
      <c r="V80" s="84" t="str">
        <f>IF(Results!$U80="","",IF(U80&lt;&gt;"",U80,0)/SUM(Results!$U$7:$U$189))</f>
        <v/>
      </c>
      <c r="W80" s="101" t="str">
        <f>IF(Results!$I80&lt;&gt;"",(HLOOKUP(Table13[[#This Row],[Units]],'Emission Inputs (Optional)'!$L$10:$R$27,MATCH(Table13[[#This Row],[Energy Source]],'Emission Inputs (Optional)'!$L$10:$L$27,0),FALSE))*(Table13[[#This Row],[Annual Consumption (Baseline)]]-Table13[[#This Row],[Energy Savings]]),"")</f>
        <v/>
      </c>
      <c r="X80" s="13" t="str">
        <f>IFERROR(VLOOKUP(B80,'Emission Inputs (Optional)'!$G$9:$J$191,4,FALSE),"")</f>
        <v/>
      </c>
      <c r="Y80" s="95" t="str">
        <f>IF(Results!$W80&lt;&gt;"",Results!$W80,IF(X80&lt;&gt;"",(H80-X80),""))</f>
        <v/>
      </c>
      <c r="Z80" s="95" t="str">
        <f t="shared" si="3"/>
        <v/>
      </c>
      <c r="AA80" s="89" t="str">
        <f>IF(Results!$U80="","",IF(U80&lt;&gt;"",U80,0)/SUM(Results!$U$7:$U$189))</f>
        <v/>
      </c>
      <c r="AB80" s="8"/>
      <c r="AC80" s="8"/>
      <c r="AD80" s="8"/>
      <c r="AE80" s="8"/>
      <c r="AF80" s="8"/>
      <c r="AG80" s="8"/>
      <c r="AH80" s="8"/>
      <c r="AI80" s="8"/>
      <c r="AJ80" s="8"/>
      <c r="AK80" s="8"/>
      <c r="AL80" s="8"/>
      <c r="AM80" s="8"/>
      <c r="AN80" s="8"/>
      <c r="AO80" s="8"/>
      <c r="AP80" s="8"/>
      <c r="AQ80" s="8"/>
      <c r="AR80" s="8"/>
      <c r="AS80" s="8"/>
      <c r="AT80" s="8"/>
    </row>
    <row r="81" spans="1:46" x14ac:dyDescent="0.2">
      <c r="A81" s="55" t="str">
        <f>IF(B81&lt;&gt;"",COUNTA($B$7:B81),"")</f>
        <v/>
      </c>
      <c r="B81" s="83"/>
      <c r="C81" s="83"/>
      <c r="D81" s="83" t="str">
        <f>IF(Table13[[#This Row],[Energy Source]]="","",Table13[[#This Row],[Energy Source]])</f>
        <v/>
      </c>
      <c r="E81" s="83" t="str">
        <f>IF(Table13[[#This Row],[Units]]="", "", Table13[[#This Row],[Units]])</f>
        <v/>
      </c>
      <c r="F81" s="83" t="str">
        <f>IF(Table13[[#This Row],[Annual Consumption (Baseline)]]="", "", Table13[[#This Row],[Annual Consumption (Baseline)]])</f>
        <v/>
      </c>
      <c r="G81" s="83" t="str">
        <f>IF(F81="", "", IF(Results!$C81="Energy", VLOOKUP(Results!$E81,'Emission Inputs (Optional)'!$T$10:$U$27,2,FALSE)*Table13[[#This Row],[Energy Savings]], ""))</f>
        <v/>
      </c>
      <c r="H81" s="13" t="str">
        <f>IFERROR(VLOOKUP(B81,'Emission Inputs (Optional)'!$G$9:$I$191,3,FALSE),"")</f>
        <v/>
      </c>
      <c r="I81" s="13" t="str">
        <f>IF(Results!$C81="Energy", VLOOKUP(Results!$E81,'Emission Inputs (Optional)'!$T$10:$U$27,2,FALSE)*Results!$F81, "")</f>
        <v/>
      </c>
      <c r="J81" s="13" t="str">
        <f>IF(Results!$I81&lt;&gt;"",Results!$I81*0.293071,"")</f>
        <v/>
      </c>
      <c r="K81" s="84" t="str">
        <f>IF(Results!$I81&lt;&gt;"",Results!$I81/SUM($I$7:$I$189),"")</f>
        <v/>
      </c>
      <c r="L81" s="13" t="str">
        <f>IF(Results!$F81&lt;&gt;"",I81-G81,"")</f>
        <v/>
      </c>
      <c r="M81" s="13" t="str">
        <f>IF(Results!$L81&lt;&gt;"",Results!$L81*0.293071,"")</f>
        <v/>
      </c>
      <c r="N81" s="84" t="str">
        <f>IF(Results!$M81&lt;&gt;"",Results!$M81/SUM($M$7:$M$189),"")</f>
        <v/>
      </c>
      <c r="O81" s="85" t="str">
        <f>IF(Results!$C81="Energy", VLOOKUP(Results!$D81,'Energy Costs Inputs (Optional)'!$AS$3:$AU$20,2,FALSE)*Results!$I81, "")</f>
        <v/>
      </c>
      <c r="P81" s="84" t="str">
        <f>IF(Results!$O81&lt;&gt;"",Results!$O81/SUM($O$7:$O$189),"")</f>
        <v/>
      </c>
      <c r="Q81" s="85" t="str">
        <f>IF(Results!$C81="Energy", VLOOKUP(Results!$D81,'Energy Costs Inputs (Optional)'!$AS$3:$AU$20,2,FALSE)*Results!$L81, "")</f>
        <v/>
      </c>
      <c r="R81" s="84" t="str">
        <f>IF(Results!$Q81&lt;&gt;"",Results!$Q81/SUM($Q$7:$Q$189),"")</f>
        <v/>
      </c>
      <c r="S81" s="85" t="str">
        <f t="shared" si="2"/>
        <v/>
      </c>
      <c r="T81" s="13" t="str">
        <f>IF(Results!$I81&lt;&gt;"",(HLOOKUP(Table13[[#This Row],[Units]],'Emission Inputs (Optional)'!$L$10:$R$27,MATCH(Table13[[#This Row],[Energy Source]],'Emission Inputs (Optional)'!$L$10:$L$27,0),FALSE))*Table13[[#This Row],[Annual Consumption (Baseline)]],"")</f>
        <v/>
      </c>
      <c r="U81" s="13" t="str">
        <f>IF(Results!$T81&lt;&gt;"",Results!$T81,H81)</f>
        <v/>
      </c>
      <c r="V81" s="84" t="str">
        <f>IF(Results!$U81="","",IF(U81&lt;&gt;"",U81,0)/SUM(Results!$U$7:$U$189))</f>
        <v/>
      </c>
      <c r="W81" s="101" t="str">
        <f>IF(Results!$I81&lt;&gt;"",(HLOOKUP(Table13[[#This Row],[Units]],'Emission Inputs (Optional)'!$L$10:$R$27,MATCH(Table13[[#This Row],[Energy Source]],'Emission Inputs (Optional)'!$L$10:$L$27,0),FALSE))*(Table13[[#This Row],[Annual Consumption (Baseline)]]-Table13[[#This Row],[Energy Savings]]),"")</f>
        <v/>
      </c>
      <c r="X81" s="13" t="str">
        <f>IFERROR(VLOOKUP(B81,'Emission Inputs (Optional)'!$G$9:$J$191,4,FALSE),"")</f>
        <v/>
      </c>
      <c r="Y81" s="95" t="str">
        <f>IF(Results!$W81&lt;&gt;"",Results!$W81,IF(X81&lt;&gt;"",(H81-X81),""))</f>
        <v/>
      </c>
      <c r="Z81" s="95" t="str">
        <f t="shared" si="3"/>
        <v/>
      </c>
      <c r="AA81" s="89" t="str">
        <f>IF(Results!$U81="","",IF(U81&lt;&gt;"",U81,0)/SUM(Results!$U$7:$U$189))</f>
        <v/>
      </c>
      <c r="AB81" s="8"/>
      <c r="AC81" s="8"/>
      <c r="AD81" s="8"/>
      <c r="AE81" s="8"/>
      <c r="AF81" s="8"/>
      <c r="AG81" s="8"/>
      <c r="AH81" s="8"/>
      <c r="AI81" s="8"/>
      <c r="AJ81" s="8"/>
      <c r="AK81" s="8"/>
      <c r="AL81" s="8"/>
      <c r="AM81" s="8"/>
      <c r="AN81" s="8"/>
      <c r="AO81" s="8"/>
      <c r="AP81" s="8"/>
      <c r="AQ81" s="8"/>
      <c r="AR81" s="8"/>
      <c r="AS81" s="8"/>
      <c r="AT81" s="8"/>
    </row>
    <row r="82" spans="1:46" x14ac:dyDescent="0.2">
      <c r="A82" s="55" t="str">
        <f>IF(B82&lt;&gt;"",COUNTA($B$7:B82),"")</f>
        <v/>
      </c>
      <c r="B82" s="83"/>
      <c r="C82" s="83"/>
      <c r="D82" s="83" t="str">
        <f>IF(Table13[[#This Row],[Energy Source]]="","",Table13[[#This Row],[Energy Source]])</f>
        <v/>
      </c>
      <c r="E82" s="83" t="str">
        <f>IF(Table13[[#This Row],[Units]]="", "", Table13[[#This Row],[Units]])</f>
        <v/>
      </c>
      <c r="F82" s="83" t="str">
        <f>IF(Table13[[#This Row],[Annual Consumption (Baseline)]]="", "", Table13[[#This Row],[Annual Consumption (Baseline)]])</f>
        <v/>
      </c>
      <c r="G82" s="83" t="str">
        <f>IF(F82="", "", IF(Results!$C82="Energy", VLOOKUP(Results!$E82,'Emission Inputs (Optional)'!$T$10:$U$27,2,FALSE)*Table13[[#This Row],[Energy Savings]], ""))</f>
        <v/>
      </c>
      <c r="H82" s="13" t="str">
        <f>IFERROR(VLOOKUP(B82,'Emission Inputs (Optional)'!$G$9:$I$191,3,FALSE),"")</f>
        <v/>
      </c>
      <c r="I82" s="13" t="str">
        <f>IF(Results!$C82="Energy", VLOOKUP(Results!$E82,'Emission Inputs (Optional)'!$T$10:$U$27,2,FALSE)*Results!$F82, "")</f>
        <v/>
      </c>
      <c r="J82" s="13" t="str">
        <f>IF(Results!$I82&lt;&gt;"",Results!$I82*0.293071,"")</f>
        <v/>
      </c>
      <c r="K82" s="84" t="str">
        <f>IF(Results!$I82&lt;&gt;"",Results!$I82/SUM($I$7:$I$189),"")</f>
        <v/>
      </c>
      <c r="L82" s="13" t="str">
        <f>IF(Results!$F82&lt;&gt;"",I82-G82,"")</f>
        <v/>
      </c>
      <c r="M82" s="13" t="str">
        <f>IF(Results!$L82&lt;&gt;"",Results!$L82*0.293071,"")</f>
        <v/>
      </c>
      <c r="N82" s="84" t="str">
        <f>IF(Results!$M82&lt;&gt;"",Results!$M82/SUM($M$7:$M$189),"")</f>
        <v/>
      </c>
      <c r="O82" s="85" t="str">
        <f>IF(Results!$C82="Energy", VLOOKUP(Results!$D82,'Energy Costs Inputs (Optional)'!$AS$3:$AU$20,2,FALSE)*Results!$I82, "")</f>
        <v/>
      </c>
      <c r="P82" s="84" t="str">
        <f>IF(Results!$O82&lt;&gt;"",Results!$O82/SUM($O$7:$O$189),"")</f>
        <v/>
      </c>
      <c r="Q82" s="85" t="str">
        <f>IF(Results!$C82="Energy", VLOOKUP(Results!$D82,'Energy Costs Inputs (Optional)'!$AS$3:$AU$20,2,FALSE)*Results!$L82, "")</f>
        <v/>
      </c>
      <c r="R82" s="84" t="str">
        <f>IF(Results!$Q82&lt;&gt;"",Results!$Q82/SUM($Q$7:$Q$189),"")</f>
        <v/>
      </c>
      <c r="S82" s="85" t="str">
        <f t="shared" si="2"/>
        <v/>
      </c>
      <c r="T82" s="13" t="str">
        <f>IF(Results!$I82&lt;&gt;"",(HLOOKUP(Table13[[#This Row],[Units]],'Emission Inputs (Optional)'!$L$10:$R$27,MATCH(Table13[[#This Row],[Energy Source]],'Emission Inputs (Optional)'!$L$10:$L$27,0),FALSE))*Table13[[#This Row],[Annual Consumption (Baseline)]],"")</f>
        <v/>
      </c>
      <c r="U82" s="13" t="str">
        <f>IF(Results!$T82&lt;&gt;"",Results!$T82,H82)</f>
        <v/>
      </c>
      <c r="V82" s="84" t="str">
        <f>IF(Results!$U82="","",IF(U82&lt;&gt;"",U82,0)/SUM(Results!$U$7:$U$189))</f>
        <v/>
      </c>
      <c r="W82" s="101" t="str">
        <f>IF(Results!$I82&lt;&gt;"",(HLOOKUP(Table13[[#This Row],[Units]],'Emission Inputs (Optional)'!$L$10:$R$27,MATCH(Table13[[#This Row],[Energy Source]],'Emission Inputs (Optional)'!$L$10:$L$27,0),FALSE))*(Table13[[#This Row],[Annual Consumption (Baseline)]]-Table13[[#This Row],[Energy Savings]]),"")</f>
        <v/>
      </c>
      <c r="X82" s="13" t="str">
        <f>IFERROR(VLOOKUP(B82,'Emission Inputs (Optional)'!$G$9:$J$191,4,FALSE),"")</f>
        <v/>
      </c>
      <c r="Y82" s="95" t="str">
        <f>IF(Results!$W82&lt;&gt;"",Results!$W82,IF(X82&lt;&gt;"",(H82-X82),""))</f>
        <v/>
      </c>
      <c r="Z82" s="95" t="str">
        <f t="shared" si="3"/>
        <v/>
      </c>
      <c r="AA82" s="89" t="str">
        <f>IF(Results!$U82="","",IF(U82&lt;&gt;"",U82,0)/SUM(Results!$U$7:$U$189))</f>
        <v/>
      </c>
      <c r="AB82" s="8"/>
      <c r="AC82" s="8"/>
      <c r="AD82" s="8"/>
      <c r="AE82" s="8"/>
      <c r="AF82" s="8"/>
      <c r="AG82" s="8"/>
      <c r="AH82" s="8"/>
      <c r="AI82" s="8"/>
      <c r="AJ82" s="8"/>
      <c r="AK82" s="8"/>
      <c r="AL82" s="8"/>
      <c r="AM82" s="8"/>
      <c r="AN82" s="8"/>
      <c r="AO82" s="8"/>
      <c r="AP82" s="8"/>
      <c r="AQ82" s="8"/>
      <c r="AR82" s="8"/>
      <c r="AS82" s="8"/>
      <c r="AT82" s="8"/>
    </row>
    <row r="83" spans="1:46" x14ac:dyDescent="0.2">
      <c r="A83" s="55" t="str">
        <f>IF(B83&lt;&gt;"",COUNTA($B$7:B83),"")</f>
        <v/>
      </c>
      <c r="B83" s="83"/>
      <c r="C83" s="83"/>
      <c r="D83" s="83" t="str">
        <f>IF(Table13[[#This Row],[Energy Source]]="","",Table13[[#This Row],[Energy Source]])</f>
        <v/>
      </c>
      <c r="E83" s="83" t="str">
        <f>IF(Table13[[#This Row],[Units]]="", "", Table13[[#This Row],[Units]])</f>
        <v/>
      </c>
      <c r="F83" s="83" t="str">
        <f>IF(Table13[[#This Row],[Annual Consumption (Baseline)]]="", "", Table13[[#This Row],[Annual Consumption (Baseline)]])</f>
        <v/>
      </c>
      <c r="G83" s="83" t="str">
        <f>IF(F83="", "", IF(Results!$C83="Energy", VLOOKUP(Results!$E83,'Emission Inputs (Optional)'!$T$10:$U$27,2,FALSE)*Table13[[#This Row],[Energy Savings]], ""))</f>
        <v/>
      </c>
      <c r="H83" s="13" t="str">
        <f>IFERROR(VLOOKUP(B83,'Emission Inputs (Optional)'!$G$9:$I$191,3,FALSE),"")</f>
        <v/>
      </c>
      <c r="I83" s="13" t="str">
        <f>IF(Results!$C83="Energy", VLOOKUP(Results!$E83,'Emission Inputs (Optional)'!$T$10:$U$27,2,FALSE)*Results!$F83, "")</f>
        <v/>
      </c>
      <c r="J83" s="13" t="str">
        <f>IF(Results!$I83&lt;&gt;"",Results!$I83*0.293071,"")</f>
        <v/>
      </c>
      <c r="K83" s="84" t="str">
        <f>IF(Results!$I83&lt;&gt;"",Results!$I83/SUM($I$7:$I$189),"")</f>
        <v/>
      </c>
      <c r="L83" s="13" t="str">
        <f>IF(Results!$F83&lt;&gt;"",I83-G83,"")</f>
        <v/>
      </c>
      <c r="M83" s="13" t="str">
        <f>IF(Results!$L83&lt;&gt;"",Results!$L83*0.293071,"")</f>
        <v/>
      </c>
      <c r="N83" s="84" t="str">
        <f>IF(Results!$M83&lt;&gt;"",Results!$M83/SUM($M$7:$M$189),"")</f>
        <v/>
      </c>
      <c r="O83" s="85" t="str">
        <f>IF(Results!$C83="Energy", VLOOKUP(Results!$D83,'Energy Costs Inputs (Optional)'!$AS$3:$AU$20,2,FALSE)*Results!$I83, "")</f>
        <v/>
      </c>
      <c r="P83" s="84" t="str">
        <f>IF(Results!$O83&lt;&gt;"",Results!$O83/SUM($O$7:$O$189),"")</f>
        <v/>
      </c>
      <c r="Q83" s="85" t="str">
        <f>IF(Results!$C83="Energy", VLOOKUP(Results!$D83,'Energy Costs Inputs (Optional)'!$AS$3:$AU$20,2,FALSE)*Results!$L83, "")</f>
        <v/>
      </c>
      <c r="R83" s="84" t="str">
        <f>IF(Results!$Q83&lt;&gt;"",Results!$Q83/SUM($Q$7:$Q$189),"")</f>
        <v/>
      </c>
      <c r="S83" s="85" t="str">
        <f t="shared" si="2"/>
        <v/>
      </c>
      <c r="T83" s="13" t="str">
        <f>IF(Results!$I83&lt;&gt;"",(HLOOKUP(Table13[[#This Row],[Units]],'Emission Inputs (Optional)'!$L$10:$R$27,MATCH(Table13[[#This Row],[Energy Source]],'Emission Inputs (Optional)'!$L$10:$L$27,0),FALSE))*Table13[[#This Row],[Annual Consumption (Baseline)]],"")</f>
        <v/>
      </c>
      <c r="U83" s="13" t="str">
        <f>IF(Results!$T83&lt;&gt;"",Results!$T83,H83)</f>
        <v/>
      </c>
      <c r="V83" s="84" t="str">
        <f>IF(Results!$U83="","",IF(U83&lt;&gt;"",U83,0)/SUM(Results!$U$7:$U$189))</f>
        <v/>
      </c>
      <c r="W83" s="101" t="str">
        <f>IF(Results!$I83&lt;&gt;"",(HLOOKUP(Table13[[#This Row],[Units]],'Emission Inputs (Optional)'!$L$10:$R$27,MATCH(Table13[[#This Row],[Energy Source]],'Emission Inputs (Optional)'!$L$10:$L$27,0),FALSE))*(Table13[[#This Row],[Annual Consumption (Baseline)]]-Table13[[#This Row],[Energy Savings]]),"")</f>
        <v/>
      </c>
      <c r="X83" s="13" t="str">
        <f>IFERROR(VLOOKUP(B83,'Emission Inputs (Optional)'!$G$9:$J$191,4,FALSE),"")</f>
        <v/>
      </c>
      <c r="Y83" s="95" t="str">
        <f>IF(Results!$W83&lt;&gt;"",Results!$W83,IF(X83&lt;&gt;"",(H83-X83),""))</f>
        <v/>
      </c>
      <c r="Z83" s="95" t="str">
        <f t="shared" si="3"/>
        <v/>
      </c>
      <c r="AA83" s="89" t="str">
        <f>IF(Results!$U83="","",IF(U83&lt;&gt;"",U83,0)/SUM(Results!$U$7:$U$189))</f>
        <v/>
      </c>
      <c r="AB83" s="8"/>
      <c r="AC83" s="8"/>
      <c r="AD83" s="8"/>
      <c r="AE83" s="8"/>
      <c r="AF83" s="8"/>
      <c r="AG83" s="8"/>
      <c r="AH83" s="8"/>
      <c r="AI83" s="8"/>
      <c r="AJ83" s="8"/>
      <c r="AK83" s="8"/>
      <c r="AL83" s="8"/>
      <c r="AM83" s="8"/>
      <c r="AN83" s="8"/>
      <c r="AO83" s="8"/>
      <c r="AP83" s="8"/>
      <c r="AQ83" s="8"/>
      <c r="AR83" s="8"/>
      <c r="AS83" s="8"/>
      <c r="AT83" s="8"/>
    </row>
    <row r="84" spans="1:46" x14ac:dyDescent="0.2">
      <c r="A84" s="55" t="str">
        <f>IF(B84&lt;&gt;"",COUNTA($B$7:B84),"")</f>
        <v/>
      </c>
      <c r="B84" s="83"/>
      <c r="C84" s="83"/>
      <c r="D84" s="83" t="str">
        <f>IF(Table13[[#This Row],[Energy Source]]="","",Table13[[#This Row],[Energy Source]])</f>
        <v/>
      </c>
      <c r="E84" s="83" t="str">
        <f>IF(Table13[[#This Row],[Units]]="", "", Table13[[#This Row],[Units]])</f>
        <v/>
      </c>
      <c r="F84" s="83" t="str">
        <f>IF(Table13[[#This Row],[Annual Consumption (Baseline)]]="", "", Table13[[#This Row],[Annual Consumption (Baseline)]])</f>
        <v/>
      </c>
      <c r="G84" s="83" t="str">
        <f>IF(F84="", "", IF(Results!$C84="Energy", VLOOKUP(Results!$E84,'Emission Inputs (Optional)'!$T$10:$U$27,2,FALSE)*Table13[[#This Row],[Energy Savings]], ""))</f>
        <v/>
      </c>
      <c r="H84" s="13" t="str">
        <f>IFERROR(VLOOKUP(B84,'Emission Inputs (Optional)'!$G$9:$I$191,3,FALSE),"")</f>
        <v/>
      </c>
      <c r="I84" s="13" t="str">
        <f>IF(Results!$C84="Energy", VLOOKUP(Results!$E84,'Emission Inputs (Optional)'!$T$10:$U$27,2,FALSE)*Results!$F84, "")</f>
        <v/>
      </c>
      <c r="J84" s="13" t="str">
        <f>IF(Results!$I84&lt;&gt;"",Results!$I84*0.293071,"")</f>
        <v/>
      </c>
      <c r="K84" s="84" t="str">
        <f>IF(Results!$I84&lt;&gt;"",Results!$I84/SUM($I$7:$I$189),"")</f>
        <v/>
      </c>
      <c r="L84" s="13" t="str">
        <f>IF(Results!$F84&lt;&gt;"",I84-G84,"")</f>
        <v/>
      </c>
      <c r="M84" s="13" t="str">
        <f>IF(Results!$L84&lt;&gt;"",Results!$L84*0.293071,"")</f>
        <v/>
      </c>
      <c r="N84" s="84" t="str">
        <f>IF(Results!$M84&lt;&gt;"",Results!$M84/SUM($M$7:$M$189),"")</f>
        <v/>
      </c>
      <c r="O84" s="85" t="str">
        <f>IF(Results!$C84="Energy", VLOOKUP(Results!$D84,'Energy Costs Inputs (Optional)'!$AS$3:$AU$20,2,FALSE)*Results!$I84, "")</f>
        <v/>
      </c>
      <c r="P84" s="84" t="str">
        <f>IF(Results!$O84&lt;&gt;"",Results!$O84/SUM($O$7:$O$189),"")</f>
        <v/>
      </c>
      <c r="Q84" s="85" t="str">
        <f>IF(Results!$C84="Energy", VLOOKUP(Results!$D84,'Energy Costs Inputs (Optional)'!$AS$3:$AU$20,2,FALSE)*Results!$L84, "")</f>
        <v/>
      </c>
      <c r="R84" s="84" t="str">
        <f>IF(Results!$Q84&lt;&gt;"",Results!$Q84/SUM($Q$7:$Q$189),"")</f>
        <v/>
      </c>
      <c r="S84" s="85" t="str">
        <f t="shared" si="2"/>
        <v/>
      </c>
      <c r="T84" s="13" t="str">
        <f>IF(Results!$I84&lt;&gt;"",(HLOOKUP(Table13[[#This Row],[Units]],'Emission Inputs (Optional)'!$L$10:$R$27,MATCH(Table13[[#This Row],[Energy Source]],'Emission Inputs (Optional)'!$L$10:$L$27,0),FALSE))*Table13[[#This Row],[Annual Consumption (Baseline)]],"")</f>
        <v/>
      </c>
      <c r="U84" s="13" t="str">
        <f>IF(Results!$T84&lt;&gt;"",Results!$T84,H84)</f>
        <v/>
      </c>
      <c r="V84" s="84" t="str">
        <f>IF(Results!$U84="","",IF(U84&lt;&gt;"",U84,0)/SUM(Results!$U$7:$U$189))</f>
        <v/>
      </c>
      <c r="W84" s="101" t="str">
        <f>IF(Results!$I84&lt;&gt;"",(HLOOKUP(Table13[[#This Row],[Units]],'Emission Inputs (Optional)'!$L$10:$R$27,MATCH(Table13[[#This Row],[Energy Source]],'Emission Inputs (Optional)'!$L$10:$L$27,0),FALSE))*(Table13[[#This Row],[Annual Consumption (Baseline)]]-Table13[[#This Row],[Energy Savings]]),"")</f>
        <v/>
      </c>
      <c r="X84" s="13" t="str">
        <f>IFERROR(VLOOKUP(B84,'Emission Inputs (Optional)'!$G$9:$J$191,4,FALSE),"")</f>
        <v/>
      </c>
      <c r="Y84" s="95" t="str">
        <f>IF(Results!$W84&lt;&gt;"",Results!$W84,IF(X84&lt;&gt;"",(H84-X84),""))</f>
        <v/>
      </c>
      <c r="Z84" s="95" t="str">
        <f t="shared" si="3"/>
        <v/>
      </c>
      <c r="AA84" s="89" t="str">
        <f>IF(Results!$U84="","",IF(U84&lt;&gt;"",U84,0)/SUM(Results!$U$7:$U$189))</f>
        <v/>
      </c>
      <c r="AB84" s="8"/>
      <c r="AC84" s="8"/>
      <c r="AD84" s="8"/>
      <c r="AE84" s="8"/>
      <c r="AF84" s="8"/>
      <c r="AG84" s="8"/>
      <c r="AH84" s="8"/>
      <c r="AI84" s="8"/>
      <c r="AJ84" s="8"/>
      <c r="AK84" s="8"/>
      <c r="AL84" s="8"/>
      <c r="AM84" s="8"/>
      <c r="AN84" s="8"/>
      <c r="AO84" s="8"/>
      <c r="AP84" s="8"/>
      <c r="AQ84" s="8"/>
      <c r="AR84" s="8"/>
      <c r="AS84" s="8"/>
      <c r="AT84" s="8"/>
    </row>
    <row r="85" spans="1:46" x14ac:dyDescent="0.2">
      <c r="A85" s="55" t="str">
        <f>IF(B85&lt;&gt;"",COUNTA($B$7:B85),"")</f>
        <v/>
      </c>
      <c r="B85" s="83"/>
      <c r="C85" s="83"/>
      <c r="D85" s="83" t="str">
        <f>IF(Table13[[#This Row],[Energy Source]]="","",Table13[[#This Row],[Energy Source]])</f>
        <v/>
      </c>
      <c r="E85" s="83" t="str">
        <f>IF(Table13[[#This Row],[Units]]="", "", Table13[[#This Row],[Units]])</f>
        <v/>
      </c>
      <c r="F85" s="83" t="str">
        <f>IF(Table13[[#This Row],[Annual Consumption (Baseline)]]="", "", Table13[[#This Row],[Annual Consumption (Baseline)]])</f>
        <v/>
      </c>
      <c r="G85" s="83" t="str">
        <f>IF(F85="", "", IF(Results!$C85="Energy", VLOOKUP(Results!$E85,'Emission Inputs (Optional)'!$T$10:$U$27,2,FALSE)*Table13[[#This Row],[Energy Savings]], ""))</f>
        <v/>
      </c>
      <c r="H85" s="13" t="str">
        <f>IFERROR(VLOOKUP(B85,'Emission Inputs (Optional)'!$G$9:$I$191,3,FALSE),"")</f>
        <v/>
      </c>
      <c r="I85" s="13" t="str">
        <f>IF(Results!$C85="Energy", VLOOKUP(Results!$E85,'Emission Inputs (Optional)'!$T$10:$U$27,2,FALSE)*Results!$F85, "")</f>
        <v/>
      </c>
      <c r="J85" s="13" t="str">
        <f>IF(Results!$I85&lt;&gt;"",Results!$I85*0.293071,"")</f>
        <v/>
      </c>
      <c r="K85" s="84" t="str">
        <f>IF(Results!$I85&lt;&gt;"",Results!$I85/SUM($I$7:$I$189),"")</f>
        <v/>
      </c>
      <c r="L85" s="13" t="str">
        <f>IF(Results!$F85&lt;&gt;"",I85-G85,"")</f>
        <v/>
      </c>
      <c r="M85" s="13" t="str">
        <f>IF(Results!$L85&lt;&gt;"",Results!$L85*0.293071,"")</f>
        <v/>
      </c>
      <c r="N85" s="84" t="str">
        <f>IF(Results!$M85&lt;&gt;"",Results!$M85/SUM($M$7:$M$189),"")</f>
        <v/>
      </c>
      <c r="O85" s="85" t="str">
        <f>IF(Results!$C85="Energy", VLOOKUP(Results!$D85,'Energy Costs Inputs (Optional)'!$AS$3:$AU$20,2,FALSE)*Results!$I85, "")</f>
        <v/>
      </c>
      <c r="P85" s="84" t="str">
        <f>IF(Results!$O85&lt;&gt;"",Results!$O85/SUM($O$7:$O$189),"")</f>
        <v/>
      </c>
      <c r="Q85" s="85" t="str">
        <f>IF(Results!$C85="Energy", VLOOKUP(Results!$D85,'Energy Costs Inputs (Optional)'!$AS$3:$AU$20,2,FALSE)*Results!$L85, "")</f>
        <v/>
      </c>
      <c r="R85" s="84" t="str">
        <f>IF(Results!$Q85&lt;&gt;"",Results!$Q85/SUM($Q$7:$Q$189),"")</f>
        <v/>
      </c>
      <c r="S85" s="85" t="str">
        <f t="shared" si="2"/>
        <v/>
      </c>
      <c r="T85" s="13" t="str">
        <f>IF(Results!$I85&lt;&gt;"",(HLOOKUP(Table13[[#This Row],[Units]],'Emission Inputs (Optional)'!$L$10:$R$27,MATCH(Table13[[#This Row],[Energy Source]],'Emission Inputs (Optional)'!$L$10:$L$27,0),FALSE))*Table13[[#This Row],[Annual Consumption (Baseline)]],"")</f>
        <v/>
      </c>
      <c r="U85" s="13" t="str">
        <f>IF(Results!$T85&lt;&gt;"",Results!$T85,H85)</f>
        <v/>
      </c>
      <c r="V85" s="84" t="str">
        <f>IF(Results!$U85="","",IF(U85&lt;&gt;"",U85,0)/SUM(Results!$U$7:$U$189))</f>
        <v/>
      </c>
      <c r="W85" s="101" t="str">
        <f>IF(Results!$I85&lt;&gt;"",(HLOOKUP(Table13[[#This Row],[Units]],'Emission Inputs (Optional)'!$L$10:$R$27,MATCH(Table13[[#This Row],[Energy Source]],'Emission Inputs (Optional)'!$L$10:$L$27,0),FALSE))*(Table13[[#This Row],[Annual Consumption (Baseline)]]-Table13[[#This Row],[Energy Savings]]),"")</f>
        <v/>
      </c>
      <c r="X85" s="13" t="str">
        <f>IFERROR(VLOOKUP(B85,'Emission Inputs (Optional)'!$G$9:$J$191,4,FALSE),"")</f>
        <v/>
      </c>
      <c r="Y85" s="95" t="str">
        <f>IF(Results!$W85&lt;&gt;"",Results!$W85,IF(X85&lt;&gt;"",(H85-X85),""))</f>
        <v/>
      </c>
      <c r="Z85" s="95" t="str">
        <f t="shared" si="3"/>
        <v/>
      </c>
      <c r="AA85" s="89" t="str">
        <f>IF(Results!$U85="","",IF(U85&lt;&gt;"",U85,0)/SUM(Results!$U$7:$U$189))</f>
        <v/>
      </c>
      <c r="AB85" s="8"/>
      <c r="AC85" s="8"/>
      <c r="AD85" s="8"/>
      <c r="AE85" s="8"/>
      <c r="AF85" s="8"/>
      <c r="AG85" s="8"/>
      <c r="AH85" s="8"/>
      <c r="AI85" s="8"/>
      <c r="AJ85" s="8"/>
      <c r="AK85" s="8"/>
      <c r="AL85" s="8"/>
      <c r="AM85" s="8"/>
      <c r="AN85" s="8"/>
      <c r="AO85" s="8"/>
      <c r="AP85" s="8"/>
      <c r="AQ85" s="8"/>
      <c r="AR85" s="8"/>
      <c r="AS85" s="8"/>
      <c r="AT85" s="8"/>
    </row>
    <row r="86" spans="1:46" x14ac:dyDescent="0.2">
      <c r="A86" s="55" t="str">
        <f>IF(B86&lt;&gt;"",COUNTA($B$7:B86),"")</f>
        <v/>
      </c>
      <c r="B86" s="83"/>
      <c r="C86" s="83"/>
      <c r="D86" s="83" t="str">
        <f>IF(Table13[[#This Row],[Energy Source]]="","",Table13[[#This Row],[Energy Source]])</f>
        <v/>
      </c>
      <c r="E86" s="83" t="str">
        <f>IF(Table13[[#This Row],[Units]]="", "", Table13[[#This Row],[Units]])</f>
        <v/>
      </c>
      <c r="F86" s="83" t="str">
        <f>IF(Table13[[#This Row],[Annual Consumption (Baseline)]]="", "", Table13[[#This Row],[Annual Consumption (Baseline)]])</f>
        <v/>
      </c>
      <c r="G86" s="83" t="str">
        <f>IF(F86="", "", IF(Results!$C86="Energy", VLOOKUP(Results!$E86,'Emission Inputs (Optional)'!$T$10:$U$27,2,FALSE)*Table13[[#This Row],[Energy Savings]], ""))</f>
        <v/>
      </c>
      <c r="H86" s="13" t="str">
        <f>IFERROR(VLOOKUP(B86,'Emission Inputs (Optional)'!$G$9:$I$191,3,FALSE),"")</f>
        <v/>
      </c>
      <c r="I86" s="13" t="str">
        <f>IF(Results!$C86="Energy", VLOOKUP(Results!$E86,'Emission Inputs (Optional)'!$T$10:$U$27,2,FALSE)*Results!$F86, "")</f>
        <v/>
      </c>
      <c r="J86" s="13" t="str">
        <f>IF(Results!$I86&lt;&gt;"",Results!$I86*0.293071,"")</f>
        <v/>
      </c>
      <c r="K86" s="84" t="str">
        <f>IF(Results!$I86&lt;&gt;"",Results!$I86/SUM($I$7:$I$189),"")</f>
        <v/>
      </c>
      <c r="L86" s="13" t="str">
        <f>IF(Results!$F86&lt;&gt;"",I86-G86,"")</f>
        <v/>
      </c>
      <c r="M86" s="13" t="str">
        <f>IF(Results!$L86&lt;&gt;"",Results!$L86*0.293071,"")</f>
        <v/>
      </c>
      <c r="N86" s="84" t="str">
        <f>IF(Results!$M86&lt;&gt;"",Results!$M86/SUM($M$7:$M$189),"")</f>
        <v/>
      </c>
      <c r="O86" s="85" t="str">
        <f>IF(Results!$C86="Energy", VLOOKUP(Results!$D86,'Energy Costs Inputs (Optional)'!$AS$3:$AU$20,2,FALSE)*Results!$I86, "")</f>
        <v/>
      </c>
      <c r="P86" s="84" t="str">
        <f>IF(Results!$O86&lt;&gt;"",Results!$O86/SUM($O$7:$O$189),"")</f>
        <v/>
      </c>
      <c r="Q86" s="85" t="str">
        <f>IF(Results!$C86="Energy", VLOOKUP(Results!$D86,'Energy Costs Inputs (Optional)'!$AS$3:$AU$20,2,FALSE)*Results!$L86, "")</f>
        <v/>
      </c>
      <c r="R86" s="84" t="str">
        <f>IF(Results!$Q86&lt;&gt;"",Results!$Q86/SUM($Q$7:$Q$189),"")</f>
        <v/>
      </c>
      <c r="S86" s="85" t="str">
        <f t="shared" si="2"/>
        <v/>
      </c>
      <c r="T86" s="13" t="str">
        <f>IF(Results!$I86&lt;&gt;"",(HLOOKUP(Table13[[#This Row],[Units]],'Emission Inputs (Optional)'!$L$10:$R$27,MATCH(Table13[[#This Row],[Energy Source]],'Emission Inputs (Optional)'!$L$10:$L$27,0),FALSE))*Table13[[#This Row],[Annual Consumption (Baseline)]],"")</f>
        <v/>
      </c>
      <c r="U86" s="13" t="str">
        <f>IF(Results!$T86&lt;&gt;"",Results!$T86,H86)</f>
        <v/>
      </c>
      <c r="V86" s="84" t="str">
        <f>IF(Results!$U86="","",IF(U86&lt;&gt;"",U86,0)/SUM(Results!$U$7:$U$189))</f>
        <v/>
      </c>
      <c r="W86" s="101" t="str">
        <f>IF(Results!$I86&lt;&gt;"",(HLOOKUP(Table13[[#This Row],[Units]],'Emission Inputs (Optional)'!$L$10:$R$27,MATCH(Table13[[#This Row],[Energy Source]],'Emission Inputs (Optional)'!$L$10:$L$27,0),FALSE))*(Table13[[#This Row],[Annual Consumption (Baseline)]]-Table13[[#This Row],[Energy Savings]]),"")</f>
        <v/>
      </c>
      <c r="X86" s="13" t="str">
        <f>IFERROR(VLOOKUP(B86,'Emission Inputs (Optional)'!$G$9:$J$191,4,FALSE),"")</f>
        <v/>
      </c>
      <c r="Y86" s="95" t="str">
        <f>IF(Results!$W86&lt;&gt;"",Results!$W86,IF(X86&lt;&gt;"",(H86-X86),""))</f>
        <v/>
      </c>
      <c r="Z86" s="95" t="str">
        <f t="shared" si="3"/>
        <v/>
      </c>
      <c r="AA86" s="89" t="str">
        <f>IF(Results!$U86="","",IF(U86&lt;&gt;"",U86,0)/SUM(Results!$U$7:$U$189))</f>
        <v/>
      </c>
      <c r="AB86" s="8"/>
      <c r="AC86" s="8"/>
      <c r="AD86" s="8"/>
      <c r="AE86" s="8"/>
      <c r="AF86" s="8"/>
      <c r="AG86" s="8"/>
      <c r="AH86" s="8"/>
      <c r="AI86" s="8"/>
      <c r="AJ86" s="8"/>
      <c r="AK86" s="8"/>
      <c r="AL86" s="8"/>
      <c r="AM86" s="8"/>
      <c r="AN86" s="8"/>
      <c r="AO86" s="8"/>
      <c r="AP86" s="8"/>
      <c r="AQ86" s="8"/>
      <c r="AR86" s="8"/>
      <c r="AS86" s="8"/>
      <c r="AT86" s="8"/>
    </row>
    <row r="87" spans="1:46" x14ac:dyDescent="0.2">
      <c r="A87" s="55" t="str">
        <f>IF(B87&lt;&gt;"",COUNTA($B$7:B87),"")</f>
        <v/>
      </c>
      <c r="B87" s="83"/>
      <c r="C87" s="83"/>
      <c r="D87" s="83" t="str">
        <f>IF(Table13[[#This Row],[Energy Source]]="","",Table13[[#This Row],[Energy Source]])</f>
        <v/>
      </c>
      <c r="E87" s="83" t="str">
        <f>IF(Table13[[#This Row],[Units]]="", "", Table13[[#This Row],[Units]])</f>
        <v/>
      </c>
      <c r="F87" s="83" t="str">
        <f>IF(Table13[[#This Row],[Annual Consumption (Baseline)]]="", "", Table13[[#This Row],[Annual Consumption (Baseline)]])</f>
        <v/>
      </c>
      <c r="G87" s="83" t="str">
        <f>IF(F87="", "", IF(Results!$C87="Energy", VLOOKUP(Results!$E87,'Emission Inputs (Optional)'!$T$10:$U$27,2,FALSE)*Table13[[#This Row],[Energy Savings]], ""))</f>
        <v/>
      </c>
      <c r="H87" s="13" t="str">
        <f>IFERROR(VLOOKUP(B87,'Emission Inputs (Optional)'!$G$9:$I$191,3,FALSE),"")</f>
        <v/>
      </c>
      <c r="I87" s="13" t="str">
        <f>IF(Results!$C87="Energy", VLOOKUP(Results!$E87,'Emission Inputs (Optional)'!$T$10:$U$27,2,FALSE)*Results!$F87, "")</f>
        <v/>
      </c>
      <c r="J87" s="13" t="str">
        <f>IF(Results!$I87&lt;&gt;"",Results!$I87*0.293071,"")</f>
        <v/>
      </c>
      <c r="K87" s="84" t="str">
        <f>IF(Results!$I87&lt;&gt;"",Results!$I87/SUM($I$7:$I$189),"")</f>
        <v/>
      </c>
      <c r="L87" s="13" t="str">
        <f>IF(Results!$F87&lt;&gt;"",I87-G87,"")</f>
        <v/>
      </c>
      <c r="M87" s="13" t="str">
        <f>IF(Results!$L87&lt;&gt;"",Results!$L87*0.293071,"")</f>
        <v/>
      </c>
      <c r="N87" s="84" t="str">
        <f>IF(Results!$M87&lt;&gt;"",Results!$M87/SUM($M$7:$M$189),"")</f>
        <v/>
      </c>
      <c r="O87" s="85" t="str">
        <f>IF(Results!$C87="Energy", VLOOKUP(Results!$D87,'Energy Costs Inputs (Optional)'!$AS$3:$AU$20,2,FALSE)*Results!$I87, "")</f>
        <v/>
      </c>
      <c r="P87" s="84" t="str">
        <f>IF(Results!$O87&lt;&gt;"",Results!$O87/SUM($O$7:$O$189),"")</f>
        <v/>
      </c>
      <c r="Q87" s="85" t="str">
        <f>IF(Results!$C87="Energy", VLOOKUP(Results!$D87,'Energy Costs Inputs (Optional)'!$AS$3:$AU$20,2,FALSE)*Results!$L87, "")</f>
        <v/>
      </c>
      <c r="R87" s="84" t="str">
        <f>IF(Results!$Q87&lt;&gt;"",Results!$Q87/SUM($Q$7:$Q$189),"")</f>
        <v/>
      </c>
      <c r="S87" s="85" t="str">
        <f t="shared" si="2"/>
        <v/>
      </c>
      <c r="T87" s="13" t="str">
        <f>IF(Results!$I87&lt;&gt;"",(HLOOKUP(Table13[[#This Row],[Units]],'Emission Inputs (Optional)'!$L$10:$R$27,MATCH(Table13[[#This Row],[Energy Source]],'Emission Inputs (Optional)'!$L$10:$L$27,0),FALSE))*Table13[[#This Row],[Annual Consumption (Baseline)]],"")</f>
        <v/>
      </c>
      <c r="U87" s="13" t="str">
        <f>IF(Results!$T87&lt;&gt;"",Results!$T87,H87)</f>
        <v/>
      </c>
      <c r="V87" s="84" t="str">
        <f>IF(Results!$U87="","",IF(U87&lt;&gt;"",U87,0)/SUM(Results!$U$7:$U$189))</f>
        <v/>
      </c>
      <c r="W87" s="101" t="str">
        <f>IF(Results!$I87&lt;&gt;"",(HLOOKUP(Table13[[#This Row],[Units]],'Emission Inputs (Optional)'!$L$10:$R$27,MATCH(Table13[[#This Row],[Energy Source]],'Emission Inputs (Optional)'!$L$10:$L$27,0),FALSE))*(Table13[[#This Row],[Annual Consumption (Baseline)]]-Table13[[#This Row],[Energy Savings]]),"")</f>
        <v/>
      </c>
      <c r="X87" s="13" t="str">
        <f>IFERROR(VLOOKUP(B87,'Emission Inputs (Optional)'!$G$9:$J$191,4,FALSE),"")</f>
        <v/>
      </c>
      <c r="Y87" s="95" t="str">
        <f>IF(Results!$W87&lt;&gt;"",Results!$W87,IF(X87&lt;&gt;"",(H87-X87),""))</f>
        <v/>
      </c>
      <c r="Z87" s="95" t="str">
        <f t="shared" si="3"/>
        <v/>
      </c>
      <c r="AA87" s="89" t="str">
        <f>IF(Results!$U87="","",IF(U87&lt;&gt;"",U87,0)/SUM(Results!$U$7:$U$189))</f>
        <v/>
      </c>
      <c r="AB87" s="8"/>
      <c r="AC87" s="8"/>
      <c r="AD87" s="8"/>
      <c r="AE87" s="8"/>
      <c r="AF87" s="8"/>
      <c r="AG87" s="8"/>
      <c r="AH87" s="8"/>
      <c r="AI87" s="8"/>
      <c r="AJ87" s="8"/>
      <c r="AK87" s="8"/>
      <c r="AL87" s="8"/>
      <c r="AM87" s="8"/>
      <c r="AN87" s="8"/>
      <c r="AO87" s="8"/>
      <c r="AP87" s="8"/>
      <c r="AQ87" s="8"/>
      <c r="AR87" s="8"/>
      <c r="AS87" s="8"/>
      <c r="AT87" s="8"/>
    </row>
    <row r="88" spans="1:46" x14ac:dyDescent="0.2">
      <c r="A88" s="55" t="str">
        <f>IF(B88&lt;&gt;"",COUNTA($B$7:B88),"")</f>
        <v/>
      </c>
      <c r="B88" s="83"/>
      <c r="C88" s="83"/>
      <c r="D88" s="83" t="str">
        <f>IF(Table13[[#This Row],[Energy Source]]="","",Table13[[#This Row],[Energy Source]])</f>
        <v/>
      </c>
      <c r="E88" s="83" t="str">
        <f>IF(Table13[[#This Row],[Units]]="", "", Table13[[#This Row],[Units]])</f>
        <v/>
      </c>
      <c r="F88" s="83" t="str">
        <f>IF(Table13[[#This Row],[Annual Consumption (Baseline)]]="", "", Table13[[#This Row],[Annual Consumption (Baseline)]])</f>
        <v/>
      </c>
      <c r="G88" s="83" t="str">
        <f>IF(F88="", "", IF(Results!$C88="Energy", VLOOKUP(Results!$E88,'Emission Inputs (Optional)'!$T$10:$U$27,2,FALSE)*Table13[[#This Row],[Energy Savings]], ""))</f>
        <v/>
      </c>
      <c r="H88" s="13" t="str">
        <f>IFERROR(VLOOKUP(B88,'Emission Inputs (Optional)'!$G$9:$I$191,3,FALSE),"")</f>
        <v/>
      </c>
      <c r="I88" s="13" t="str">
        <f>IF(Results!$C88="Energy", VLOOKUP(Results!$E88,'Emission Inputs (Optional)'!$T$10:$U$27,2,FALSE)*Results!$F88, "")</f>
        <v/>
      </c>
      <c r="J88" s="13" t="str">
        <f>IF(Results!$I88&lt;&gt;"",Results!$I88*0.293071,"")</f>
        <v/>
      </c>
      <c r="K88" s="84" t="str">
        <f>IF(Results!$I88&lt;&gt;"",Results!$I88/SUM($I$7:$I$189),"")</f>
        <v/>
      </c>
      <c r="L88" s="13" t="str">
        <f>IF(Results!$F88&lt;&gt;"",I88-G88,"")</f>
        <v/>
      </c>
      <c r="M88" s="13" t="str">
        <f>IF(Results!$L88&lt;&gt;"",Results!$L88*0.293071,"")</f>
        <v/>
      </c>
      <c r="N88" s="84" t="str">
        <f>IF(Results!$M88&lt;&gt;"",Results!$M88/SUM($M$7:$M$189),"")</f>
        <v/>
      </c>
      <c r="O88" s="85" t="str">
        <f>IF(Results!$C88="Energy", VLOOKUP(Results!$D88,'Energy Costs Inputs (Optional)'!$AS$3:$AU$20,2,FALSE)*Results!$I88, "")</f>
        <v/>
      </c>
      <c r="P88" s="84" t="str">
        <f>IF(Results!$O88&lt;&gt;"",Results!$O88/SUM($O$7:$O$189),"")</f>
        <v/>
      </c>
      <c r="Q88" s="85" t="str">
        <f>IF(Results!$C88="Energy", VLOOKUP(Results!$D88,'Energy Costs Inputs (Optional)'!$AS$3:$AU$20,2,FALSE)*Results!$L88, "")</f>
        <v/>
      </c>
      <c r="R88" s="84" t="str">
        <f>IF(Results!$Q88&lt;&gt;"",Results!$Q88/SUM($Q$7:$Q$189),"")</f>
        <v/>
      </c>
      <c r="S88" s="85" t="str">
        <f t="shared" si="2"/>
        <v/>
      </c>
      <c r="T88" s="13" t="str">
        <f>IF(Results!$I88&lt;&gt;"",(HLOOKUP(Table13[[#This Row],[Units]],'Emission Inputs (Optional)'!$L$10:$R$27,MATCH(Table13[[#This Row],[Energy Source]],'Emission Inputs (Optional)'!$L$10:$L$27,0),FALSE))*Table13[[#This Row],[Annual Consumption (Baseline)]],"")</f>
        <v/>
      </c>
      <c r="U88" s="13" t="str">
        <f>IF(Results!$T88&lt;&gt;"",Results!$T88,H88)</f>
        <v/>
      </c>
      <c r="V88" s="84" t="str">
        <f>IF(Results!$U88="","",IF(U88&lt;&gt;"",U88,0)/SUM(Results!$U$7:$U$189))</f>
        <v/>
      </c>
      <c r="W88" s="101" t="str">
        <f>IF(Results!$I88&lt;&gt;"",(HLOOKUP(Table13[[#This Row],[Units]],'Emission Inputs (Optional)'!$L$10:$R$27,MATCH(Table13[[#This Row],[Energy Source]],'Emission Inputs (Optional)'!$L$10:$L$27,0),FALSE))*(Table13[[#This Row],[Annual Consumption (Baseline)]]-Table13[[#This Row],[Energy Savings]]),"")</f>
        <v/>
      </c>
      <c r="X88" s="13" t="str">
        <f>IFERROR(VLOOKUP(B88,'Emission Inputs (Optional)'!$G$9:$J$191,4,FALSE),"")</f>
        <v/>
      </c>
      <c r="Y88" s="95" t="str">
        <f>IF(Results!$W88&lt;&gt;"",Results!$W88,IF(X88&lt;&gt;"",(H88-X88),""))</f>
        <v/>
      </c>
      <c r="Z88" s="95" t="str">
        <f t="shared" si="3"/>
        <v/>
      </c>
      <c r="AA88" s="89" t="str">
        <f>IF(Results!$U88="","",IF(U88&lt;&gt;"",U88,0)/SUM(Results!$U$7:$U$189))</f>
        <v/>
      </c>
      <c r="AB88" s="8"/>
      <c r="AC88" s="8"/>
      <c r="AD88" s="8"/>
      <c r="AE88" s="8"/>
      <c r="AF88" s="8"/>
      <c r="AG88" s="8"/>
      <c r="AH88" s="8"/>
      <c r="AI88" s="8"/>
      <c r="AJ88" s="8"/>
      <c r="AK88" s="8"/>
      <c r="AL88" s="8"/>
      <c r="AM88" s="8"/>
      <c r="AN88" s="8"/>
      <c r="AO88" s="8"/>
      <c r="AP88" s="8"/>
      <c r="AQ88" s="8"/>
      <c r="AR88" s="8"/>
      <c r="AS88" s="8"/>
      <c r="AT88" s="8"/>
    </row>
    <row r="89" spans="1:46" x14ac:dyDescent="0.2">
      <c r="A89" s="55" t="str">
        <f>IF(B89&lt;&gt;"",COUNTA($B$7:B89),"")</f>
        <v/>
      </c>
      <c r="B89" s="83"/>
      <c r="C89" s="83"/>
      <c r="D89" s="83" t="str">
        <f>IF(Table13[[#This Row],[Energy Source]]="","",Table13[[#This Row],[Energy Source]])</f>
        <v/>
      </c>
      <c r="E89" s="83" t="str">
        <f>IF(Table13[[#This Row],[Units]]="", "", Table13[[#This Row],[Units]])</f>
        <v/>
      </c>
      <c r="F89" s="83" t="str">
        <f>IF(Table13[[#This Row],[Annual Consumption (Baseline)]]="", "", Table13[[#This Row],[Annual Consumption (Baseline)]])</f>
        <v/>
      </c>
      <c r="G89" s="83" t="str">
        <f>IF(F89="", "", IF(Results!$C89="Energy", VLOOKUP(Results!$E89,'Emission Inputs (Optional)'!$T$10:$U$27,2,FALSE)*Table13[[#This Row],[Energy Savings]], ""))</f>
        <v/>
      </c>
      <c r="H89" s="13" t="str">
        <f>IFERROR(VLOOKUP(B89,'Emission Inputs (Optional)'!$G$9:$I$191,3,FALSE),"")</f>
        <v/>
      </c>
      <c r="I89" s="13" t="str">
        <f>IF(Results!$C89="Energy", VLOOKUP(Results!$E89,'Emission Inputs (Optional)'!$T$10:$U$27,2,FALSE)*Results!$F89, "")</f>
        <v/>
      </c>
      <c r="J89" s="13" t="str">
        <f>IF(Results!$I89&lt;&gt;"",Results!$I89*0.293071,"")</f>
        <v/>
      </c>
      <c r="K89" s="84" t="str">
        <f>IF(Results!$I89&lt;&gt;"",Results!$I89/SUM($I$7:$I$189),"")</f>
        <v/>
      </c>
      <c r="L89" s="13" t="str">
        <f>IF(Results!$F89&lt;&gt;"",I89-G89,"")</f>
        <v/>
      </c>
      <c r="M89" s="13" t="str">
        <f>IF(Results!$L89&lt;&gt;"",Results!$L89*0.293071,"")</f>
        <v/>
      </c>
      <c r="N89" s="84" t="str">
        <f>IF(Results!$M89&lt;&gt;"",Results!$M89/SUM($M$7:$M$189),"")</f>
        <v/>
      </c>
      <c r="O89" s="85" t="str">
        <f>IF(Results!$C89="Energy", VLOOKUP(Results!$D89,'Energy Costs Inputs (Optional)'!$AS$3:$AU$20,2,FALSE)*Results!$I89, "")</f>
        <v/>
      </c>
      <c r="P89" s="84" t="str">
        <f>IF(Results!$O89&lt;&gt;"",Results!$O89/SUM($O$7:$O$189),"")</f>
        <v/>
      </c>
      <c r="Q89" s="85" t="str">
        <f>IF(Results!$C89="Energy", VLOOKUP(Results!$D89,'Energy Costs Inputs (Optional)'!$AS$3:$AU$20,2,FALSE)*Results!$L89, "")</f>
        <v/>
      </c>
      <c r="R89" s="84" t="str">
        <f>IF(Results!$Q89&lt;&gt;"",Results!$Q89/SUM($Q$7:$Q$189),"")</f>
        <v/>
      </c>
      <c r="S89" s="85" t="str">
        <f t="shared" si="2"/>
        <v/>
      </c>
      <c r="T89" s="13" t="str">
        <f>IF(Results!$I89&lt;&gt;"",(HLOOKUP(Table13[[#This Row],[Units]],'Emission Inputs (Optional)'!$L$10:$R$27,MATCH(Table13[[#This Row],[Energy Source]],'Emission Inputs (Optional)'!$L$10:$L$27,0),FALSE))*Table13[[#This Row],[Annual Consumption (Baseline)]],"")</f>
        <v/>
      </c>
      <c r="U89" s="13" t="str">
        <f>IF(Results!$T89&lt;&gt;"",Results!$T89,H89)</f>
        <v/>
      </c>
      <c r="V89" s="84" t="str">
        <f>IF(Results!$U89="","",IF(U89&lt;&gt;"",U89,0)/SUM(Results!$U$7:$U$189))</f>
        <v/>
      </c>
      <c r="W89" s="101" t="str">
        <f>IF(Results!$I89&lt;&gt;"",(HLOOKUP(Table13[[#This Row],[Units]],'Emission Inputs (Optional)'!$L$10:$R$27,MATCH(Table13[[#This Row],[Energy Source]],'Emission Inputs (Optional)'!$L$10:$L$27,0),FALSE))*(Table13[[#This Row],[Annual Consumption (Baseline)]]-Table13[[#This Row],[Energy Savings]]),"")</f>
        <v/>
      </c>
      <c r="X89" s="13" t="str">
        <f>IFERROR(VLOOKUP(B89,'Emission Inputs (Optional)'!$G$9:$J$191,4,FALSE),"")</f>
        <v/>
      </c>
      <c r="Y89" s="95" t="str">
        <f>IF(Results!$W89&lt;&gt;"",Results!$W89,IF(X89&lt;&gt;"",(H89-X89),""))</f>
        <v/>
      </c>
      <c r="Z89" s="95" t="str">
        <f t="shared" si="3"/>
        <v/>
      </c>
      <c r="AA89" s="89" t="str">
        <f>IF(Results!$U89="","",IF(U89&lt;&gt;"",U89,0)/SUM(Results!$U$7:$U$189))</f>
        <v/>
      </c>
      <c r="AB89" s="8"/>
      <c r="AC89" s="8"/>
      <c r="AD89" s="8"/>
      <c r="AE89" s="8"/>
      <c r="AF89" s="8"/>
      <c r="AG89" s="8"/>
      <c r="AH89" s="8"/>
      <c r="AI89" s="8"/>
      <c r="AJ89" s="8"/>
      <c r="AK89" s="8"/>
      <c r="AL89" s="8"/>
      <c r="AM89" s="8"/>
      <c r="AN89" s="8"/>
      <c r="AO89" s="8"/>
      <c r="AP89" s="8"/>
      <c r="AQ89" s="8"/>
      <c r="AR89" s="8"/>
      <c r="AS89" s="8"/>
      <c r="AT89" s="8"/>
    </row>
    <row r="90" spans="1:46" x14ac:dyDescent="0.2">
      <c r="A90" s="55" t="str">
        <f>IF(B90&lt;&gt;"",COUNTA($B$7:B90),"")</f>
        <v/>
      </c>
      <c r="B90" s="83"/>
      <c r="C90" s="83"/>
      <c r="D90" s="83" t="str">
        <f>IF(Table13[[#This Row],[Energy Source]]="","",Table13[[#This Row],[Energy Source]])</f>
        <v/>
      </c>
      <c r="E90" s="83" t="str">
        <f>IF(Table13[[#This Row],[Units]]="", "", Table13[[#This Row],[Units]])</f>
        <v/>
      </c>
      <c r="F90" s="83" t="str">
        <f>IF(Table13[[#This Row],[Annual Consumption (Baseline)]]="", "", Table13[[#This Row],[Annual Consumption (Baseline)]])</f>
        <v/>
      </c>
      <c r="G90" s="83" t="str">
        <f>IF(F90="", "", IF(Results!$C90="Energy", VLOOKUP(Results!$E90,'Emission Inputs (Optional)'!$T$10:$U$27,2,FALSE)*Table13[[#This Row],[Energy Savings]], ""))</f>
        <v/>
      </c>
      <c r="H90" s="13" t="str">
        <f>IFERROR(VLOOKUP(B90,'Emission Inputs (Optional)'!$G$9:$I$191,3,FALSE),"")</f>
        <v/>
      </c>
      <c r="I90" s="13" t="str">
        <f>IF(Results!$C90="Energy", VLOOKUP(Results!$E90,'Emission Inputs (Optional)'!$T$10:$U$27,2,FALSE)*Results!$F90, "")</f>
        <v/>
      </c>
      <c r="J90" s="13" t="str">
        <f>IF(Results!$I90&lt;&gt;"",Results!$I90*0.293071,"")</f>
        <v/>
      </c>
      <c r="K90" s="84" t="str">
        <f>IF(Results!$I90&lt;&gt;"",Results!$I90/SUM($I$7:$I$189),"")</f>
        <v/>
      </c>
      <c r="L90" s="13" t="str">
        <f>IF(Results!$F90&lt;&gt;"",I90-G90,"")</f>
        <v/>
      </c>
      <c r="M90" s="13" t="str">
        <f>IF(Results!$L90&lt;&gt;"",Results!$L90*0.293071,"")</f>
        <v/>
      </c>
      <c r="N90" s="84" t="str">
        <f>IF(Results!$M90&lt;&gt;"",Results!$M90/SUM($M$7:$M$189),"")</f>
        <v/>
      </c>
      <c r="O90" s="85" t="str">
        <f>IF(Results!$C90="Energy", VLOOKUP(Results!$D90,'Energy Costs Inputs (Optional)'!$AS$3:$AU$20,2,FALSE)*Results!$I90, "")</f>
        <v/>
      </c>
      <c r="P90" s="84" t="str">
        <f>IF(Results!$O90&lt;&gt;"",Results!$O90/SUM($O$7:$O$189),"")</f>
        <v/>
      </c>
      <c r="Q90" s="85" t="str">
        <f>IF(Results!$C90="Energy", VLOOKUP(Results!$D90,'Energy Costs Inputs (Optional)'!$AS$3:$AU$20,2,FALSE)*Results!$L90, "")</f>
        <v/>
      </c>
      <c r="R90" s="84" t="str">
        <f>IF(Results!$Q90&lt;&gt;"",Results!$Q90/SUM($Q$7:$Q$189),"")</f>
        <v/>
      </c>
      <c r="S90" s="85" t="str">
        <f t="shared" si="2"/>
        <v/>
      </c>
      <c r="T90" s="13" t="str">
        <f>IF(Results!$I90&lt;&gt;"",(HLOOKUP(Table13[[#This Row],[Units]],'Emission Inputs (Optional)'!$L$10:$R$27,MATCH(Table13[[#This Row],[Energy Source]],'Emission Inputs (Optional)'!$L$10:$L$27,0),FALSE))*Table13[[#This Row],[Annual Consumption (Baseline)]],"")</f>
        <v/>
      </c>
      <c r="U90" s="13" t="str">
        <f>IF(Results!$T90&lt;&gt;"",Results!$T90,H90)</f>
        <v/>
      </c>
      <c r="V90" s="84" t="str">
        <f>IF(Results!$U90="","",IF(U90&lt;&gt;"",U90,0)/SUM(Results!$U$7:$U$189))</f>
        <v/>
      </c>
      <c r="W90" s="101" t="str">
        <f>IF(Results!$I90&lt;&gt;"",(HLOOKUP(Table13[[#This Row],[Units]],'Emission Inputs (Optional)'!$L$10:$R$27,MATCH(Table13[[#This Row],[Energy Source]],'Emission Inputs (Optional)'!$L$10:$L$27,0),FALSE))*(Table13[[#This Row],[Annual Consumption (Baseline)]]-Table13[[#This Row],[Energy Savings]]),"")</f>
        <v/>
      </c>
      <c r="X90" s="13" t="str">
        <f>IFERROR(VLOOKUP(B90,'Emission Inputs (Optional)'!$G$9:$J$191,4,FALSE),"")</f>
        <v/>
      </c>
      <c r="Y90" s="95" t="str">
        <f>IF(Results!$W90&lt;&gt;"",Results!$W90,IF(X90&lt;&gt;"",(H90-X90),""))</f>
        <v/>
      </c>
      <c r="Z90" s="95" t="str">
        <f t="shared" si="3"/>
        <v/>
      </c>
      <c r="AA90" s="89" t="str">
        <f>IF(Results!$U90="","",IF(U90&lt;&gt;"",U90,0)/SUM(Results!$U$7:$U$189))</f>
        <v/>
      </c>
      <c r="AB90" s="8"/>
      <c r="AC90" s="8"/>
      <c r="AD90" s="8"/>
      <c r="AE90" s="8"/>
      <c r="AF90" s="8"/>
      <c r="AG90" s="8"/>
      <c r="AH90" s="8"/>
      <c r="AI90" s="8"/>
      <c r="AJ90" s="8"/>
      <c r="AK90" s="8"/>
      <c r="AL90" s="8"/>
      <c r="AM90" s="8"/>
      <c r="AN90" s="8"/>
      <c r="AO90" s="8"/>
      <c r="AP90" s="8"/>
      <c r="AQ90" s="8"/>
      <c r="AR90" s="8"/>
      <c r="AS90" s="8"/>
      <c r="AT90" s="8"/>
    </row>
    <row r="91" spans="1:46" x14ac:dyDescent="0.2">
      <c r="A91" s="55" t="str">
        <f>IF(B91&lt;&gt;"",COUNTA($B$7:B91),"")</f>
        <v/>
      </c>
      <c r="B91" s="83"/>
      <c r="C91" s="83"/>
      <c r="D91" s="83" t="str">
        <f>IF(Table13[[#This Row],[Energy Source]]="","",Table13[[#This Row],[Energy Source]])</f>
        <v/>
      </c>
      <c r="E91" s="83" t="str">
        <f>IF(Table13[[#This Row],[Units]]="", "", Table13[[#This Row],[Units]])</f>
        <v/>
      </c>
      <c r="F91" s="83" t="str">
        <f>IF(Table13[[#This Row],[Annual Consumption (Baseline)]]="", "", Table13[[#This Row],[Annual Consumption (Baseline)]])</f>
        <v/>
      </c>
      <c r="G91" s="83" t="str">
        <f>IF(F91="", "", IF(Results!$C91="Energy", VLOOKUP(Results!$E91,'Emission Inputs (Optional)'!$T$10:$U$27,2,FALSE)*Table13[[#This Row],[Energy Savings]], ""))</f>
        <v/>
      </c>
      <c r="H91" s="13" t="str">
        <f>IFERROR(VLOOKUP(B91,'Emission Inputs (Optional)'!$G$9:$I$191,3,FALSE),"")</f>
        <v/>
      </c>
      <c r="I91" s="13" t="str">
        <f>IF(Results!$C91="Energy", VLOOKUP(Results!$E91,'Emission Inputs (Optional)'!$T$10:$U$27,2,FALSE)*Results!$F91, "")</f>
        <v/>
      </c>
      <c r="J91" s="13" t="str">
        <f>IF(Results!$I91&lt;&gt;"",Results!$I91*0.293071,"")</f>
        <v/>
      </c>
      <c r="K91" s="84" t="str">
        <f>IF(Results!$I91&lt;&gt;"",Results!$I91/SUM($I$7:$I$189),"")</f>
        <v/>
      </c>
      <c r="L91" s="13" t="str">
        <f>IF(Results!$F91&lt;&gt;"",I91-G91,"")</f>
        <v/>
      </c>
      <c r="M91" s="13" t="str">
        <f>IF(Results!$L91&lt;&gt;"",Results!$L91*0.293071,"")</f>
        <v/>
      </c>
      <c r="N91" s="84" t="str">
        <f>IF(Results!$M91&lt;&gt;"",Results!$M91/SUM($M$7:$M$189),"")</f>
        <v/>
      </c>
      <c r="O91" s="85" t="str">
        <f>IF(Results!$C91="Energy", VLOOKUP(Results!$D91,'Energy Costs Inputs (Optional)'!$AS$3:$AU$20,2,FALSE)*Results!$I91, "")</f>
        <v/>
      </c>
      <c r="P91" s="84" t="str">
        <f>IF(Results!$O91&lt;&gt;"",Results!$O91/SUM($O$7:$O$189),"")</f>
        <v/>
      </c>
      <c r="Q91" s="85" t="str">
        <f>IF(Results!$C91="Energy", VLOOKUP(Results!$D91,'Energy Costs Inputs (Optional)'!$AS$3:$AU$20,2,FALSE)*Results!$L91, "")</f>
        <v/>
      </c>
      <c r="R91" s="84" t="str">
        <f>IF(Results!$Q91&lt;&gt;"",Results!$Q91/SUM($Q$7:$Q$189),"")</f>
        <v/>
      </c>
      <c r="S91" s="85" t="str">
        <f t="shared" si="2"/>
        <v/>
      </c>
      <c r="T91" s="13" t="str">
        <f>IF(Results!$I91&lt;&gt;"",(HLOOKUP(Table13[[#This Row],[Units]],'Emission Inputs (Optional)'!$L$10:$R$27,MATCH(Table13[[#This Row],[Energy Source]],'Emission Inputs (Optional)'!$L$10:$L$27,0),FALSE))*Table13[[#This Row],[Annual Consumption (Baseline)]],"")</f>
        <v/>
      </c>
      <c r="U91" s="13" t="str">
        <f>IF(Results!$T91&lt;&gt;"",Results!$T91,H91)</f>
        <v/>
      </c>
      <c r="V91" s="84" t="str">
        <f>IF(Results!$U91="","",IF(U91&lt;&gt;"",U91,0)/SUM(Results!$U$7:$U$189))</f>
        <v/>
      </c>
      <c r="W91" s="101" t="str">
        <f>IF(Results!$I91&lt;&gt;"",(HLOOKUP(Table13[[#This Row],[Units]],'Emission Inputs (Optional)'!$L$10:$R$27,MATCH(Table13[[#This Row],[Energy Source]],'Emission Inputs (Optional)'!$L$10:$L$27,0),FALSE))*(Table13[[#This Row],[Annual Consumption (Baseline)]]-Table13[[#This Row],[Energy Savings]]),"")</f>
        <v/>
      </c>
      <c r="X91" s="13" t="str">
        <f>IFERROR(VLOOKUP(B91,'Emission Inputs (Optional)'!$G$9:$J$191,4,FALSE),"")</f>
        <v/>
      </c>
      <c r="Y91" s="95" t="str">
        <f>IF(Results!$W91&lt;&gt;"",Results!$W91,IF(X91&lt;&gt;"",(H91-X91),""))</f>
        <v/>
      </c>
      <c r="Z91" s="95" t="str">
        <f t="shared" si="3"/>
        <v/>
      </c>
      <c r="AA91" s="89" t="str">
        <f>IF(Results!$U91="","",IF(U91&lt;&gt;"",U91,0)/SUM(Results!$U$7:$U$189))</f>
        <v/>
      </c>
      <c r="AB91" s="8"/>
      <c r="AC91" s="8"/>
      <c r="AD91" s="8"/>
      <c r="AE91" s="8"/>
      <c r="AF91" s="8"/>
      <c r="AG91" s="8"/>
      <c r="AH91" s="8"/>
      <c r="AI91" s="8"/>
      <c r="AJ91" s="8"/>
      <c r="AK91" s="8"/>
      <c r="AL91" s="8"/>
      <c r="AM91" s="8"/>
      <c r="AN91" s="8"/>
      <c r="AO91" s="8"/>
      <c r="AP91" s="8"/>
      <c r="AQ91" s="8"/>
      <c r="AR91" s="8"/>
      <c r="AS91" s="8"/>
      <c r="AT91" s="8"/>
    </row>
    <row r="92" spans="1:46" x14ac:dyDescent="0.2">
      <c r="A92" s="55" t="str">
        <f>IF(B92&lt;&gt;"",COUNTA($B$7:B92),"")</f>
        <v/>
      </c>
      <c r="B92" s="83"/>
      <c r="C92" s="83"/>
      <c r="D92" s="83" t="str">
        <f>IF(Table13[[#This Row],[Energy Source]]="","",Table13[[#This Row],[Energy Source]])</f>
        <v/>
      </c>
      <c r="E92" s="83" t="str">
        <f>IF(Table13[[#This Row],[Units]]="", "", Table13[[#This Row],[Units]])</f>
        <v/>
      </c>
      <c r="F92" s="83" t="str">
        <f>IF(Table13[[#This Row],[Annual Consumption (Baseline)]]="", "", Table13[[#This Row],[Annual Consumption (Baseline)]])</f>
        <v/>
      </c>
      <c r="G92" s="83" t="str">
        <f>IF(F92="", "", IF(Results!$C92="Energy", VLOOKUP(Results!$E92,'Emission Inputs (Optional)'!$T$10:$U$27,2,FALSE)*Table13[[#This Row],[Energy Savings]], ""))</f>
        <v/>
      </c>
      <c r="H92" s="13" t="str">
        <f>IFERROR(VLOOKUP(B92,'Emission Inputs (Optional)'!$G$9:$I$191,3,FALSE),"")</f>
        <v/>
      </c>
      <c r="I92" s="13" t="str">
        <f>IF(Results!$C92="Energy", VLOOKUP(Results!$E92,'Emission Inputs (Optional)'!$T$10:$U$27,2,FALSE)*Results!$F92, "")</f>
        <v/>
      </c>
      <c r="J92" s="13" t="str">
        <f>IF(Results!$I92&lt;&gt;"",Results!$I92*0.293071,"")</f>
        <v/>
      </c>
      <c r="K92" s="84" t="str">
        <f>IF(Results!$I92&lt;&gt;"",Results!$I92/SUM($I$7:$I$189),"")</f>
        <v/>
      </c>
      <c r="L92" s="13" t="str">
        <f>IF(Results!$F92&lt;&gt;"",I92-G92,"")</f>
        <v/>
      </c>
      <c r="M92" s="13" t="str">
        <f>IF(Results!$L92&lt;&gt;"",Results!$L92*0.293071,"")</f>
        <v/>
      </c>
      <c r="N92" s="84" t="str">
        <f>IF(Results!$M92&lt;&gt;"",Results!$M92/SUM($M$7:$M$189),"")</f>
        <v/>
      </c>
      <c r="O92" s="85" t="str">
        <f>IF(Results!$C92="Energy", VLOOKUP(Results!$D92,'Energy Costs Inputs (Optional)'!$AS$3:$AU$20,2,FALSE)*Results!$I92, "")</f>
        <v/>
      </c>
      <c r="P92" s="84" t="str">
        <f>IF(Results!$O92&lt;&gt;"",Results!$O92/SUM($O$7:$O$189),"")</f>
        <v/>
      </c>
      <c r="Q92" s="85" t="str">
        <f>IF(Results!$C92="Energy", VLOOKUP(Results!$D92,'Energy Costs Inputs (Optional)'!$AS$3:$AU$20,2,FALSE)*Results!$L92, "")</f>
        <v/>
      </c>
      <c r="R92" s="84" t="str">
        <f>IF(Results!$Q92&lt;&gt;"",Results!$Q92/SUM($Q$7:$Q$189),"")</f>
        <v/>
      </c>
      <c r="S92" s="85" t="str">
        <f t="shared" si="2"/>
        <v/>
      </c>
      <c r="T92" s="13" t="str">
        <f>IF(Results!$I92&lt;&gt;"",(HLOOKUP(Table13[[#This Row],[Units]],'Emission Inputs (Optional)'!$L$10:$R$27,MATCH(Table13[[#This Row],[Energy Source]],'Emission Inputs (Optional)'!$L$10:$L$27,0),FALSE))*Table13[[#This Row],[Annual Consumption (Baseline)]],"")</f>
        <v/>
      </c>
      <c r="U92" s="13" t="str">
        <f>IF(Results!$T92&lt;&gt;"",Results!$T92,H92)</f>
        <v/>
      </c>
      <c r="V92" s="84" t="str">
        <f>IF(Results!$U92="","",IF(U92&lt;&gt;"",U92,0)/SUM(Results!$U$7:$U$189))</f>
        <v/>
      </c>
      <c r="W92" s="101" t="str">
        <f>IF(Results!$I92&lt;&gt;"",(HLOOKUP(Table13[[#This Row],[Units]],'Emission Inputs (Optional)'!$L$10:$R$27,MATCH(Table13[[#This Row],[Energy Source]],'Emission Inputs (Optional)'!$L$10:$L$27,0),FALSE))*(Table13[[#This Row],[Annual Consumption (Baseline)]]-Table13[[#This Row],[Energy Savings]]),"")</f>
        <v/>
      </c>
      <c r="X92" s="13" t="str">
        <f>IFERROR(VLOOKUP(B92,'Emission Inputs (Optional)'!$G$9:$J$191,4,FALSE),"")</f>
        <v/>
      </c>
      <c r="Y92" s="95" t="str">
        <f>IF(Results!$W92&lt;&gt;"",Results!$W92,IF(X92&lt;&gt;"",(H92-X92),""))</f>
        <v/>
      </c>
      <c r="Z92" s="95" t="str">
        <f t="shared" si="3"/>
        <v/>
      </c>
      <c r="AA92" s="89" t="str">
        <f>IF(Results!$U92="","",IF(U92&lt;&gt;"",U92,0)/SUM(Results!$U$7:$U$189))</f>
        <v/>
      </c>
      <c r="AB92" s="8"/>
      <c r="AC92" s="8"/>
      <c r="AD92" s="8"/>
      <c r="AE92" s="8"/>
      <c r="AF92" s="8"/>
      <c r="AG92" s="8"/>
      <c r="AH92" s="8"/>
      <c r="AI92" s="8"/>
      <c r="AJ92" s="8"/>
      <c r="AK92" s="8"/>
      <c r="AL92" s="8"/>
      <c r="AM92" s="8"/>
      <c r="AN92" s="8"/>
      <c r="AO92" s="8"/>
      <c r="AP92" s="8"/>
      <c r="AQ92" s="8"/>
      <c r="AR92" s="8"/>
      <c r="AS92" s="8"/>
      <c r="AT92" s="8"/>
    </row>
    <row r="93" spans="1:46" x14ac:dyDescent="0.2">
      <c r="A93" s="55" t="str">
        <f>IF(B93&lt;&gt;"",COUNTA($B$7:B93),"")</f>
        <v/>
      </c>
      <c r="B93" s="83"/>
      <c r="C93" s="83"/>
      <c r="D93" s="83" t="str">
        <f>IF(Table13[[#This Row],[Energy Source]]="","",Table13[[#This Row],[Energy Source]])</f>
        <v/>
      </c>
      <c r="E93" s="83" t="str">
        <f>IF(Table13[[#This Row],[Units]]="", "", Table13[[#This Row],[Units]])</f>
        <v/>
      </c>
      <c r="F93" s="83" t="str">
        <f>IF(Table13[[#This Row],[Annual Consumption (Baseline)]]="", "", Table13[[#This Row],[Annual Consumption (Baseline)]])</f>
        <v/>
      </c>
      <c r="G93" s="83" t="str">
        <f>IF(F93="", "", IF(Results!$C93="Energy", VLOOKUP(Results!$E93,'Emission Inputs (Optional)'!$T$10:$U$27,2,FALSE)*Table13[[#This Row],[Energy Savings]], ""))</f>
        <v/>
      </c>
      <c r="H93" s="13" t="str">
        <f>IFERROR(VLOOKUP(B93,'Emission Inputs (Optional)'!$G$9:$I$191,3,FALSE),"")</f>
        <v/>
      </c>
      <c r="I93" s="13" t="str">
        <f>IF(Results!$C93="Energy", VLOOKUP(Results!$E93,'Emission Inputs (Optional)'!$T$10:$U$27,2,FALSE)*Results!$F93, "")</f>
        <v/>
      </c>
      <c r="J93" s="13" t="str">
        <f>IF(Results!$I93&lt;&gt;"",Results!$I93*0.293071,"")</f>
        <v/>
      </c>
      <c r="K93" s="84" t="str">
        <f>IF(Results!$I93&lt;&gt;"",Results!$I93/SUM($I$7:$I$189),"")</f>
        <v/>
      </c>
      <c r="L93" s="13" t="str">
        <f>IF(Results!$F93&lt;&gt;"",I93-G93,"")</f>
        <v/>
      </c>
      <c r="M93" s="13" t="str">
        <f>IF(Results!$L93&lt;&gt;"",Results!$L93*0.293071,"")</f>
        <v/>
      </c>
      <c r="N93" s="84" t="str">
        <f>IF(Results!$M93&lt;&gt;"",Results!$M93/SUM($M$7:$M$189),"")</f>
        <v/>
      </c>
      <c r="O93" s="85" t="str">
        <f>IF(Results!$C93="Energy", VLOOKUP(Results!$D93,'Energy Costs Inputs (Optional)'!$AS$3:$AU$20,2,FALSE)*Results!$I93, "")</f>
        <v/>
      </c>
      <c r="P93" s="84" t="str">
        <f>IF(Results!$O93&lt;&gt;"",Results!$O93/SUM($O$7:$O$189),"")</f>
        <v/>
      </c>
      <c r="Q93" s="85" t="str">
        <f>IF(Results!$C93="Energy", VLOOKUP(Results!$D93,'Energy Costs Inputs (Optional)'!$AS$3:$AU$20,2,FALSE)*Results!$L93, "")</f>
        <v/>
      </c>
      <c r="R93" s="84" t="str">
        <f>IF(Results!$Q93&lt;&gt;"",Results!$Q93/SUM($Q$7:$Q$189),"")</f>
        <v/>
      </c>
      <c r="S93" s="85" t="str">
        <f t="shared" si="2"/>
        <v/>
      </c>
      <c r="T93" s="13" t="str">
        <f>IF(Results!$I93&lt;&gt;"",(HLOOKUP(Table13[[#This Row],[Units]],'Emission Inputs (Optional)'!$L$10:$R$27,MATCH(Table13[[#This Row],[Energy Source]],'Emission Inputs (Optional)'!$L$10:$L$27,0),FALSE))*Table13[[#This Row],[Annual Consumption (Baseline)]],"")</f>
        <v/>
      </c>
      <c r="U93" s="13" t="str">
        <f>IF(Results!$T93&lt;&gt;"",Results!$T93,H93)</f>
        <v/>
      </c>
      <c r="V93" s="84" t="str">
        <f>IF(Results!$U93="","",IF(U93&lt;&gt;"",U93,0)/SUM(Results!$U$7:$U$189))</f>
        <v/>
      </c>
      <c r="W93" s="101" t="str">
        <f>IF(Results!$I93&lt;&gt;"",(HLOOKUP(Table13[[#This Row],[Units]],'Emission Inputs (Optional)'!$L$10:$R$27,MATCH(Table13[[#This Row],[Energy Source]],'Emission Inputs (Optional)'!$L$10:$L$27,0),FALSE))*(Table13[[#This Row],[Annual Consumption (Baseline)]]-Table13[[#This Row],[Energy Savings]]),"")</f>
        <v/>
      </c>
      <c r="X93" s="13" t="str">
        <f>IFERROR(VLOOKUP(B93,'Emission Inputs (Optional)'!$G$9:$J$191,4,FALSE),"")</f>
        <v/>
      </c>
      <c r="Y93" s="95" t="str">
        <f>IF(Results!$W93&lt;&gt;"",Results!$W93,IF(X93&lt;&gt;"",(H93-X93),""))</f>
        <v/>
      </c>
      <c r="Z93" s="95" t="str">
        <f t="shared" si="3"/>
        <v/>
      </c>
      <c r="AA93" s="89" t="str">
        <f>IF(Results!$U93="","",IF(U93&lt;&gt;"",U93,0)/SUM(Results!$U$7:$U$189))</f>
        <v/>
      </c>
      <c r="AB93" s="8"/>
      <c r="AC93" s="8"/>
      <c r="AD93" s="8"/>
      <c r="AE93" s="8"/>
      <c r="AF93" s="8"/>
      <c r="AG93" s="8"/>
      <c r="AH93" s="8"/>
      <c r="AI93" s="8"/>
      <c r="AJ93" s="8"/>
      <c r="AK93" s="8"/>
      <c r="AL93" s="8"/>
      <c r="AM93" s="8"/>
      <c r="AN93" s="8"/>
      <c r="AO93" s="8"/>
      <c r="AP93" s="8"/>
      <c r="AQ93" s="8"/>
      <c r="AR93" s="8"/>
      <c r="AS93" s="8"/>
      <c r="AT93" s="8"/>
    </row>
    <row r="94" spans="1:46" x14ac:dyDescent="0.2">
      <c r="A94" s="55" t="str">
        <f>IF(B94&lt;&gt;"",COUNTA($B$7:B94),"")</f>
        <v/>
      </c>
      <c r="B94" s="83"/>
      <c r="C94" s="83"/>
      <c r="D94" s="83" t="str">
        <f>IF(Table13[[#This Row],[Energy Source]]="","",Table13[[#This Row],[Energy Source]])</f>
        <v/>
      </c>
      <c r="E94" s="83" t="str">
        <f>IF(Table13[[#This Row],[Units]]="", "", Table13[[#This Row],[Units]])</f>
        <v/>
      </c>
      <c r="F94" s="83" t="str">
        <f>IF(Table13[[#This Row],[Annual Consumption (Baseline)]]="", "", Table13[[#This Row],[Annual Consumption (Baseline)]])</f>
        <v/>
      </c>
      <c r="G94" s="83" t="str">
        <f>IF(F94="", "", IF(Results!$C94="Energy", VLOOKUP(Results!$E94,'Emission Inputs (Optional)'!$T$10:$U$27,2,FALSE)*Table13[[#This Row],[Energy Savings]], ""))</f>
        <v/>
      </c>
      <c r="H94" s="13" t="str">
        <f>IFERROR(VLOOKUP(B94,'Emission Inputs (Optional)'!$G$9:$I$191,3,FALSE),"")</f>
        <v/>
      </c>
      <c r="I94" s="13" t="str">
        <f>IF(Results!$C94="Energy", VLOOKUP(Results!$E94,'Emission Inputs (Optional)'!$T$10:$U$27,2,FALSE)*Results!$F94, "")</f>
        <v/>
      </c>
      <c r="J94" s="13" t="str">
        <f>IF(Results!$I94&lt;&gt;"",Results!$I94*0.293071,"")</f>
        <v/>
      </c>
      <c r="K94" s="84" t="str">
        <f>IF(Results!$I94&lt;&gt;"",Results!$I94/SUM($I$7:$I$189),"")</f>
        <v/>
      </c>
      <c r="L94" s="13" t="str">
        <f>IF(Results!$F94&lt;&gt;"",I94-G94,"")</f>
        <v/>
      </c>
      <c r="M94" s="13" t="str">
        <f>IF(Results!$L94&lt;&gt;"",Results!$L94*0.293071,"")</f>
        <v/>
      </c>
      <c r="N94" s="84" t="str">
        <f>IF(Results!$M94&lt;&gt;"",Results!$M94/SUM($M$7:$M$189),"")</f>
        <v/>
      </c>
      <c r="O94" s="85" t="str">
        <f>IF(Results!$C94="Energy", VLOOKUP(Results!$D94,'Energy Costs Inputs (Optional)'!$AS$3:$AU$20,2,FALSE)*Results!$I94, "")</f>
        <v/>
      </c>
      <c r="P94" s="84" t="str">
        <f>IF(Results!$O94&lt;&gt;"",Results!$O94/SUM($O$7:$O$189),"")</f>
        <v/>
      </c>
      <c r="Q94" s="85" t="str">
        <f>IF(Results!$C94="Energy", VLOOKUP(Results!$D94,'Energy Costs Inputs (Optional)'!$AS$3:$AU$20,2,FALSE)*Results!$L94, "")</f>
        <v/>
      </c>
      <c r="R94" s="84" t="str">
        <f>IF(Results!$Q94&lt;&gt;"",Results!$Q94/SUM($Q$7:$Q$189),"")</f>
        <v/>
      </c>
      <c r="S94" s="85" t="str">
        <f t="shared" si="2"/>
        <v/>
      </c>
      <c r="T94" s="13" t="str">
        <f>IF(Results!$I94&lt;&gt;"",(HLOOKUP(Table13[[#This Row],[Units]],'Emission Inputs (Optional)'!$L$10:$R$27,MATCH(Table13[[#This Row],[Energy Source]],'Emission Inputs (Optional)'!$L$10:$L$27,0),FALSE))*Table13[[#This Row],[Annual Consumption (Baseline)]],"")</f>
        <v/>
      </c>
      <c r="U94" s="13" t="str">
        <f>IF(Results!$T94&lt;&gt;"",Results!$T94,H94)</f>
        <v/>
      </c>
      <c r="V94" s="84" t="str">
        <f>IF(Results!$U94="","",IF(U94&lt;&gt;"",U94,0)/SUM(Results!$U$7:$U$189))</f>
        <v/>
      </c>
      <c r="W94" s="101" t="str">
        <f>IF(Results!$I94&lt;&gt;"",(HLOOKUP(Table13[[#This Row],[Units]],'Emission Inputs (Optional)'!$L$10:$R$27,MATCH(Table13[[#This Row],[Energy Source]],'Emission Inputs (Optional)'!$L$10:$L$27,0),FALSE))*(Table13[[#This Row],[Annual Consumption (Baseline)]]-Table13[[#This Row],[Energy Savings]]),"")</f>
        <v/>
      </c>
      <c r="X94" s="13" t="str">
        <f>IFERROR(VLOOKUP(B94,'Emission Inputs (Optional)'!$G$9:$J$191,4,FALSE),"")</f>
        <v/>
      </c>
      <c r="Y94" s="95" t="str">
        <f>IF(Results!$W94&lt;&gt;"",Results!$W94,IF(X94&lt;&gt;"",(H94-X94),""))</f>
        <v/>
      </c>
      <c r="Z94" s="95" t="str">
        <f t="shared" si="3"/>
        <v/>
      </c>
      <c r="AA94" s="89" t="str">
        <f>IF(Results!$U94="","",IF(U94&lt;&gt;"",U94,0)/SUM(Results!$U$7:$U$189))</f>
        <v/>
      </c>
      <c r="AB94" s="8"/>
      <c r="AC94" s="8"/>
      <c r="AD94" s="8"/>
      <c r="AE94" s="8"/>
      <c r="AF94" s="8"/>
      <c r="AG94" s="8"/>
      <c r="AH94" s="8"/>
      <c r="AI94" s="8"/>
      <c r="AJ94" s="8"/>
      <c r="AK94" s="8"/>
      <c r="AL94" s="8"/>
      <c r="AM94" s="8"/>
      <c r="AN94" s="8"/>
      <c r="AO94" s="8"/>
      <c r="AP94" s="8"/>
      <c r="AQ94" s="8"/>
      <c r="AR94" s="8"/>
      <c r="AS94" s="8"/>
      <c r="AT94" s="8"/>
    </row>
    <row r="95" spans="1:46" x14ac:dyDescent="0.2">
      <c r="A95" s="55" t="str">
        <f>IF(B95&lt;&gt;"",COUNTA($B$7:B95),"")</f>
        <v/>
      </c>
      <c r="B95" s="83"/>
      <c r="C95" s="83"/>
      <c r="D95" s="83" t="str">
        <f>IF(Table13[[#This Row],[Energy Source]]="","",Table13[[#This Row],[Energy Source]])</f>
        <v/>
      </c>
      <c r="E95" s="83" t="str">
        <f>IF(Table13[[#This Row],[Units]]="", "", Table13[[#This Row],[Units]])</f>
        <v/>
      </c>
      <c r="F95" s="83" t="str">
        <f>IF(Table13[[#This Row],[Annual Consumption (Baseline)]]="", "", Table13[[#This Row],[Annual Consumption (Baseline)]])</f>
        <v/>
      </c>
      <c r="G95" s="83" t="str">
        <f>IF(F95="", "", IF(Results!$C95="Energy", VLOOKUP(Results!$E95,'Emission Inputs (Optional)'!$T$10:$U$27,2,FALSE)*Table13[[#This Row],[Energy Savings]], ""))</f>
        <v/>
      </c>
      <c r="H95" s="13" t="str">
        <f>IFERROR(VLOOKUP(B95,'Emission Inputs (Optional)'!$G$9:$I$191,3,FALSE),"")</f>
        <v/>
      </c>
      <c r="I95" s="13" t="str">
        <f>IF(Results!$C95="Energy", VLOOKUP(Results!$E95,'Emission Inputs (Optional)'!$T$10:$U$27,2,FALSE)*Results!$F95, "")</f>
        <v/>
      </c>
      <c r="J95" s="13" t="str">
        <f>IF(Results!$I95&lt;&gt;"",Results!$I95*0.293071,"")</f>
        <v/>
      </c>
      <c r="K95" s="84" t="str">
        <f>IF(Results!$I95&lt;&gt;"",Results!$I95/SUM($I$7:$I$189),"")</f>
        <v/>
      </c>
      <c r="L95" s="13" t="str">
        <f>IF(Results!$F95&lt;&gt;"",I95-G95,"")</f>
        <v/>
      </c>
      <c r="M95" s="13" t="str">
        <f>IF(Results!$L95&lt;&gt;"",Results!$L95*0.293071,"")</f>
        <v/>
      </c>
      <c r="N95" s="84" t="str">
        <f>IF(Results!$M95&lt;&gt;"",Results!$M95/SUM($M$7:$M$189),"")</f>
        <v/>
      </c>
      <c r="O95" s="85" t="str">
        <f>IF(Results!$C95="Energy", VLOOKUP(Results!$D95,'Energy Costs Inputs (Optional)'!$AS$3:$AU$20,2,FALSE)*Results!$I95, "")</f>
        <v/>
      </c>
      <c r="P95" s="84" t="str">
        <f>IF(Results!$O95&lt;&gt;"",Results!$O95/SUM($O$7:$O$189),"")</f>
        <v/>
      </c>
      <c r="Q95" s="85" t="str">
        <f>IF(Results!$C95="Energy", VLOOKUP(Results!$D95,'Energy Costs Inputs (Optional)'!$AS$3:$AU$20,2,FALSE)*Results!$L95, "")</f>
        <v/>
      </c>
      <c r="R95" s="84" t="str">
        <f>IF(Results!$Q95&lt;&gt;"",Results!$Q95/SUM($Q$7:$Q$189),"")</f>
        <v/>
      </c>
      <c r="S95" s="85" t="str">
        <f t="shared" si="2"/>
        <v/>
      </c>
      <c r="T95" s="13" t="str">
        <f>IF(Results!$I95&lt;&gt;"",(HLOOKUP(Table13[[#This Row],[Units]],'Emission Inputs (Optional)'!$L$10:$R$27,MATCH(Table13[[#This Row],[Energy Source]],'Emission Inputs (Optional)'!$L$10:$L$27,0),FALSE))*Table13[[#This Row],[Annual Consumption (Baseline)]],"")</f>
        <v/>
      </c>
      <c r="U95" s="13" t="str">
        <f>IF(Results!$T95&lt;&gt;"",Results!$T95,H95)</f>
        <v/>
      </c>
      <c r="V95" s="84" t="str">
        <f>IF(Results!$U95="","",IF(U95&lt;&gt;"",U95,0)/SUM(Results!$U$7:$U$189))</f>
        <v/>
      </c>
      <c r="W95" s="101" t="str">
        <f>IF(Results!$I95&lt;&gt;"",(HLOOKUP(Table13[[#This Row],[Units]],'Emission Inputs (Optional)'!$L$10:$R$27,MATCH(Table13[[#This Row],[Energy Source]],'Emission Inputs (Optional)'!$L$10:$L$27,0),FALSE))*(Table13[[#This Row],[Annual Consumption (Baseline)]]-Table13[[#This Row],[Energy Savings]]),"")</f>
        <v/>
      </c>
      <c r="X95" s="13" t="str">
        <f>IFERROR(VLOOKUP(B95,'Emission Inputs (Optional)'!$G$9:$J$191,4,FALSE),"")</f>
        <v/>
      </c>
      <c r="Y95" s="95" t="str">
        <f>IF(Results!$W95&lt;&gt;"",Results!$W95,IF(X95&lt;&gt;"",(H95-X95),""))</f>
        <v/>
      </c>
      <c r="Z95" s="95" t="str">
        <f t="shared" si="3"/>
        <v/>
      </c>
      <c r="AA95" s="89" t="str">
        <f>IF(Results!$U95="","",IF(U95&lt;&gt;"",U95,0)/SUM(Results!$U$7:$U$189))</f>
        <v/>
      </c>
      <c r="AB95" s="8"/>
      <c r="AC95" s="8"/>
      <c r="AD95" s="8"/>
      <c r="AE95" s="8"/>
      <c r="AF95" s="8"/>
      <c r="AG95" s="8"/>
      <c r="AH95" s="8"/>
      <c r="AI95" s="8"/>
      <c r="AJ95" s="8"/>
      <c r="AK95" s="8"/>
      <c r="AL95" s="8"/>
      <c r="AM95" s="8"/>
      <c r="AN95" s="8"/>
      <c r="AO95" s="8"/>
      <c r="AP95" s="8"/>
      <c r="AQ95" s="8"/>
      <c r="AR95" s="8"/>
      <c r="AS95" s="8"/>
      <c r="AT95" s="8"/>
    </row>
    <row r="96" spans="1:46" x14ac:dyDescent="0.2">
      <c r="A96" s="55" t="str">
        <f>IF(B96&lt;&gt;"",COUNTA($B$7:B96),"")</f>
        <v/>
      </c>
      <c r="B96" s="83"/>
      <c r="C96" s="83"/>
      <c r="D96" s="83" t="str">
        <f>IF(Table13[[#This Row],[Energy Source]]="","",Table13[[#This Row],[Energy Source]])</f>
        <v/>
      </c>
      <c r="E96" s="83" t="str">
        <f>IF(Table13[[#This Row],[Units]]="", "", Table13[[#This Row],[Units]])</f>
        <v/>
      </c>
      <c r="F96" s="83" t="str">
        <f>IF(Table13[[#This Row],[Annual Consumption (Baseline)]]="", "", Table13[[#This Row],[Annual Consumption (Baseline)]])</f>
        <v/>
      </c>
      <c r="G96" s="83" t="str">
        <f>IF(F96="", "", IF(Results!$C96="Energy", VLOOKUP(Results!$E96,'Emission Inputs (Optional)'!$T$10:$U$27,2,FALSE)*Table13[[#This Row],[Energy Savings]], ""))</f>
        <v/>
      </c>
      <c r="H96" s="13" t="str">
        <f>IFERROR(VLOOKUP(B96,'Emission Inputs (Optional)'!$G$9:$I$191,3,FALSE),"")</f>
        <v/>
      </c>
      <c r="I96" s="13" t="str">
        <f>IF(Results!$C96="Energy", VLOOKUP(Results!$E96,'Emission Inputs (Optional)'!$T$10:$U$27,2,FALSE)*Results!$F96, "")</f>
        <v/>
      </c>
      <c r="J96" s="13" t="str">
        <f>IF(Results!$I96&lt;&gt;"",Results!$I96*0.293071,"")</f>
        <v/>
      </c>
      <c r="K96" s="84" t="str">
        <f>IF(Results!$I96&lt;&gt;"",Results!$I96/SUM($I$7:$I$189),"")</f>
        <v/>
      </c>
      <c r="L96" s="13" t="str">
        <f>IF(Results!$F96&lt;&gt;"",I96-G96,"")</f>
        <v/>
      </c>
      <c r="M96" s="13" t="str">
        <f>IF(Results!$L96&lt;&gt;"",Results!$L96*0.293071,"")</f>
        <v/>
      </c>
      <c r="N96" s="84" t="str">
        <f>IF(Results!$M96&lt;&gt;"",Results!$M96/SUM($M$7:$M$189),"")</f>
        <v/>
      </c>
      <c r="O96" s="85" t="str">
        <f>IF(Results!$C96="Energy", VLOOKUP(Results!$D96,'Energy Costs Inputs (Optional)'!$AS$3:$AU$20,2,FALSE)*Results!$I96, "")</f>
        <v/>
      </c>
      <c r="P96" s="84" t="str">
        <f>IF(Results!$O96&lt;&gt;"",Results!$O96/SUM($O$7:$O$189),"")</f>
        <v/>
      </c>
      <c r="Q96" s="85" t="str">
        <f>IF(Results!$C96="Energy", VLOOKUP(Results!$D96,'Energy Costs Inputs (Optional)'!$AS$3:$AU$20,2,FALSE)*Results!$L96, "")</f>
        <v/>
      </c>
      <c r="R96" s="84" t="str">
        <f>IF(Results!$Q96&lt;&gt;"",Results!$Q96/SUM($Q$7:$Q$189),"")</f>
        <v/>
      </c>
      <c r="S96" s="85" t="str">
        <f t="shared" si="2"/>
        <v/>
      </c>
      <c r="T96" s="13" t="str">
        <f>IF(Results!$I96&lt;&gt;"",(HLOOKUP(Table13[[#This Row],[Units]],'Emission Inputs (Optional)'!$L$10:$R$27,MATCH(Table13[[#This Row],[Energy Source]],'Emission Inputs (Optional)'!$L$10:$L$27,0),FALSE))*Table13[[#This Row],[Annual Consumption (Baseline)]],"")</f>
        <v/>
      </c>
      <c r="U96" s="13" t="str">
        <f>IF(Results!$T96&lt;&gt;"",Results!$T96,H96)</f>
        <v/>
      </c>
      <c r="V96" s="84" t="str">
        <f>IF(Results!$U96="","",IF(U96&lt;&gt;"",U96,0)/SUM(Results!$U$7:$U$189))</f>
        <v/>
      </c>
      <c r="W96" s="101" t="str">
        <f>IF(Results!$I96&lt;&gt;"",(HLOOKUP(Table13[[#This Row],[Units]],'Emission Inputs (Optional)'!$L$10:$R$27,MATCH(Table13[[#This Row],[Energy Source]],'Emission Inputs (Optional)'!$L$10:$L$27,0),FALSE))*(Table13[[#This Row],[Annual Consumption (Baseline)]]-Table13[[#This Row],[Energy Savings]]),"")</f>
        <v/>
      </c>
      <c r="X96" s="13" t="str">
        <f>IFERROR(VLOOKUP(B96,'Emission Inputs (Optional)'!$G$9:$J$191,4,FALSE),"")</f>
        <v/>
      </c>
      <c r="Y96" s="95" t="str">
        <f>IF(Results!$W96&lt;&gt;"",Results!$W96,IF(X96&lt;&gt;"",(H96-X96),""))</f>
        <v/>
      </c>
      <c r="Z96" s="95" t="str">
        <f t="shared" si="3"/>
        <v/>
      </c>
      <c r="AA96" s="89" t="str">
        <f>IF(Results!$U96="","",IF(U96&lt;&gt;"",U96,0)/SUM(Results!$U$7:$U$189))</f>
        <v/>
      </c>
      <c r="AB96" s="8"/>
      <c r="AC96" s="8"/>
      <c r="AD96" s="8"/>
      <c r="AE96" s="8"/>
      <c r="AF96" s="8"/>
      <c r="AG96" s="8"/>
      <c r="AH96" s="8"/>
      <c r="AI96" s="8"/>
      <c r="AJ96" s="8"/>
      <c r="AK96" s="8"/>
      <c r="AL96" s="8"/>
      <c r="AM96" s="8"/>
      <c r="AN96" s="8"/>
      <c r="AO96" s="8"/>
      <c r="AP96" s="8"/>
      <c r="AQ96" s="8"/>
      <c r="AR96" s="8"/>
      <c r="AS96" s="8"/>
      <c r="AT96" s="8"/>
    </row>
    <row r="97" spans="1:46" x14ac:dyDescent="0.2">
      <c r="A97" s="55" t="str">
        <f>IF(B97&lt;&gt;"",COUNTA($B$7:B97),"")</f>
        <v/>
      </c>
      <c r="B97" s="83"/>
      <c r="C97" s="83"/>
      <c r="D97" s="83" t="str">
        <f>IF(Table13[[#This Row],[Energy Source]]="","",Table13[[#This Row],[Energy Source]])</f>
        <v/>
      </c>
      <c r="E97" s="83" t="str">
        <f>IF(Table13[[#This Row],[Units]]="", "", Table13[[#This Row],[Units]])</f>
        <v/>
      </c>
      <c r="F97" s="83" t="str">
        <f>IF(Table13[[#This Row],[Annual Consumption (Baseline)]]="", "", Table13[[#This Row],[Annual Consumption (Baseline)]])</f>
        <v/>
      </c>
      <c r="G97" s="83" t="str">
        <f>IF(F97="", "", IF(Results!$C97="Energy", VLOOKUP(Results!$E97,'Emission Inputs (Optional)'!$T$10:$U$27,2,FALSE)*Table13[[#This Row],[Energy Savings]], ""))</f>
        <v/>
      </c>
      <c r="H97" s="13" t="str">
        <f>IFERROR(VLOOKUP(B97,'Emission Inputs (Optional)'!$G$9:$I$191,3,FALSE),"")</f>
        <v/>
      </c>
      <c r="I97" s="13" t="str">
        <f>IF(Results!$C97="Energy", VLOOKUP(Results!$E97,'Emission Inputs (Optional)'!$T$10:$U$27,2,FALSE)*Results!$F97, "")</f>
        <v/>
      </c>
      <c r="J97" s="13" t="str">
        <f>IF(Results!$I97&lt;&gt;"",Results!$I97*0.293071,"")</f>
        <v/>
      </c>
      <c r="K97" s="84" t="str">
        <f>IF(Results!$I97&lt;&gt;"",Results!$I97/SUM($I$7:$I$189),"")</f>
        <v/>
      </c>
      <c r="L97" s="13" t="str">
        <f>IF(Results!$F97&lt;&gt;"",I97-G97,"")</f>
        <v/>
      </c>
      <c r="M97" s="13" t="str">
        <f>IF(Results!$L97&lt;&gt;"",Results!$L97*0.293071,"")</f>
        <v/>
      </c>
      <c r="N97" s="84" t="str">
        <f>IF(Results!$M97&lt;&gt;"",Results!$M97/SUM($M$7:$M$189),"")</f>
        <v/>
      </c>
      <c r="O97" s="85" t="str">
        <f>IF(Results!$C97="Energy", VLOOKUP(Results!$D97,'Energy Costs Inputs (Optional)'!$AS$3:$AU$20,2,FALSE)*Results!$I97, "")</f>
        <v/>
      </c>
      <c r="P97" s="84" t="str">
        <f>IF(Results!$O97&lt;&gt;"",Results!$O97/SUM($O$7:$O$189),"")</f>
        <v/>
      </c>
      <c r="Q97" s="85" t="str">
        <f>IF(Results!$C97="Energy", VLOOKUP(Results!$D97,'Energy Costs Inputs (Optional)'!$AS$3:$AU$20,2,FALSE)*Results!$L97, "")</f>
        <v/>
      </c>
      <c r="R97" s="84" t="str">
        <f>IF(Results!$Q97&lt;&gt;"",Results!$Q97/SUM($Q$7:$Q$189),"")</f>
        <v/>
      </c>
      <c r="S97" s="85" t="str">
        <f t="shared" si="2"/>
        <v/>
      </c>
      <c r="T97" s="13" t="str">
        <f>IF(Results!$I97&lt;&gt;"",(HLOOKUP(Table13[[#This Row],[Units]],'Emission Inputs (Optional)'!$L$10:$R$27,MATCH(Table13[[#This Row],[Energy Source]],'Emission Inputs (Optional)'!$L$10:$L$27,0),FALSE))*Table13[[#This Row],[Annual Consumption (Baseline)]],"")</f>
        <v/>
      </c>
      <c r="U97" s="13" t="str">
        <f>IF(Results!$T97&lt;&gt;"",Results!$T97,H97)</f>
        <v/>
      </c>
      <c r="V97" s="84" t="str">
        <f>IF(Results!$U97="","",IF(U97&lt;&gt;"",U97,0)/SUM(Results!$U$7:$U$189))</f>
        <v/>
      </c>
      <c r="W97" s="101" t="str">
        <f>IF(Results!$I97&lt;&gt;"",(HLOOKUP(Table13[[#This Row],[Units]],'Emission Inputs (Optional)'!$L$10:$R$27,MATCH(Table13[[#This Row],[Energy Source]],'Emission Inputs (Optional)'!$L$10:$L$27,0),FALSE))*(Table13[[#This Row],[Annual Consumption (Baseline)]]-Table13[[#This Row],[Energy Savings]]),"")</f>
        <v/>
      </c>
      <c r="X97" s="13" t="str">
        <f>IFERROR(VLOOKUP(B97,'Emission Inputs (Optional)'!$G$9:$J$191,4,FALSE),"")</f>
        <v/>
      </c>
      <c r="Y97" s="95" t="str">
        <f>IF(Results!$W97&lt;&gt;"",Results!$W97,IF(X97&lt;&gt;"",(H97-X97),""))</f>
        <v/>
      </c>
      <c r="Z97" s="95" t="str">
        <f t="shared" si="3"/>
        <v/>
      </c>
      <c r="AA97" s="89" t="str">
        <f>IF(Results!$U97="","",IF(U97&lt;&gt;"",U97,0)/SUM(Results!$U$7:$U$189))</f>
        <v/>
      </c>
      <c r="AB97" s="8"/>
      <c r="AC97" s="8"/>
      <c r="AD97" s="8"/>
      <c r="AE97" s="8"/>
      <c r="AF97" s="8"/>
      <c r="AG97" s="8"/>
      <c r="AH97" s="8"/>
      <c r="AI97" s="8"/>
      <c r="AJ97" s="8"/>
      <c r="AK97" s="8"/>
      <c r="AL97" s="8"/>
      <c r="AM97" s="8"/>
      <c r="AN97" s="8"/>
      <c r="AO97" s="8"/>
      <c r="AP97" s="8"/>
      <c r="AQ97" s="8"/>
      <c r="AR97" s="8"/>
      <c r="AS97" s="8"/>
      <c r="AT97" s="8"/>
    </row>
    <row r="98" spans="1:46" x14ac:dyDescent="0.2">
      <c r="A98" s="55" t="str">
        <f>IF(B98&lt;&gt;"",COUNTA($B$7:B98),"")</f>
        <v/>
      </c>
      <c r="B98" s="83"/>
      <c r="C98" s="83"/>
      <c r="D98" s="83" t="str">
        <f>IF(Table13[[#This Row],[Energy Source]]="","",Table13[[#This Row],[Energy Source]])</f>
        <v/>
      </c>
      <c r="E98" s="83" t="str">
        <f>IF(Table13[[#This Row],[Units]]="", "", Table13[[#This Row],[Units]])</f>
        <v/>
      </c>
      <c r="F98" s="83" t="str">
        <f>IF(Table13[[#This Row],[Annual Consumption (Baseline)]]="", "", Table13[[#This Row],[Annual Consumption (Baseline)]])</f>
        <v/>
      </c>
      <c r="G98" s="83" t="str">
        <f>IF(F98="", "", IF(Results!$C98="Energy", VLOOKUP(Results!$E98,'Emission Inputs (Optional)'!$T$10:$U$27,2,FALSE)*Table13[[#This Row],[Energy Savings]], ""))</f>
        <v/>
      </c>
      <c r="H98" s="13" t="str">
        <f>IFERROR(VLOOKUP(B98,'Emission Inputs (Optional)'!$G$9:$I$191,3,FALSE),"")</f>
        <v/>
      </c>
      <c r="I98" s="13" t="str">
        <f>IF(Results!$C98="Energy", VLOOKUP(Results!$E98,'Emission Inputs (Optional)'!$T$10:$U$27,2,FALSE)*Results!$F98, "")</f>
        <v/>
      </c>
      <c r="J98" s="13" t="str">
        <f>IF(Results!$I98&lt;&gt;"",Results!$I98*0.293071,"")</f>
        <v/>
      </c>
      <c r="K98" s="84" t="str">
        <f>IF(Results!$I98&lt;&gt;"",Results!$I98/SUM($I$7:$I$189),"")</f>
        <v/>
      </c>
      <c r="L98" s="13" t="str">
        <f>IF(Results!$F98&lt;&gt;"",I98-G98,"")</f>
        <v/>
      </c>
      <c r="M98" s="13" t="str">
        <f>IF(Results!$L98&lt;&gt;"",Results!$L98*0.293071,"")</f>
        <v/>
      </c>
      <c r="N98" s="84" t="str">
        <f>IF(Results!$M98&lt;&gt;"",Results!$M98/SUM($M$7:$M$189),"")</f>
        <v/>
      </c>
      <c r="O98" s="85" t="str">
        <f>IF(Results!$C98="Energy", VLOOKUP(Results!$D98,'Energy Costs Inputs (Optional)'!$AS$3:$AU$20,2,FALSE)*Results!$I98, "")</f>
        <v/>
      </c>
      <c r="P98" s="84" t="str">
        <f>IF(Results!$O98&lt;&gt;"",Results!$O98/SUM($O$7:$O$189),"")</f>
        <v/>
      </c>
      <c r="Q98" s="85" t="str">
        <f>IF(Results!$C98="Energy", VLOOKUP(Results!$D98,'Energy Costs Inputs (Optional)'!$AS$3:$AU$20,2,FALSE)*Results!$L98, "")</f>
        <v/>
      </c>
      <c r="R98" s="84" t="str">
        <f>IF(Results!$Q98&lt;&gt;"",Results!$Q98/SUM($Q$7:$Q$189),"")</f>
        <v/>
      </c>
      <c r="S98" s="85" t="str">
        <f t="shared" si="2"/>
        <v/>
      </c>
      <c r="T98" s="13" t="str">
        <f>IF(Results!$I98&lt;&gt;"",(HLOOKUP(Table13[[#This Row],[Units]],'Emission Inputs (Optional)'!$L$10:$R$27,MATCH(Table13[[#This Row],[Energy Source]],'Emission Inputs (Optional)'!$L$10:$L$27,0),FALSE))*Table13[[#This Row],[Annual Consumption (Baseline)]],"")</f>
        <v/>
      </c>
      <c r="U98" s="13" t="str">
        <f>IF(Results!$T98&lt;&gt;"",Results!$T98,H98)</f>
        <v/>
      </c>
      <c r="V98" s="84" t="str">
        <f>IF(Results!$U98="","",IF(U98&lt;&gt;"",U98,0)/SUM(Results!$U$7:$U$189))</f>
        <v/>
      </c>
      <c r="W98" s="101" t="str">
        <f>IF(Results!$I98&lt;&gt;"",(HLOOKUP(Table13[[#This Row],[Units]],'Emission Inputs (Optional)'!$L$10:$R$27,MATCH(Table13[[#This Row],[Energy Source]],'Emission Inputs (Optional)'!$L$10:$L$27,0),FALSE))*(Table13[[#This Row],[Annual Consumption (Baseline)]]-Table13[[#This Row],[Energy Savings]]),"")</f>
        <v/>
      </c>
      <c r="X98" s="13" t="str">
        <f>IFERROR(VLOOKUP(B98,'Emission Inputs (Optional)'!$G$9:$J$191,4,FALSE),"")</f>
        <v/>
      </c>
      <c r="Y98" s="95" t="str">
        <f>IF(Results!$W98&lt;&gt;"",Results!$W98,IF(X98&lt;&gt;"",(H98-X98),""))</f>
        <v/>
      </c>
      <c r="Z98" s="95" t="str">
        <f t="shared" si="3"/>
        <v/>
      </c>
      <c r="AA98" s="89" t="str">
        <f>IF(Results!$U98="","",IF(U98&lt;&gt;"",U98,0)/SUM(Results!$U$7:$U$189))</f>
        <v/>
      </c>
      <c r="AB98" s="8"/>
      <c r="AC98" s="8"/>
      <c r="AD98" s="8"/>
      <c r="AE98" s="8"/>
      <c r="AF98" s="8"/>
      <c r="AG98" s="8"/>
      <c r="AH98" s="8"/>
      <c r="AI98" s="8"/>
      <c r="AJ98" s="8"/>
      <c r="AK98" s="8"/>
      <c r="AL98" s="8"/>
      <c r="AM98" s="8"/>
      <c r="AN98" s="8"/>
      <c r="AO98" s="8"/>
      <c r="AP98" s="8"/>
      <c r="AQ98" s="8"/>
      <c r="AR98" s="8"/>
      <c r="AS98" s="8"/>
      <c r="AT98" s="8"/>
    </row>
    <row r="99" spans="1:46" x14ac:dyDescent="0.2">
      <c r="A99" s="55" t="str">
        <f>IF(B99&lt;&gt;"",COUNTA($B$7:B99),"")</f>
        <v/>
      </c>
      <c r="B99" s="83"/>
      <c r="C99" s="83"/>
      <c r="D99" s="83" t="str">
        <f>IF(Table13[[#This Row],[Energy Source]]="","",Table13[[#This Row],[Energy Source]])</f>
        <v/>
      </c>
      <c r="E99" s="83" t="str">
        <f>IF(Table13[[#This Row],[Units]]="", "", Table13[[#This Row],[Units]])</f>
        <v/>
      </c>
      <c r="F99" s="83" t="str">
        <f>IF(Table13[[#This Row],[Annual Consumption (Baseline)]]="", "", Table13[[#This Row],[Annual Consumption (Baseline)]])</f>
        <v/>
      </c>
      <c r="G99" s="83" t="str">
        <f>IF(F99="", "", IF(Results!$C99="Energy", VLOOKUP(Results!$E99,'Emission Inputs (Optional)'!$T$10:$U$27,2,FALSE)*Table13[[#This Row],[Energy Savings]], ""))</f>
        <v/>
      </c>
      <c r="H99" s="13" t="str">
        <f>IFERROR(VLOOKUP(B99,'Emission Inputs (Optional)'!$G$9:$I$191,3,FALSE),"")</f>
        <v/>
      </c>
      <c r="I99" s="13" t="str">
        <f>IF(Results!$C99="Energy", VLOOKUP(Results!$E99,'Emission Inputs (Optional)'!$T$10:$U$27,2,FALSE)*Results!$F99, "")</f>
        <v/>
      </c>
      <c r="J99" s="13" t="str">
        <f>IF(Results!$I99&lt;&gt;"",Results!$I99*0.293071,"")</f>
        <v/>
      </c>
      <c r="K99" s="84" t="str">
        <f>IF(Results!$I99&lt;&gt;"",Results!$I99/SUM($I$7:$I$189),"")</f>
        <v/>
      </c>
      <c r="L99" s="13" t="str">
        <f>IF(Results!$F99&lt;&gt;"",I99-G99,"")</f>
        <v/>
      </c>
      <c r="M99" s="13" t="str">
        <f>IF(Results!$L99&lt;&gt;"",Results!$L99*0.293071,"")</f>
        <v/>
      </c>
      <c r="N99" s="84" t="str">
        <f>IF(Results!$M99&lt;&gt;"",Results!$M99/SUM($M$7:$M$189),"")</f>
        <v/>
      </c>
      <c r="O99" s="85" t="str">
        <f>IF(Results!$C99="Energy", VLOOKUP(Results!$D99,'Energy Costs Inputs (Optional)'!$AS$3:$AU$20,2,FALSE)*Results!$I99, "")</f>
        <v/>
      </c>
      <c r="P99" s="84" t="str">
        <f>IF(Results!$O99&lt;&gt;"",Results!$O99/SUM($O$7:$O$189),"")</f>
        <v/>
      </c>
      <c r="Q99" s="85" t="str">
        <f>IF(Results!$C99="Energy", VLOOKUP(Results!$D99,'Energy Costs Inputs (Optional)'!$AS$3:$AU$20,2,FALSE)*Results!$L99, "")</f>
        <v/>
      </c>
      <c r="R99" s="84" t="str">
        <f>IF(Results!$Q99&lt;&gt;"",Results!$Q99/SUM($Q$7:$Q$189),"")</f>
        <v/>
      </c>
      <c r="S99" s="85" t="str">
        <f t="shared" si="2"/>
        <v/>
      </c>
      <c r="T99" s="13" t="str">
        <f>IF(Results!$I99&lt;&gt;"",(HLOOKUP(Table13[[#This Row],[Units]],'Emission Inputs (Optional)'!$L$10:$R$27,MATCH(Table13[[#This Row],[Energy Source]],'Emission Inputs (Optional)'!$L$10:$L$27,0),FALSE))*Table13[[#This Row],[Annual Consumption (Baseline)]],"")</f>
        <v/>
      </c>
      <c r="U99" s="13" t="str">
        <f>IF(Results!$T99&lt;&gt;"",Results!$T99,H99)</f>
        <v/>
      </c>
      <c r="V99" s="84" t="str">
        <f>IF(Results!$U99="","",IF(U99&lt;&gt;"",U99,0)/SUM(Results!$U$7:$U$189))</f>
        <v/>
      </c>
      <c r="W99" s="101" t="str">
        <f>IF(Results!$I99&lt;&gt;"",(HLOOKUP(Table13[[#This Row],[Units]],'Emission Inputs (Optional)'!$L$10:$R$27,MATCH(Table13[[#This Row],[Energy Source]],'Emission Inputs (Optional)'!$L$10:$L$27,0),FALSE))*(Table13[[#This Row],[Annual Consumption (Baseline)]]-Table13[[#This Row],[Energy Savings]]),"")</f>
        <v/>
      </c>
      <c r="X99" s="13" t="str">
        <f>IFERROR(VLOOKUP(B99,'Emission Inputs (Optional)'!$G$9:$J$191,4,FALSE),"")</f>
        <v/>
      </c>
      <c r="Y99" s="95" t="str">
        <f>IF(Results!$W99&lt;&gt;"",Results!$W99,IF(X99&lt;&gt;"",(H99-X99),""))</f>
        <v/>
      </c>
      <c r="Z99" s="95" t="str">
        <f t="shared" si="3"/>
        <v/>
      </c>
      <c r="AA99" s="89" t="str">
        <f>IF(Results!$U99="","",IF(U99&lt;&gt;"",U99,0)/SUM(Results!$U$7:$U$189))</f>
        <v/>
      </c>
      <c r="AB99" s="8"/>
      <c r="AC99" s="8"/>
      <c r="AD99" s="8"/>
      <c r="AE99" s="8"/>
      <c r="AF99" s="8"/>
      <c r="AG99" s="8"/>
      <c r="AH99" s="8"/>
      <c r="AI99" s="8"/>
      <c r="AJ99" s="8"/>
      <c r="AK99" s="8"/>
      <c r="AL99" s="8"/>
      <c r="AM99" s="8"/>
      <c r="AN99" s="8"/>
      <c r="AO99" s="8"/>
      <c r="AP99" s="8"/>
      <c r="AQ99" s="8"/>
      <c r="AR99" s="8"/>
      <c r="AS99" s="8"/>
      <c r="AT99" s="8"/>
    </row>
    <row r="100" spans="1:46" x14ac:dyDescent="0.2">
      <c r="A100" s="55" t="str">
        <f>IF(B100&lt;&gt;"",COUNTA($B$7:B100),"")</f>
        <v/>
      </c>
      <c r="B100" s="83"/>
      <c r="C100" s="83"/>
      <c r="D100" s="83" t="str">
        <f>IF(Table13[[#This Row],[Energy Source]]="","",Table13[[#This Row],[Energy Source]])</f>
        <v/>
      </c>
      <c r="E100" s="83" t="str">
        <f>IF(Table13[[#This Row],[Units]]="", "", Table13[[#This Row],[Units]])</f>
        <v/>
      </c>
      <c r="F100" s="83" t="str">
        <f>IF(Table13[[#This Row],[Annual Consumption (Baseline)]]="", "", Table13[[#This Row],[Annual Consumption (Baseline)]])</f>
        <v/>
      </c>
      <c r="G100" s="83" t="str">
        <f>IF(F100="", "", IF(Results!$C100="Energy", VLOOKUP(Results!$E100,'Emission Inputs (Optional)'!$T$10:$U$27,2,FALSE)*Table13[[#This Row],[Energy Savings]], ""))</f>
        <v/>
      </c>
      <c r="H100" s="13" t="str">
        <f>IFERROR(VLOOKUP(B100,'Emission Inputs (Optional)'!$G$9:$I$191,3,FALSE),"")</f>
        <v/>
      </c>
      <c r="I100" s="13" t="str">
        <f>IF(Results!$C100="Energy", VLOOKUP(Results!$E100,'Emission Inputs (Optional)'!$T$10:$U$27,2,FALSE)*Results!$F100, "")</f>
        <v/>
      </c>
      <c r="J100" s="13" t="str">
        <f>IF(Results!$I100&lt;&gt;"",Results!$I100*0.293071,"")</f>
        <v/>
      </c>
      <c r="K100" s="84" t="str">
        <f>IF(Results!$I100&lt;&gt;"",Results!$I100/SUM($I$7:$I$189),"")</f>
        <v/>
      </c>
      <c r="L100" s="13" t="str">
        <f>IF(Results!$F100&lt;&gt;"",I100-G100,"")</f>
        <v/>
      </c>
      <c r="M100" s="13" t="str">
        <f>IF(Results!$L100&lt;&gt;"",Results!$L100*0.293071,"")</f>
        <v/>
      </c>
      <c r="N100" s="84" t="str">
        <f>IF(Results!$M100&lt;&gt;"",Results!$M100/SUM($M$7:$M$189),"")</f>
        <v/>
      </c>
      <c r="O100" s="85" t="str">
        <f>IF(Results!$C100="Energy", VLOOKUP(Results!$D100,'Energy Costs Inputs (Optional)'!$AS$3:$AU$20,2,FALSE)*Results!$I100, "")</f>
        <v/>
      </c>
      <c r="P100" s="84" t="str">
        <f>IF(Results!$O100&lt;&gt;"",Results!$O100/SUM($O$7:$O$189),"")</f>
        <v/>
      </c>
      <c r="Q100" s="85" t="str">
        <f>IF(Results!$C100="Energy", VLOOKUP(Results!$D100,'Energy Costs Inputs (Optional)'!$AS$3:$AU$20,2,FALSE)*Results!$L100, "")</f>
        <v/>
      </c>
      <c r="R100" s="84" t="str">
        <f>IF(Results!$Q100&lt;&gt;"",Results!$Q100/SUM($Q$7:$Q$189),"")</f>
        <v/>
      </c>
      <c r="S100" s="85" t="str">
        <f t="shared" si="2"/>
        <v/>
      </c>
      <c r="T100" s="13" t="str">
        <f>IF(Results!$I100&lt;&gt;"",(HLOOKUP(Table13[[#This Row],[Units]],'Emission Inputs (Optional)'!$L$10:$R$27,MATCH(Table13[[#This Row],[Energy Source]],'Emission Inputs (Optional)'!$L$10:$L$27,0),FALSE))*Table13[[#This Row],[Annual Consumption (Baseline)]],"")</f>
        <v/>
      </c>
      <c r="U100" s="13" t="str">
        <f>IF(Results!$T100&lt;&gt;"",Results!$T100,H100)</f>
        <v/>
      </c>
      <c r="V100" s="84" t="str">
        <f>IF(Results!$U100="","",IF(U100&lt;&gt;"",U100,0)/SUM(Results!$U$7:$U$189))</f>
        <v/>
      </c>
      <c r="W100" s="101" t="str">
        <f>IF(Results!$I100&lt;&gt;"",(HLOOKUP(Table13[[#This Row],[Units]],'Emission Inputs (Optional)'!$L$10:$R$27,MATCH(Table13[[#This Row],[Energy Source]],'Emission Inputs (Optional)'!$L$10:$L$27,0),FALSE))*(Table13[[#This Row],[Annual Consumption (Baseline)]]-Table13[[#This Row],[Energy Savings]]),"")</f>
        <v/>
      </c>
      <c r="X100" s="13" t="str">
        <f>IFERROR(VLOOKUP(B100,'Emission Inputs (Optional)'!$G$9:$J$191,4,FALSE),"")</f>
        <v/>
      </c>
      <c r="Y100" s="95" t="str">
        <f>IF(Results!$W100&lt;&gt;"",Results!$W100,IF(X100&lt;&gt;"",(H100-X100),""))</f>
        <v/>
      </c>
      <c r="Z100" s="95" t="str">
        <f t="shared" si="3"/>
        <v/>
      </c>
      <c r="AA100" s="89" t="str">
        <f>IF(Results!$U100="","",IF(U100&lt;&gt;"",U100,0)/SUM(Results!$U$7:$U$189))</f>
        <v/>
      </c>
      <c r="AB100" s="8"/>
      <c r="AC100" s="8"/>
      <c r="AD100" s="8"/>
      <c r="AE100" s="8"/>
      <c r="AF100" s="8"/>
      <c r="AG100" s="8"/>
      <c r="AH100" s="8"/>
      <c r="AI100" s="8"/>
      <c r="AJ100" s="8"/>
      <c r="AK100" s="8"/>
      <c r="AL100" s="8"/>
      <c r="AM100" s="8"/>
      <c r="AN100" s="8"/>
      <c r="AO100" s="8"/>
      <c r="AP100" s="8"/>
      <c r="AQ100" s="8"/>
      <c r="AR100" s="8"/>
      <c r="AS100" s="8"/>
      <c r="AT100" s="8"/>
    </row>
    <row r="101" spans="1:46" x14ac:dyDescent="0.2">
      <c r="A101" s="55" t="str">
        <f>IF(B101&lt;&gt;"",COUNTA($B$7:B101),"")</f>
        <v/>
      </c>
      <c r="B101" s="83"/>
      <c r="C101" s="83"/>
      <c r="D101" s="83" t="str">
        <f>IF(Table13[[#This Row],[Energy Source]]="","",Table13[[#This Row],[Energy Source]])</f>
        <v/>
      </c>
      <c r="E101" s="83" t="str">
        <f>IF(Table13[[#This Row],[Units]]="", "", Table13[[#This Row],[Units]])</f>
        <v/>
      </c>
      <c r="F101" s="83" t="str">
        <f>IF(Table13[[#This Row],[Annual Consumption (Baseline)]]="", "", Table13[[#This Row],[Annual Consumption (Baseline)]])</f>
        <v/>
      </c>
      <c r="G101" s="83" t="str">
        <f>IF(F101="", "", IF(Results!$C101="Energy", VLOOKUP(Results!$E101,'Emission Inputs (Optional)'!$T$10:$U$27,2,FALSE)*Table13[[#This Row],[Energy Savings]], ""))</f>
        <v/>
      </c>
      <c r="H101" s="13" t="str">
        <f>IFERROR(VLOOKUP(B101,'Emission Inputs (Optional)'!$G$9:$I$191,3,FALSE),"")</f>
        <v/>
      </c>
      <c r="I101" s="13" t="str">
        <f>IF(Results!$C101="Energy", VLOOKUP(Results!$E101,'Emission Inputs (Optional)'!$T$10:$U$27,2,FALSE)*Results!$F101, "")</f>
        <v/>
      </c>
      <c r="J101" s="13" t="str">
        <f>IF(Results!$I101&lt;&gt;"",Results!$I101*0.293071,"")</f>
        <v/>
      </c>
      <c r="K101" s="84" t="str">
        <f>IF(Results!$I101&lt;&gt;"",Results!$I101/SUM($I$7:$I$189),"")</f>
        <v/>
      </c>
      <c r="L101" s="13" t="str">
        <f>IF(Results!$F101&lt;&gt;"",I101-G101,"")</f>
        <v/>
      </c>
      <c r="M101" s="13" t="str">
        <f>IF(Results!$L101&lt;&gt;"",Results!$L101*0.293071,"")</f>
        <v/>
      </c>
      <c r="N101" s="84" t="str">
        <f>IF(Results!$M101&lt;&gt;"",Results!$M101/SUM($M$7:$M$189),"")</f>
        <v/>
      </c>
      <c r="O101" s="85" t="str">
        <f>IF(Results!$C101="Energy", VLOOKUP(Results!$D101,'Energy Costs Inputs (Optional)'!$AS$3:$AU$20,2,FALSE)*Results!$I101, "")</f>
        <v/>
      </c>
      <c r="P101" s="84" t="str">
        <f>IF(Results!$O101&lt;&gt;"",Results!$O101/SUM($O$7:$O$189),"")</f>
        <v/>
      </c>
      <c r="Q101" s="85" t="str">
        <f>IF(Results!$C101="Energy", VLOOKUP(Results!$D101,'Energy Costs Inputs (Optional)'!$AS$3:$AU$20,2,FALSE)*Results!$L101, "")</f>
        <v/>
      </c>
      <c r="R101" s="84" t="str">
        <f>IF(Results!$Q101&lt;&gt;"",Results!$Q101/SUM($Q$7:$Q$189),"")</f>
        <v/>
      </c>
      <c r="S101" s="85" t="str">
        <f t="shared" si="2"/>
        <v/>
      </c>
      <c r="T101" s="13" t="str">
        <f>IF(Results!$I101&lt;&gt;"",(HLOOKUP(Table13[[#This Row],[Units]],'Emission Inputs (Optional)'!$L$10:$R$27,MATCH(Table13[[#This Row],[Energy Source]],'Emission Inputs (Optional)'!$L$10:$L$27,0),FALSE))*Table13[[#This Row],[Annual Consumption (Baseline)]],"")</f>
        <v/>
      </c>
      <c r="U101" s="13" t="str">
        <f>IF(Results!$T101&lt;&gt;"",Results!$T101,H101)</f>
        <v/>
      </c>
      <c r="V101" s="84" t="str">
        <f>IF(Results!$U101="","",IF(U101&lt;&gt;"",U101,0)/SUM(Results!$U$7:$U$189))</f>
        <v/>
      </c>
      <c r="W101" s="101" t="str">
        <f>IF(Results!$I101&lt;&gt;"",(HLOOKUP(Table13[[#This Row],[Units]],'Emission Inputs (Optional)'!$L$10:$R$27,MATCH(Table13[[#This Row],[Energy Source]],'Emission Inputs (Optional)'!$L$10:$L$27,0),FALSE))*(Table13[[#This Row],[Annual Consumption (Baseline)]]-Table13[[#This Row],[Energy Savings]]),"")</f>
        <v/>
      </c>
      <c r="X101" s="13" t="str">
        <f>IFERROR(VLOOKUP(B101,'Emission Inputs (Optional)'!$G$9:$J$191,4,FALSE),"")</f>
        <v/>
      </c>
      <c r="Y101" s="95" t="str">
        <f>IF(Results!$W101&lt;&gt;"",Results!$W101,IF(X101&lt;&gt;"",(H101-X101),""))</f>
        <v/>
      </c>
      <c r="Z101" s="95" t="str">
        <f t="shared" si="3"/>
        <v/>
      </c>
      <c r="AA101" s="89" t="str">
        <f>IF(Results!$U101="","",IF(U101&lt;&gt;"",U101,0)/SUM(Results!$U$7:$U$189))</f>
        <v/>
      </c>
      <c r="AB101" s="8"/>
      <c r="AC101" s="8"/>
      <c r="AD101" s="8"/>
      <c r="AE101" s="8"/>
      <c r="AF101" s="8"/>
      <c r="AG101" s="8"/>
      <c r="AH101" s="8"/>
      <c r="AI101" s="8"/>
      <c r="AJ101" s="8"/>
      <c r="AK101" s="8"/>
      <c r="AL101" s="8"/>
      <c r="AM101" s="8"/>
      <c r="AN101" s="8"/>
      <c r="AO101" s="8"/>
      <c r="AP101" s="8"/>
      <c r="AQ101" s="8"/>
      <c r="AR101" s="8"/>
      <c r="AS101" s="8"/>
      <c r="AT101" s="8"/>
    </row>
    <row r="102" spans="1:46" x14ac:dyDescent="0.2">
      <c r="A102" s="55" t="str">
        <f>IF(B102&lt;&gt;"",COUNTA($B$7:B102),"")</f>
        <v/>
      </c>
      <c r="B102" s="83"/>
      <c r="C102" s="83"/>
      <c r="D102" s="83" t="str">
        <f>IF(Table13[[#This Row],[Energy Source]]="","",Table13[[#This Row],[Energy Source]])</f>
        <v/>
      </c>
      <c r="E102" s="83" t="str">
        <f>IF(Table13[[#This Row],[Units]]="", "", Table13[[#This Row],[Units]])</f>
        <v/>
      </c>
      <c r="F102" s="83" t="str">
        <f>IF(Table13[[#This Row],[Annual Consumption (Baseline)]]="", "", Table13[[#This Row],[Annual Consumption (Baseline)]])</f>
        <v/>
      </c>
      <c r="G102" s="83" t="str">
        <f>IF(F102="", "", IF(Results!$C102="Energy", VLOOKUP(Results!$E102,'Emission Inputs (Optional)'!$T$10:$U$27,2,FALSE)*Table13[[#This Row],[Energy Savings]], ""))</f>
        <v/>
      </c>
      <c r="H102" s="13" t="str">
        <f>IFERROR(VLOOKUP(B102,'Emission Inputs (Optional)'!$G$9:$I$191,3,FALSE),"")</f>
        <v/>
      </c>
      <c r="I102" s="13" t="str">
        <f>IF(Results!$C102="Energy", VLOOKUP(Results!$E102,'Emission Inputs (Optional)'!$T$10:$U$27,2,FALSE)*Results!$F102, "")</f>
        <v/>
      </c>
      <c r="J102" s="13" t="str">
        <f>IF(Results!$I102&lt;&gt;"",Results!$I102*0.293071,"")</f>
        <v/>
      </c>
      <c r="K102" s="84" t="str">
        <f>IF(Results!$I102&lt;&gt;"",Results!$I102/SUM($I$7:$I$189),"")</f>
        <v/>
      </c>
      <c r="L102" s="13" t="str">
        <f>IF(Results!$F102&lt;&gt;"",I102-G102,"")</f>
        <v/>
      </c>
      <c r="M102" s="13" t="str">
        <f>IF(Results!$L102&lt;&gt;"",Results!$L102*0.293071,"")</f>
        <v/>
      </c>
      <c r="N102" s="84" t="str">
        <f>IF(Results!$M102&lt;&gt;"",Results!$M102/SUM($M$7:$M$189),"")</f>
        <v/>
      </c>
      <c r="O102" s="85" t="str">
        <f>IF(Results!$C102="Energy", VLOOKUP(Results!$D102,'Energy Costs Inputs (Optional)'!$AS$3:$AU$20,2,FALSE)*Results!$I102, "")</f>
        <v/>
      </c>
      <c r="P102" s="84" t="str">
        <f>IF(Results!$O102&lt;&gt;"",Results!$O102/SUM($O$7:$O$189),"")</f>
        <v/>
      </c>
      <c r="Q102" s="85" t="str">
        <f>IF(Results!$C102="Energy", VLOOKUP(Results!$D102,'Energy Costs Inputs (Optional)'!$AS$3:$AU$20,2,FALSE)*Results!$L102, "")</f>
        <v/>
      </c>
      <c r="R102" s="84" t="str">
        <f>IF(Results!$Q102&lt;&gt;"",Results!$Q102/SUM($Q$7:$Q$189),"")</f>
        <v/>
      </c>
      <c r="S102" s="85" t="str">
        <f t="shared" si="2"/>
        <v/>
      </c>
      <c r="T102" s="13" t="str">
        <f>IF(Results!$I102&lt;&gt;"",(HLOOKUP(Table13[[#This Row],[Units]],'Emission Inputs (Optional)'!$L$10:$R$27,MATCH(Table13[[#This Row],[Energy Source]],'Emission Inputs (Optional)'!$L$10:$L$27,0),FALSE))*Table13[[#This Row],[Annual Consumption (Baseline)]],"")</f>
        <v/>
      </c>
      <c r="U102" s="13" t="str">
        <f>IF(Results!$T102&lt;&gt;"",Results!$T102,H102)</f>
        <v/>
      </c>
      <c r="V102" s="84" t="str">
        <f>IF(Results!$U102="","",IF(U102&lt;&gt;"",U102,0)/SUM(Results!$U$7:$U$189))</f>
        <v/>
      </c>
      <c r="W102" s="101" t="str">
        <f>IF(Results!$I102&lt;&gt;"",(HLOOKUP(Table13[[#This Row],[Units]],'Emission Inputs (Optional)'!$L$10:$R$27,MATCH(Table13[[#This Row],[Energy Source]],'Emission Inputs (Optional)'!$L$10:$L$27,0),FALSE))*(Table13[[#This Row],[Annual Consumption (Baseline)]]-Table13[[#This Row],[Energy Savings]]),"")</f>
        <v/>
      </c>
      <c r="X102" s="13" t="str">
        <f>IFERROR(VLOOKUP(B102,'Emission Inputs (Optional)'!$G$9:$J$191,4,FALSE),"")</f>
        <v/>
      </c>
      <c r="Y102" s="95" t="str">
        <f>IF(Results!$W102&lt;&gt;"",Results!$W102,IF(X102&lt;&gt;"",(H102-X102),""))</f>
        <v/>
      </c>
      <c r="Z102" s="95" t="str">
        <f t="shared" si="3"/>
        <v/>
      </c>
      <c r="AA102" s="89" t="str">
        <f>IF(Results!$U102="","",IF(U102&lt;&gt;"",U102,0)/SUM(Results!$U$7:$U$189))</f>
        <v/>
      </c>
      <c r="AB102" s="8"/>
      <c r="AC102" s="8"/>
      <c r="AD102" s="8"/>
      <c r="AE102" s="8"/>
      <c r="AF102" s="8"/>
      <c r="AG102" s="8"/>
      <c r="AH102" s="8"/>
      <c r="AI102" s="8"/>
      <c r="AJ102" s="8"/>
      <c r="AK102" s="8"/>
      <c r="AL102" s="8"/>
      <c r="AM102" s="8"/>
      <c r="AN102" s="8"/>
      <c r="AO102" s="8"/>
      <c r="AP102" s="8"/>
      <c r="AQ102" s="8"/>
      <c r="AR102" s="8"/>
      <c r="AS102" s="8"/>
      <c r="AT102" s="8"/>
    </row>
    <row r="103" spans="1:46" x14ac:dyDescent="0.2">
      <c r="A103" s="55" t="str">
        <f>IF(B103&lt;&gt;"",COUNTA($B$7:B103),"")</f>
        <v/>
      </c>
      <c r="B103" s="83"/>
      <c r="C103" s="83"/>
      <c r="D103" s="83" t="str">
        <f>IF(Table13[[#This Row],[Energy Source]]="","",Table13[[#This Row],[Energy Source]])</f>
        <v/>
      </c>
      <c r="E103" s="83" t="str">
        <f>IF(Table13[[#This Row],[Units]]="", "", Table13[[#This Row],[Units]])</f>
        <v/>
      </c>
      <c r="F103" s="83" t="str">
        <f>IF(Table13[[#This Row],[Annual Consumption (Baseline)]]="", "", Table13[[#This Row],[Annual Consumption (Baseline)]])</f>
        <v/>
      </c>
      <c r="G103" s="83" t="str">
        <f>IF(F103="", "", IF(Results!$C103="Energy", VLOOKUP(Results!$E103,'Emission Inputs (Optional)'!$T$10:$U$27,2,FALSE)*Table13[[#This Row],[Energy Savings]], ""))</f>
        <v/>
      </c>
      <c r="H103" s="13" t="str">
        <f>IFERROR(VLOOKUP(B103,'Emission Inputs (Optional)'!$G$9:$I$191,3,FALSE),"")</f>
        <v/>
      </c>
      <c r="I103" s="13" t="str">
        <f>IF(Results!$C103="Energy", VLOOKUP(Results!$E103,'Emission Inputs (Optional)'!$T$10:$U$27,2,FALSE)*Results!$F103, "")</f>
        <v/>
      </c>
      <c r="J103" s="13" t="str">
        <f>IF(Results!$I103&lt;&gt;"",Results!$I103*0.293071,"")</f>
        <v/>
      </c>
      <c r="K103" s="84" t="str">
        <f>IF(Results!$I103&lt;&gt;"",Results!$I103/SUM($I$7:$I$189),"")</f>
        <v/>
      </c>
      <c r="L103" s="13" t="str">
        <f>IF(Results!$F103&lt;&gt;"",I103-G103,"")</f>
        <v/>
      </c>
      <c r="M103" s="13" t="str">
        <f>IF(Results!$L103&lt;&gt;"",Results!$L103*0.293071,"")</f>
        <v/>
      </c>
      <c r="N103" s="84" t="str">
        <f>IF(Results!$M103&lt;&gt;"",Results!$M103/SUM($M$7:$M$189),"")</f>
        <v/>
      </c>
      <c r="O103" s="85" t="str">
        <f>IF(Results!$C103="Energy", VLOOKUP(Results!$D103,'Energy Costs Inputs (Optional)'!$AS$3:$AU$20,2,FALSE)*Results!$I103, "")</f>
        <v/>
      </c>
      <c r="P103" s="84" t="str">
        <f>IF(Results!$O103&lt;&gt;"",Results!$O103/SUM($O$7:$O$189),"")</f>
        <v/>
      </c>
      <c r="Q103" s="85" t="str">
        <f>IF(Results!$C103="Energy", VLOOKUP(Results!$D103,'Energy Costs Inputs (Optional)'!$AS$3:$AU$20,2,FALSE)*Results!$L103, "")</f>
        <v/>
      </c>
      <c r="R103" s="84" t="str">
        <f>IF(Results!$Q103&lt;&gt;"",Results!$Q103/SUM($Q$7:$Q$189),"")</f>
        <v/>
      </c>
      <c r="S103" s="85" t="str">
        <f t="shared" si="2"/>
        <v/>
      </c>
      <c r="T103" s="13" t="str">
        <f>IF(Results!$I103&lt;&gt;"",(HLOOKUP(Table13[[#This Row],[Units]],'Emission Inputs (Optional)'!$L$10:$R$27,MATCH(Table13[[#This Row],[Energy Source]],'Emission Inputs (Optional)'!$L$10:$L$27,0),FALSE))*Table13[[#This Row],[Annual Consumption (Baseline)]],"")</f>
        <v/>
      </c>
      <c r="U103" s="13" t="str">
        <f>IF(Results!$T103&lt;&gt;"",Results!$T103,H103)</f>
        <v/>
      </c>
      <c r="V103" s="84" t="str">
        <f>IF(Results!$U103="","",IF(U103&lt;&gt;"",U103,0)/SUM(Results!$U$7:$U$189))</f>
        <v/>
      </c>
      <c r="W103" s="101" t="str">
        <f>IF(Results!$I103&lt;&gt;"",(HLOOKUP(Table13[[#This Row],[Units]],'Emission Inputs (Optional)'!$L$10:$R$27,MATCH(Table13[[#This Row],[Energy Source]],'Emission Inputs (Optional)'!$L$10:$L$27,0),FALSE))*(Table13[[#This Row],[Annual Consumption (Baseline)]]-Table13[[#This Row],[Energy Savings]]),"")</f>
        <v/>
      </c>
      <c r="X103" s="13" t="str">
        <f>IFERROR(VLOOKUP(B103,'Emission Inputs (Optional)'!$G$9:$J$191,4,FALSE),"")</f>
        <v/>
      </c>
      <c r="Y103" s="95" t="str">
        <f>IF(Results!$W103&lt;&gt;"",Results!$W103,IF(X103&lt;&gt;"",(H103-X103),""))</f>
        <v/>
      </c>
      <c r="Z103" s="95" t="str">
        <f t="shared" si="3"/>
        <v/>
      </c>
      <c r="AA103" s="89" t="str">
        <f>IF(Results!$U103="","",IF(U103&lt;&gt;"",U103,0)/SUM(Results!$U$7:$U$189))</f>
        <v/>
      </c>
      <c r="AB103" s="8"/>
      <c r="AC103" s="8"/>
      <c r="AD103" s="8"/>
      <c r="AE103" s="8"/>
      <c r="AF103" s="8"/>
      <c r="AG103" s="8"/>
      <c r="AH103" s="8"/>
      <c r="AI103" s="8"/>
      <c r="AJ103" s="8"/>
      <c r="AK103" s="8"/>
      <c r="AL103" s="8"/>
      <c r="AM103" s="8"/>
      <c r="AN103" s="8"/>
      <c r="AO103" s="8"/>
      <c r="AP103" s="8"/>
      <c r="AQ103" s="8"/>
      <c r="AR103" s="8"/>
      <c r="AS103" s="8"/>
      <c r="AT103" s="8"/>
    </row>
    <row r="104" spans="1:46" x14ac:dyDescent="0.2">
      <c r="A104" s="55" t="str">
        <f>IF(B104&lt;&gt;"",COUNTA($B$7:B104),"")</f>
        <v/>
      </c>
      <c r="B104" s="83"/>
      <c r="C104" s="83"/>
      <c r="D104" s="83" t="str">
        <f>IF(Table13[[#This Row],[Energy Source]]="","",Table13[[#This Row],[Energy Source]])</f>
        <v/>
      </c>
      <c r="E104" s="83" t="str">
        <f>IF(Table13[[#This Row],[Units]]="", "", Table13[[#This Row],[Units]])</f>
        <v/>
      </c>
      <c r="F104" s="83" t="str">
        <f>IF(Table13[[#This Row],[Annual Consumption (Baseline)]]="", "", Table13[[#This Row],[Annual Consumption (Baseline)]])</f>
        <v/>
      </c>
      <c r="G104" s="83" t="str">
        <f>IF(F104="", "", IF(Results!$C104="Energy", VLOOKUP(Results!$E104,'Emission Inputs (Optional)'!$T$10:$U$27,2,FALSE)*Table13[[#This Row],[Energy Savings]], ""))</f>
        <v/>
      </c>
      <c r="H104" s="13" t="str">
        <f>IFERROR(VLOOKUP(B104,'Emission Inputs (Optional)'!$G$9:$I$191,3,FALSE),"")</f>
        <v/>
      </c>
      <c r="I104" s="13" t="str">
        <f>IF(Results!$C104="Energy", VLOOKUP(Results!$E104,'Emission Inputs (Optional)'!$T$10:$U$27,2,FALSE)*Results!$F104, "")</f>
        <v/>
      </c>
      <c r="J104" s="13" t="str">
        <f>IF(Results!$I104&lt;&gt;"",Results!$I104*0.293071,"")</f>
        <v/>
      </c>
      <c r="K104" s="84" t="str">
        <f>IF(Results!$I104&lt;&gt;"",Results!$I104/SUM($I$7:$I$189),"")</f>
        <v/>
      </c>
      <c r="L104" s="13" t="str">
        <f>IF(Results!$F104&lt;&gt;"",I104-G104,"")</f>
        <v/>
      </c>
      <c r="M104" s="13" t="str">
        <f>IF(Results!$L104&lt;&gt;"",Results!$L104*0.293071,"")</f>
        <v/>
      </c>
      <c r="N104" s="84" t="str">
        <f>IF(Results!$M104&lt;&gt;"",Results!$M104/SUM($M$7:$M$189),"")</f>
        <v/>
      </c>
      <c r="O104" s="85" t="str">
        <f>IF(Results!$C104="Energy", VLOOKUP(Results!$D104,'Energy Costs Inputs (Optional)'!$AS$3:$AU$20,2,FALSE)*Results!$I104, "")</f>
        <v/>
      </c>
      <c r="P104" s="84" t="str">
        <f>IF(Results!$O104&lt;&gt;"",Results!$O104/SUM($O$7:$O$189),"")</f>
        <v/>
      </c>
      <c r="Q104" s="85" t="str">
        <f>IF(Results!$C104="Energy", VLOOKUP(Results!$D104,'Energy Costs Inputs (Optional)'!$AS$3:$AU$20,2,FALSE)*Results!$L104, "")</f>
        <v/>
      </c>
      <c r="R104" s="84" t="str">
        <f>IF(Results!$Q104&lt;&gt;"",Results!$Q104/SUM($Q$7:$Q$189),"")</f>
        <v/>
      </c>
      <c r="S104" s="85" t="str">
        <f t="shared" si="2"/>
        <v/>
      </c>
      <c r="T104" s="13" t="str">
        <f>IF(Results!$I104&lt;&gt;"",(HLOOKUP(Table13[[#This Row],[Units]],'Emission Inputs (Optional)'!$L$10:$R$27,MATCH(Table13[[#This Row],[Energy Source]],'Emission Inputs (Optional)'!$L$10:$L$27,0),FALSE))*Table13[[#This Row],[Annual Consumption (Baseline)]],"")</f>
        <v/>
      </c>
      <c r="U104" s="13" t="str">
        <f>IF(Results!$T104&lt;&gt;"",Results!$T104,H104)</f>
        <v/>
      </c>
      <c r="V104" s="84" t="str">
        <f>IF(Results!$U104="","",IF(U104&lt;&gt;"",U104,0)/SUM(Results!$U$7:$U$189))</f>
        <v/>
      </c>
      <c r="W104" s="101" t="str">
        <f>IF(Results!$I104&lt;&gt;"",(HLOOKUP(Table13[[#This Row],[Units]],'Emission Inputs (Optional)'!$L$10:$R$27,MATCH(Table13[[#This Row],[Energy Source]],'Emission Inputs (Optional)'!$L$10:$L$27,0),FALSE))*(Table13[[#This Row],[Annual Consumption (Baseline)]]-Table13[[#This Row],[Energy Savings]]),"")</f>
        <v/>
      </c>
      <c r="X104" s="13" t="str">
        <f>IFERROR(VLOOKUP(B104,'Emission Inputs (Optional)'!$G$9:$J$191,4,FALSE),"")</f>
        <v/>
      </c>
      <c r="Y104" s="95" t="str">
        <f>IF(Results!$W104&lt;&gt;"",Results!$W104,IF(X104&lt;&gt;"",(H104-X104),""))</f>
        <v/>
      </c>
      <c r="Z104" s="95" t="str">
        <f t="shared" si="3"/>
        <v/>
      </c>
      <c r="AA104" s="89" t="str">
        <f>IF(Results!$U104="","",IF(U104&lt;&gt;"",U104,0)/SUM(Results!$U$7:$U$189))</f>
        <v/>
      </c>
      <c r="AB104" s="8"/>
      <c r="AC104" s="8"/>
      <c r="AD104" s="8"/>
      <c r="AE104" s="8"/>
      <c r="AF104" s="8"/>
      <c r="AG104" s="8"/>
      <c r="AH104" s="8"/>
      <c r="AI104" s="8"/>
      <c r="AJ104" s="8"/>
      <c r="AK104" s="8"/>
      <c r="AL104" s="8"/>
      <c r="AM104" s="8"/>
      <c r="AN104" s="8"/>
      <c r="AO104" s="8"/>
      <c r="AP104" s="8"/>
      <c r="AQ104" s="8"/>
      <c r="AR104" s="8"/>
      <c r="AS104" s="8"/>
      <c r="AT104" s="8"/>
    </row>
    <row r="105" spans="1:46" x14ac:dyDescent="0.2">
      <c r="A105" s="55" t="str">
        <f>IF(B105&lt;&gt;"",COUNTA($B$7:B105),"")</f>
        <v/>
      </c>
      <c r="B105" s="83"/>
      <c r="C105" s="83"/>
      <c r="D105" s="83" t="str">
        <f>IF(Table13[[#This Row],[Energy Source]]="","",Table13[[#This Row],[Energy Source]])</f>
        <v/>
      </c>
      <c r="E105" s="83" t="str">
        <f>IF(Table13[[#This Row],[Units]]="", "", Table13[[#This Row],[Units]])</f>
        <v/>
      </c>
      <c r="F105" s="83" t="str">
        <f>IF(Table13[[#This Row],[Annual Consumption (Baseline)]]="", "", Table13[[#This Row],[Annual Consumption (Baseline)]])</f>
        <v/>
      </c>
      <c r="G105" s="83" t="str">
        <f>IF(F105="", "", IF(Results!$C105="Energy", VLOOKUP(Results!$E105,'Emission Inputs (Optional)'!$T$10:$U$27,2,FALSE)*Table13[[#This Row],[Energy Savings]], ""))</f>
        <v/>
      </c>
      <c r="H105" s="13" t="str">
        <f>IFERROR(VLOOKUP(B105,'Emission Inputs (Optional)'!$G$9:$I$191,3,FALSE),"")</f>
        <v/>
      </c>
      <c r="I105" s="13" t="str">
        <f>IF(Results!$C105="Energy", VLOOKUP(Results!$E105,'Emission Inputs (Optional)'!$T$10:$U$27,2,FALSE)*Results!$F105, "")</f>
        <v/>
      </c>
      <c r="J105" s="13" t="str">
        <f>IF(Results!$I105&lt;&gt;"",Results!$I105*0.293071,"")</f>
        <v/>
      </c>
      <c r="K105" s="84" t="str">
        <f>IF(Results!$I105&lt;&gt;"",Results!$I105/SUM($I$7:$I$189),"")</f>
        <v/>
      </c>
      <c r="L105" s="13" t="str">
        <f>IF(Results!$F105&lt;&gt;"",I105-G105,"")</f>
        <v/>
      </c>
      <c r="M105" s="13" t="str">
        <f>IF(Results!$L105&lt;&gt;"",Results!$L105*0.293071,"")</f>
        <v/>
      </c>
      <c r="N105" s="84" t="str">
        <f>IF(Results!$M105&lt;&gt;"",Results!$M105/SUM($M$7:$M$189),"")</f>
        <v/>
      </c>
      <c r="O105" s="85" t="str">
        <f>IF(Results!$C105="Energy", VLOOKUP(Results!$D105,'Energy Costs Inputs (Optional)'!$AS$3:$AU$20,2,FALSE)*Results!$I105, "")</f>
        <v/>
      </c>
      <c r="P105" s="84" t="str">
        <f>IF(Results!$O105&lt;&gt;"",Results!$O105/SUM($O$7:$O$189),"")</f>
        <v/>
      </c>
      <c r="Q105" s="85" t="str">
        <f>IF(Results!$C105="Energy", VLOOKUP(Results!$D105,'Energy Costs Inputs (Optional)'!$AS$3:$AU$20,2,FALSE)*Results!$L105, "")</f>
        <v/>
      </c>
      <c r="R105" s="84" t="str">
        <f>IF(Results!$Q105&lt;&gt;"",Results!$Q105/SUM($Q$7:$Q$189),"")</f>
        <v/>
      </c>
      <c r="S105" s="85" t="str">
        <f t="shared" si="2"/>
        <v/>
      </c>
      <c r="T105" s="13" t="str">
        <f>IF(Results!$I105&lt;&gt;"",(HLOOKUP(Table13[[#This Row],[Units]],'Emission Inputs (Optional)'!$L$10:$R$27,MATCH(Table13[[#This Row],[Energy Source]],'Emission Inputs (Optional)'!$L$10:$L$27,0),FALSE))*Table13[[#This Row],[Annual Consumption (Baseline)]],"")</f>
        <v/>
      </c>
      <c r="U105" s="13" t="str">
        <f>IF(Results!$T105&lt;&gt;"",Results!$T105,H105)</f>
        <v/>
      </c>
      <c r="V105" s="84" t="str">
        <f>IF(Results!$U105="","",IF(U105&lt;&gt;"",U105,0)/SUM(Results!$U$7:$U$189))</f>
        <v/>
      </c>
      <c r="W105" s="101" t="str">
        <f>IF(Results!$I105&lt;&gt;"",(HLOOKUP(Table13[[#This Row],[Units]],'Emission Inputs (Optional)'!$L$10:$R$27,MATCH(Table13[[#This Row],[Energy Source]],'Emission Inputs (Optional)'!$L$10:$L$27,0),FALSE))*(Table13[[#This Row],[Annual Consumption (Baseline)]]-Table13[[#This Row],[Energy Savings]]),"")</f>
        <v/>
      </c>
      <c r="X105" s="13" t="str">
        <f>IFERROR(VLOOKUP(B105,'Emission Inputs (Optional)'!$G$9:$J$191,4,FALSE),"")</f>
        <v/>
      </c>
      <c r="Y105" s="95" t="str">
        <f>IF(Results!$W105&lt;&gt;"",Results!$W105,IF(X105&lt;&gt;"",(H105-X105),""))</f>
        <v/>
      </c>
      <c r="Z105" s="95" t="str">
        <f t="shared" si="3"/>
        <v/>
      </c>
      <c r="AA105" s="89" t="str">
        <f>IF(Results!$U105="","",IF(U105&lt;&gt;"",U105,0)/SUM(Results!$U$7:$U$189))</f>
        <v/>
      </c>
      <c r="AB105" s="8"/>
      <c r="AC105" s="8"/>
      <c r="AD105" s="8"/>
      <c r="AE105" s="8"/>
      <c r="AF105" s="8"/>
      <c r="AG105" s="8"/>
      <c r="AH105" s="8"/>
      <c r="AI105" s="8"/>
      <c r="AJ105" s="8"/>
      <c r="AK105" s="8"/>
      <c r="AL105" s="8"/>
      <c r="AM105" s="8"/>
      <c r="AN105" s="8"/>
      <c r="AO105" s="8"/>
      <c r="AP105" s="8"/>
      <c r="AQ105" s="8"/>
      <c r="AR105" s="8"/>
      <c r="AS105" s="8"/>
      <c r="AT105" s="8"/>
    </row>
    <row r="106" spans="1:46" x14ac:dyDescent="0.2">
      <c r="A106" s="55" t="str">
        <f>IF(B106&lt;&gt;"",COUNTA($B$7:B106),"")</f>
        <v/>
      </c>
      <c r="B106" s="83"/>
      <c r="C106" s="83"/>
      <c r="D106" s="83" t="str">
        <f>IF(Table13[[#This Row],[Energy Source]]="","",Table13[[#This Row],[Energy Source]])</f>
        <v/>
      </c>
      <c r="E106" s="83" t="str">
        <f>IF(Table13[[#This Row],[Units]]="", "", Table13[[#This Row],[Units]])</f>
        <v/>
      </c>
      <c r="F106" s="83" t="str">
        <f>IF(Table13[[#This Row],[Annual Consumption (Baseline)]]="", "", Table13[[#This Row],[Annual Consumption (Baseline)]])</f>
        <v/>
      </c>
      <c r="G106" s="83" t="str">
        <f>IF(F106="", "", IF(Results!$C106="Energy", VLOOKUP(Results!$E106,'Emission Inputs (Optional)'!$T$10:$U$27,2,FALSE)*Table13[[#This Row],[Energy Savings]], ""))</f>
        <v/>
      </c>
      <c r="H106" s="13" t="str">
        <f>IFERROR(VLOOKUP(B106,'Emission Inputs (Optional)'!$G$9:$I$191,3,FALSE),"")</f>
        <v/>
      </c>
      <c r="I106" s="13" t="str">
        <f>IF(Results!$C106="Energy", VLOOKUP(Results!$E106,'Emission Inputs (Optional)'!$T$10:$U$27,2,FALSE)*Results!$F106, "")</f>
        <v/>
      </c>
      <c r="J106" s="13" t="str">
        <f>IF(Results!$I106&lt;&gt;"",Results!$I106*0.293071,"")</f>
        <v/>
      </c>
      <c r="K106" s="84" t="str">
        <f>IF(Results!$I106&lt;&gt;"",Results!$I106/SUM($I$7:$I$189),"")</f>
        <v/>
      </c>
      <c r="L106" s="13" t="str">
        <f>IF(Results!$F106&lt;&gt;"",I106-G106,"")</f>
        <v/>
      </c>
      <c r="M106" s="13" t="str">
        <f>IF(Results!$L106&lt;&gt;"",Results!$L106*0.293071,"")</f>
        <v/>
      </c>
      <c r="N106" s="84" t="str">
        <f>IF(Results!$M106&lt;&gt;"",Results!$M106/SUM($M$7:$M$189),"")</f>
        <v/>
      </c>
      <c r="O106" s="85" t="str">
        <f>IF(Results!$C106="Energy", VLOOKUP(Results!$D106,'Energy Costs Inputs (Optional)'!$AS$3:$AU$20,2,FALSE)*Results!$I106, "")</f>
        <v/>
      </c>
      <c r="P106" s="84" t="str">
        <f>IF(Results!$O106&lt;&gt;"",Results!$O106/SUM($O$7:$O$189),"")</f>
        <v/>
      </c>
      <c r="Q106" s="85" t="str">
        <f>IF(Results!$C106="Energy", VLOOKUP(Results!$D106,'Energy Costs Inputs (Optional)'!$AS$3:$AU$20,2,FALSE)*Results!$L106, "")</f>
        <v/>
      </c>
      <c r="R106" s="84" t="str">
        <f>IF(Results!$Q106&lt;&gt;"",Results!$Q106/SUM($Q$7:$Q$189),"")</f>
        <v/>
      </c>
      <c r="S106" s="85" t="str">
        <f t="shared" si="2"/>
        <v/>
      </c>
      <c r="T106" s="13" t="str">
        <f>IF(Results!$I106&lt;&gt;"",(HLOOKUP(Table13[[#This Row],[Units]],'Emission Inputs (Optional)'!$L$10:$R$27,MATCH(Table13[[#This Row],[Energy Source]],'Emission Inputs (Optional)'!$L$10:$L$27,0),FALSE))*Table13[[#This Row],[Annual Consumption (Baseline)]],"")</f>
        <v/>
      </c>
      <c r="U106" s="13" t="str">
        <f>IF(Results!$T106&lt;&gt;"",Results!$T106,H106)</f>
        <v/>
      </c>
      <c r="V106" s="84" t="str">
        <f>IF(Results!$U106="","",IF(U106&lt;&gt;"",U106,0)/SUM(Results!$U$7:$U$189))</f>
        <v/>
      </c>
      <c r="W106" s="101" t="str">
        <f>IF(Results!$I106&lt;&gt;"",(HLOOKUP(Table13[[#This Row],[Units]],'Emission Inputs (Optional)'!$L$10:$R$27,MATCH(Table13[[#This Row],[Energy Source]],'Emission Inputs (Optional)'!$L$10:$L$27,0),FALSE))*(Table13[[#This Row],[Annual Consumption (Baseline)]]-Table13[[#This Row],[Energy Savings]]),"")</f>
        <v/>
      </c>
      <c r="X106" s="13" t="str">
        <f>IFERROR(VLOOKUP(B106,'Emission Inputs (Optional)'!$G$9:$J$191,4,FALSE),"")</f>
        <v/>
      </c>
      <c r="Y106" s="95" t="str">
        <f>IF(Results!$W106&lt;&gt;"",Results!$W106,IF(X106&lt;&gt;"",(H106-X106),""))</f>
        <v/>
      </c>
      <c r="Z106" s="95" t="str">
        <f t="shared" si="3"/>
        <v/>
      </c>
      <c r="AA106" s="89" t="str">
        <f>IF(Results!$U106="","",IF(U106&lt;&gt;"",U106,0)/SUM(Results!$U$7:$U$189))</f>
        <v/>
      </c>
      <c r="AB106" s="8"/>
      <c r="AC106" s="8"/>
      <c r="AD106" s="8"/>
      <c r="AE106" s="8"/>
      <c r="AF106" s="8"/>
      <c r="AG106" s="8"/>
      <c r="AH106" s="8"/>
      <c r="AI106" s="8"/>
      <c r="AJ106" s="8"/>
      <c r="AK106" s="8"/>
      <c r="AL106" s="8"/>
      <c r="AM106" s="8"/>
      <c r="AN106" s="8"/>
      <c r="AO106" s="8"/>
      <c r="AP106" s="8"/>
      <c r="AQ106" s="8"/>
      <c r="AR106" s="8"/>
      <c r="AS106" s="8"/>
      <c r="AT106" s="8"/>
    </row>
    <row r="107" spans="1:46" x14ac:dyDescent="0.2">
      <c r="A107" s="55" t="str">
        <f>IF(B107&lt;&gt;"",COUNTA($B$7:B107),"")</f>
        <v/>
      </c>
      <c r="B107" s="83"/>
      <c r="C107" s="83"/>
      <c r="D107" s="83" t="str">
        <f>IF(Table13[[#This Row],[Energy Source]]="","",Table13[[#This Row],[Energy Source]])</f>
        <v/>
      </c>
      <c r="E107" s="83" t="str">
        <f>IF(Table13[[#This Row],[Units]]="", "", Table13[[#This Row],[Units]])</f>
        <v/>
      </c>
      <c r="F107" s="83" t="str">
        <f>IF(Table13[[#This Row],[Annual Consumption (Baseline)]]="", "", Table13[[#This Row],[Annual Consumption (Baseline)]])</f>
        <v/>
      </c>
      <c r="G107" s="83" t="str">
        <f>IF(F107="", "", IF(Results!$C107="Energy", VLOOKUP(Results!$E107,'Emission Inputs (Optional)'!$T$10:$U$27,2,FALSE)*Table13[[#This Row],[Energy Savings]], ""))</f>
        <v/>
      </c>
      <c r="H107" s="13" t="str">
        <f>IFERROR(VLOOKUP(B107,'Emission Inputs (Optional)'!$G$9:$I$191,3,FALSE),"")</f>
        <v/>
      </c>
      <c r="I107" s="13" t="str">
        <f>IF(Results!$C107="Energy", VLOOKUP(Results!$E107,'Emission Inputs (Optional)'!$T$10:$U$27,2,FALSE)*Results!$F107, "")</f>
        <v/>
      </c>
      <c r="J107" s="13" t="str">
        <f>IF(Results!$I107&lt;&gt;"",Results!$I107*0.293071,"")</f>
        <v/>
      </c>
      <c r="K107" s="84" t="str">
        <f>IF(Results!$I107&lt;&gt;"",Results!$I107/SUM($I$7:$I$189),"")</f>
        <v/>
      </c>
      <c r="L107" s="13" t="str">
        <f>IF(Results!$F107&lt;&gt;"",I107-G107,"")</f>
        <v/>
      </c>
      <c r="M107" s="13" t="str">
        <f>IF(Results!$L107&lt;&gt;"",Results!$L107*0.293071,"")</f>
        <v/>
      </c>
      <c r="N107" s="84" t="str">
        <f>IF(Results!$M107&lt;&gt;"",Results!$M107/SUM($M$7:$M$189),"")</f>
        <v/>
      </c>
      <c r="O107" s="85" t="str">
        <f>IF(Results!$C107="Energy", VLOOKUP(Results!$D107,'Energy Costs Inputs (Optional)'!$AS$3:$AU$20,2,FALSE)*Results!$I107, "")</f>
        <v/>
      </c>
      <c r="P107" s="84" t="str">
        <f>IF(Results!$O107&lt;&gt;"",Results!$O107/SUM($O$7:$O$189),"")</f>
        <v/>
      </c>
      <c r="Q107" s="85" t="str">
        <f>IF(Results!$C107="Energy", VLOOKUP(Results!$D107,'Energy Costs Inputs (Optional)'!$AS$3:$AU$20,2,FALSE)*Results!$L107, "")</f>
        <v/>
      </c>
      <c r="R107" s="84" t="str">
        <f>IF(Results!$Q107&lt;&gt;"",Results!$Q107/SUM($Q$7:$Q$189),"")</f>
        <v/>
      </c>
      <c r="S107" s="85" t="str">
        <f t="shared" si="2"/>
        <v/>
      </c>
      <c r="T107" s="13" t="str">
        <f>IF(Results!$I107&lt;&gt;"",(HLOOKUP(Table13[[#This Row],[Units]],'Emission Inputs (Optional)'!$L$10:$R$27,MATCH(Table13[[#This Row],[Energy Source]],'Emission Inputs (Optional)'!$L$10:$L$27,0),FALSE))*Table13[[#This Row],[Annual Consumption (Baseline)]],"")</f>
        <v/>
      </c>
      <c r="U107" s="13" t="str">
        <f>IF(Results!$T107&lt;&gt;"",Results!$T107,H107)</f>
        <v/>
      </c>
      <c r="V107" s="84" t="str">
        <f>IF(Results!$U107="","",IF(U107&lt;&gt;"",U107,0)/SUM(Results!$U$7:$U$189))</f>
        <v/>
      </c>
      <c r="W107" s="101" t="str">
        <f>IF(Results!$I107&lt;&gt;"",(HLOOKUP(Table13[[#This Row],[Units]],'Emission Inputs (Optional)'!$L$10:$R$27,MATCH(Table13[[#This Row],[Energy Source]],'Emission Inputs (Optional)'!$L$10:$L$27,0),FALSE))*(Table13[[#This Row],[Annual Consumption (Baseline)]]-Table13[[#This Row],[Energy Savings]]),"")</f>
        <v/>
      </c>
      <c r="X107" s="13" t="str">
        <f>IFERROR(VLOOKUP(B107,'Emission Inputs (Optional)'!$G$9:$J$191,4,FALSE),"")</f>
        <v/>
      </c>
      <c r="Y107" s="95" t="str">
        <f>IF(Results!$W107&lt;&gt;"",Results!$W107,IF(X107&lt;&gt;"",(H107-X107),""))</f>
        <v/>
      </c>
      <c r="Z107" s="95" t="str">
        <f t="shared" si="3"/>
        <v/>
      </c>
      <c r="AA107" s="89" t="str">
        <f>IF(Results!$U107="","",IF(U107&lt;&gt;"",U107,0)/SUM(Results!$U$7:$U$189))</f>
        <v/>
      </c>
      <c r="AB107" s="8"/>
      <c r="AC107" s="8"/>
      <c r="AD107" s="8"/>
      <c r="AE107" s="8"/>
      <c r="AF107" s="8"/>
      <c r="AG107" s="8"/>
      <c r="AH107" s="8"/>
      <c r="AI107" s="8"/>
      <c r="AJ107" s="8"/>
      <c r="AK107" s="8"/>
      <c r="AL107" s="8"/>
      <c r="AM107" s="8"/>
      <c r="AN107" s="8"/>
      <c r="AO107" s="8"/>
      <c r="AP107" s="8"/>
      <c r="AQ107" s="8"/>
      <c r="AR107" s="8"/>
      <c r="AS107" s="8"/>
      <c r="AT107" s="8"/>
    </row>
    <row r="108" spans="1:46" x14ac:dyDescent="0.2">
      <c r="A108" s="55" t="str">
        <f>IF(B108&lt;&gt;"",COUNTA($B$7:B108),"")</f>
        <v/>
      </c>
      <c r="B108" s="83"/>
      <c r="C108" s="83"/>
      <c r="D108" s="83" t="str">
        <f>IF(Table13[[#This Row],[Energy Source]]="","",Table13[[#This Row],[Energy Source]])</f>
        <v/>
      </c>
      <c r="E108" s="83" t="str">
        <f>IF(Table13[[#This Row],[Units]]="", "", Table13[[#This Row],[Units]])</f>
        <v/>
      </c>
      <c r="F108" s="83" t="str">
        <f>IF(Table13[[#This Row],[Annual Consumption (Baseline)]]="", "", Table13[[#This Row],[Annual Consumption (Baseline)]])</f>
        <v/>
      </c>
      <c r="G108" s="83" t="str">
        <f>IF(F108="", "", IF(Results!$C108="Energy", VLOOKUP(Results!$E108,'Emission Inputs (Optional)'!$T$10:$U$27,2,FALSE)*Table13[[#This Row],[Energy Savings]], ""))</f>
        <v/>
      </c>
      <c r="H108" s="13" t="str">
        <f>IFERROR(VLOOKUP(B108,'Emission Inputs (Optional)'!$G$9:$I$191,3,FALSE),"")</f>
        <v/>
      </c>
      <c r="I108" s="13" t="str">
        <f>IF(Results!$C108="Energy", VLOOKUP(Results!$E108,'Emission Inputs (Optional)'!$T$10:$U$27,2,FALSE)*Results!$F108, "")</f>
        <v/>
      </c>
      <c r="J108" s="13" t="str">
        <f>IF(Results!$I108&lt;&gt;"",Results!$I108*0.293071,"")</f>
        <v/>
      </c>
      <c r="K108" s="84" t="str">
        <f>IF(Results!$I108&lt;&gt;"",Results!$I108/SUM($I$7:$I$189),"")</f>
        <v/>
      </c>
      <c r="L108" s="13" t="str">
        <f>IF(Results!$F108&lt;&gt;"",I108-G108,"")</f>
        <v/>
      </c>
      <c r="M108" s="13" t="str">
        <f>IF(Results!$L108&lt;&gt;"",Results!$L108*0.293071,"")</f>
        <v/>
      </c>
      <c r="N108" s="84" t="str">
        <f>IF(Results!$M108&lt;&gt;"",Results!$M108/SUM($M$7:$M$189),"")</f>
        <v/>
      </c>
      <c r="O108" s="85" t="str">
        <f>IF(Results!$C108="Energy", VLOOKUP(Results!$D108,'Energy Costs Inputs (Optional)'!$AS$3:$AU$20,2,FALSE)*Results!$I108, "")</f>
        <v/>
      </c>
      <c r="P108" s="84" t="str">
        <f>IF(Results!$O108&lt;&gt;"",Results!$O108/SUM($O$7:$O$189),"")</f>
        <v/>
      </c>
      <c r="Q108" s="85" t="str">
        <f>IF(Results!$C108="Energy", VLOOKUP(Results!$D108,'Energy Costs Inputs (Optional)'!$AS$3:$AU$20,2,FALSE)*Results!$L108, "")</f>
        <v/>
      </c>
      <c r="R108" s="84" t="str">
        <f>IF(Results!$Q108&lt;&gt;"",Results!$Q108/SUM($Q$7:$Q$189),"")</f>
        <v/>
      </c>
      <c r="S108" s="85" t="str">
        <f t="shared" si="2"/>
        <v/>
      </c>
      <c r="T108" s="13" t="str">
        <f>IF(Results!$I108&lt;&gt;"",(HLOOKUP(Table13[[#This Row],[Units]],'Emission Inputs (Optional)'!$L$10:$R$27,MATCH(Table13[[#This Row],[Energy Source]],'Emission Inputs (Optional)'!$L$10:$L$27,0),FALSE))*Table13[[#This Row],[Annual Consumption (Baseline)]],"")</f>
        <v/>
      </c>
      <c r="U108" s="13" t="str">
        <f>IF(Results!$T108&lt;&gt;"",Results!$T108,H108)</f>
        <v/>
      </c>
      <c r="V108" s="84" t="str">
        <f>IF(Results!$U108="","",IF(U108&lt;&gt;"",U108,0)/SUM(Results!$U$7:$U$189))</f>
        <v/>
      </c>
      <c r="W108" s="101" t="str">
        <f>IF(Results!$I108&lt;&gt;"",(HLOOKUP(Table13[[#This Row],[Units]],'Emission Inputs (Optional)'!$L$10:$R$27,MATCH(Table13[[#This Row],[Energy Source]],'Emission Inputs (Optional)'!$L$10:$L$27,0),FALSE))*(Table13[[#This Row],[Annual Consumption (Baseline)]]-Table13[[#This Row],[Energy Savings]]),"")</f>
        <v/>
      </c>
      <c r="X108" s="13" t="str">
        <f>IFERROR(VLOOKUP(B108,'Emission Inputs (Optional)'!$G$9:$J$191,4,FALSE),"")</f>
        <v/>
      </c>
      <c r="Y108" s="95" t="str">
        <f>IF(Results!$W108&lt;&gt;"",Results!$W108,IF(X108&lt;&gt;"",(H108-X108),""))</f>
        <v/>
      </c>
      <c r="Z108" s="95" t="str">
        <f t="shared" si="3"/>
        <v/>
      </c>
      <c r="AA108" s="89" t="str">
        <f>IF(Results!$U108="","",IF(U108&lt;&gt;"",U108,0)/SUM(Results!$U$7:$U$189))</f>
        <v/>
      </c>
      <c r="AB108" s="8"/>
      <c r="AC108" s="8"/>
      <c r="AD108" s="8"/>
      <c r="AE108" s="8"/>
      <c r="AF108" s="8"/>
      <c r="AG108" s="8"/>
      <c r="AH108" s="8"/>
      <c r="AI108" s="8"/>
      <c r="AJ108" s="8"/>
      <c r="AK108" s="8"/>
      <c r="AL108" s="8"/>
      <c r="AM108" s="8"/>
      <c r="AN108" s="8"/>
      <c r="AO108" s="8"/>
      <c r="AP108" s="8"/>
      <c r="AQ108" s="8"/>
      <c r="AR108" s="8"/>
      <c r="AS108" s="8"/>
      <c r="AT108" s="8"/>
    </row>
    <row r="109" spans="1:46" x14ac:dyDescent="0.2">
      <c r="A109" s="55" t="str">
        <f>IF(B109&lt;&gt;"",COUNTA($B$7:B109),"")</f>
        <v/>
      </c>
      <c r="B109" s="83"/>
      <c r="C109" s="83"/>
      <c r="D109" s="83" t="str">
        <f>IF(Table13[[#This Row],[Energy Source]]="","",Table13[[#This Row],[Energy Source]])</f>
        <v/>
      </c>
      <c r="E109" s="83" t="str">
        <f>IF(Table13[[#This Row],[Units]]="", "", Table13[[#This Row],[Units]])</f>
        <v/>
      </c>
      <c r="F109" s="83" t="str">
        <f>IF(Table13[[#This Row],[Annual Consumption (Baseline)]]="", "", Table13[[#This Row],[Annual Consumption (Baseline)]])</f>
        <v/>
      </c>
      <c r="G109" s="83" t="str">
        <f>IF(F109="", "", IF(Results!$C109="Energy", VLOOKUP(Results!$E109,'Emission Inputs (Optional)'!$T$10:$U$27,2,FALSE)*Table13[[#This Row],[Energy Savings]], ""))</f>
        <v/>
      </c>
      <c r="H109" s="13" t="str">
        <f>IFERROR(VLOOKUP(B109,'Emission Inputs (Optional)'!$G$9:$I$191,3,FALSE),"")</f>
        <v/>
      </c>
      <c r="I109" s="13" t="str">
        <f>IF(Results!$C109="Energy", VLOOKUP(Results!$E109,'Emission Inputs (Optional)'!$T$10:$U$27,2,FALSE)*Results!$F109, "")</f>
        <v/>
      </c>
      <c r="J109" s="13" t="str">
        <f>IF(Results!$I109&lt;&gt;"",Results!$I109*0.293071,"")</f>
        <v/>
      </c>
      <c r="K109" s="84" t="str">
        <f>IF(Results!$I109&lt;&gt;"",Results!$I109/SUM($I$7:$I$189),"")</f>
        <v/>
      </c>
      <c r="L109" s="13" t="str">
        <f>IF(Results!$F109&lt;&gt;"",I109-G109,"")</f>
        <v/>
      </c>
      <c r="M109" s="13" t="str">
        <f>IF(Results!$L109&lt;&gt;"",Results!$L109*0.293071,"")</f>
        <v/>
      </c>
      <c r="N109" s="84" t="str">
        <f>IF(Results!$M109&lt;&gt;"",Results!$M109/SUM($M$7:$M$189),"")</f>
        <v/>
      </c>
      <c r="O109" s="85" t="str">
        <f>IF(Results!$C109="Energy", VLOOKUP(Results!$D109,'Energy Costs Inputs (Optional)'!$AS$3:$AU$20,2,FALSE)*Results!$I109, "")</f>
        <v/>
      </c>
      <c r="P109" s="84" t="str">
        <f>IF(Results!$O109&lt;&gt;"",Results!$O109/SUM($O$7:$O$189),"")</f>
        <v/>
      </c>
      <c r="Q109" s="85" t="str">
        <f>IF(Results!$C109="Energy", VLOOKUP(Results!$D109,'Energy Costs Inputs (Optional)'!$AS$3:$AU$20,2,FALSE)*Results!$L109, "")</f>
        <v/>
      </c>
      <c r="R109" s="84" t="str">
        <f>IF(Results!$Q109&lt;&gt;"",Results!$Q109/SUM($Q$7:$Q$189),"")</f>
        <v/>
      </c>
      <c r="S109" s="85" t="str">
        <f t="shared" si="2"/>
        <v/>
      </c>
      <c r="T109" s="13" t="str">
        <f>IF(Results!$I109&lt;&gt;"",(HLOOKUP(Table13[[#This Row],[Units]],'Emission Inputs (Optional)'!$L$10:$R$27,MATCH(Table13[[#This Row],[Energy Source]],'Emission Inputs (Optional)'!$L$10:$L$27,0),FALSE))*Table13[[#This Row],[Annual Consumption (Baseline)]],"")</f>
        <v/>
      </c>
      <c r="U109" s="13" t="str">
        <f>IF(Results!$T109&lt;&gt;"",Results!$T109,H109)</f>
        <v/>
      </c>
      <c r="V109" s="84" t="str">
        <f>IF(Results!$U109="","",IF(U109&lt;&gt;"",U109,0)/SUM(Results!$U$7:$U$189))</f>
        <v/>
      </c>
      <c r="W109" s="101" t="str">
        <f>IF(Results!$I109&lt;&gt;"",(HLOOKUP(Table13[[#This Row],[Units]],'Emission Inputs (Optional)'!$L$10:$R$27,MATCH(Table13[[#This Row],[Energy Source]],'Emission Inputs (Optional)'!$L$10:$L$27,0),FALSE))*(Table13[[#This Row],[Annual Consumption (Baseline)]]-Table13[[#This Row],[Energy Savings]]),"")</f>
        <v/>
      </c>
      <c r="X109" s="13" t="str">
        <f>IFERROR(VLOOKUP(B109,'Emission Inputs (Optional)'!$G$9:$J$191,4,FALSE),"")</f>
        <v/>
      </c>
      <c r="Y109" s="95" t="str">
        <f>IF(Results!$W109&lt;&gt;"",Results!$W109,IF(X109&lt;&gt;"",(H109-X109),""))</f>
        <v/>
      </c>
      <c r="Z109" s="95" t="str">
        <f t="shared" si="3"/>
        <v/>
      </c>
      <c r="AA109" s="89" t="str">
        <f>IF(Results!$U109="","",IF(U109&lt;&gt;"",U109,0)/SUM(Results!$U$7:$U$189))</f>
        <v/>
      </c>
      <c r="AB109" s="8"/>
      <c r="AC109" s="8"/>
      <c r="AD109" s="8"/>
      <c r="AE109" s="8"/>
      <c r="AF109" s="8"/>
      <c r="AG109" s="8"/>
      <c r="AH109" s="8"/>
      <c r="AI109" s="8"/>
      <c r="AJ109" s="8"/>
      <c r="AK109" s="8"/>
      <c r="AL109" s="8"/>
      <c r="AM109" s="8"/>
      <c r="AN109" s="8"/>
      <c r="AO109" s="8"/>
      <c r="AP109" s="8"/>
      <c r="AQ109" s="8"/>
      <c r="AR109" s="8"/>
      <c r="AS109" s="8"/>
      <c r="AT109" s="8"/>
    </row>
    <row r="110" spans="1:46" x14ac:dyDescent="0.2">
      <c r="A110" s="55" t="str">
        <f>IF(B110&lt;&gt;"",COUNTA($B$7:B110),"")</f>
        <v/>
      </c>
      <c r="B110" s="83"/>
      <c r="C110" s="83"/>
      <c r="D110" s="83" t="str">
        <f>IF(Table13[[#This Row],[Energy Source]]="","",Table13[[#This Row],[Energy Source]])</f>
        <v/>
      </c>
      <c r="E110" s="83" t="str">
        <f>IF(Table13[[#This Row],[Units]]="", "", Table13[[#This Row],[Units]])</f>
        <v/>
      </c>
      <c r="F110" s="83" t="str">
        <f>IF(Table13[[#This Row],[Annual Consumption (Baseline)]]="", "", Table13[[#This Row],[Annual Consumption (Baseline)]])</f>
        <v/>
      </c>
      <c r="G110" s="83" t="str">
        <f>IF(F110="", "", IF(Results!$C110="Energy", VLOOKUP(Results!$E110,'Emission Inputs (Optional)'!$T$10:$U$27,2,FALSE)*Table13[[#This Row],[Energy Savings]], ""))</f>
        <v/>
      </c>
      <c r="H110" s="13" t="str">
        <f>IFERROR(VLOOKUP(B110,'Emission Inputs (Optional)'!$G$9:$I$191,3,FALSE),"")</f>
        <v/>
      </c>
      <c r="I110" s="13" t="str">
        <f>IF(Results!$C110="Energy", VLOOKUP(Results!$E110,'Emission Inputs (Optional)'!$T$10:$U$27,2,FALSE)*Results!$F110, "")</f>
        <v/>
      </c>
      <c r="J110" s="13" t="str">
        <f>IF(Results!$I110&lt;&gt;"",Results!$I110*0.293071,"")</f>
        <v/>
      </c>
      <c r="K110" s="84" t="str">
        <f>IF(Results!$I110&lt;&gt;"",Results!$I110/SUM($I$7:$I$189),"")</f>
        <v/>
      </c>
      <c r="L110" s="13" t="str">
        <f>IF(Results!$F110&lt;&gt;"",I110-G110,"")</f>
        <v/>
      </c>
      <c r="M110" s="13" t="str">
        <f>IF(Results!$L110&lt;&gt;"",Results!$L110*0.293071,"")</f>
        <v/>
      </c>
      <c r="N110" s="84" t="str">
        <f>IF(Results!$M110&lt;&gt;"",Results!$M110/SUM($M$7:$M$189),"")</f>
        <v/>
      </c>
      <c r="O110" s="85" t="str">
        <f>IF(Results!$C110="Energy", VLOOKUP(Results!$D110,'Energy Costs Inputs (Optional)'!$AS$3:$AU$20,2,FALSE)*Results!$I110, "")</f>
        <v/>
      </c>
      <c r="P110" s="84" t="str">
        <f>IF(Results!$O110&lt;&gt;"",Results!$O110/SUM($O$7:$O$189),"")</f>
        <v/>
      </c>
      <c r="Q110" s="85" t="str">
        <f>IF(Results!$C110="Energy", VLOOKUP(Results!$D110,'Energy Costs Inputs (Optional)'!$AS$3:$AU$20,2,FALSE)*Results!$L110, "")</f>
        <v/>
      </c>
      <c r="R110" s="84" t="str">
        <f>IF(Results!$Q110&lt;&gt;"",Results!$Q110/SUM($Q$7:$Q$189),"")</f>
        <v/>
      </c>
      <c r="S110" s="85" t="str">
        <f t="shared" si="2"/>
        <v/>
      </c>
      <c r="T110" s="13" t="str">
        <f>IF(Results!$I110&lt;&gt;"",(HLOOKUP(Table13[[#This Row],[Units]],'Emission Inputs (Optional)'!$L$10:$R$27,MATCH(Table13[[#This Row],[Energy Source]],'Emission Inputs (Optional)'!$L$10:$L$27,0),FALSE))*Table13[[#This Row],[Annual Consumption (Baseline)]],"")</f>
        <v/>
      </c>
      <c r="U110" s="13" t="str">
        <f>IF(Results!$T110&lt;&gt;"",Results!$T110,H110)</f>
        <v/>
      </c>
      <c r="V110" s="84" t="str">
        <f>IF(Results!$U110="","",IF(U110&lt;&gt;"",U110,0)/SUM(Results!$U$7:$U$189))</f>
        <v/>
      </c>
      <c r="W110" s="101" t="str">
        <f>IF(Results!$I110&lt;&gt;"",(HLOOKUP(Table13[[#This Row],[Units]],'Emission Inputs (Optional)'!$L$10:$R$27,MATCH(Table13[[#This Row],[Energy Source]],'Emission Inputs (Optional)'!$L$10:$L$27,0),FALSE))*(Table13[[#This Row],[Annual Consumption (Baseline)]]-Table13[[#This Row],[Energy Savings]]),"")</f>
        <v/>
      </c>
      <c r="X110" s="13" t="str">
        <f>IFERROR(VLOOKUP(B110,'Emission Inputs (Optional)'!$G$9:$J$191,4,FALSE),"")</f>
        <v/>
      </c>
      <c r="Y110" s="95" t="str">
        <f>IF(Results!$W110&lt;&gt;"",Results!$W110,IF(X110&lt;&gt;"",(H110-X110),""))</f>
        <v/>
      </c>
      <c r="Z110" s="95" t="str">
        <f t="shared" si="3"/>
        <v/>
      </c>
      <c r="AA110" s="89" t="str">
        <f>IF(Results!$U110="","",IF(U110&lt;&gt;"",U110,0)/SUM(Results!$U$7:$U$189))</f>
        <v/>
      </c>
      <c r="AB110" s="8"/>
      <c r="AC110" s="8"/>
      <c r="AD110" s="8"/>
      <c r="AE110" s="8"/>
      <c r="AF110" s="8"/>
      <c r="AG110" s="8"/>
      <c r="AH110" s="8"/>
      <c r="AI110" s="8"/>
      <c r="AJ110" s="8"/>
      <c r="AK110" s="8"/>
      <c r="AL110" s="8"/>
      <c r="AM110" s="8"/>
      <c r="AN110" s="8"/>
      <c r="AO110" s="8"/>
      <c r="AP110" s="8"/>
      <c r="AQ110" s="8"/>
      <c r="AR110" s="8"/>
      <c r="AS110" s="8"/>
      <c r="AT110" s="8"/>
    </row>
    <row r="111" spans="1:46" x14ac:dyDescent="0.2">
      <c r="A111" s="55" t="str">
        <f>IF(B111&lt;&gt;"",COUNTA($B$7:B111),"")</f>
        <v/>
      </c>
      <c r="B111" s="83"/>
      <c r="C111" s="83"/>
      <c r="D111" s="83" t="str">
        <f>IF(Table13[[#This Row],[Energy Source]]="","",Table13[[#This Row],[Energy Source]])</f>
        <v/>
      </c>
      <c r="E111" s="83" t="str">
        <f>IF(Table13[[#This Row],[Units]]="", "", Table13[[#This Row],[Units]])</f>
        <v/>
      </c>
      <c r="F111" s="83" t="str">
        <f>IF(Table13[[#This Row],[Annual Consumption (Baseline)]]="", "", Table13[[#This Row],[Annual Consumption (Baseline)]])</f>
        <v/>
      </c>
      <c r="G111" s="83" t="str">
        <f>IF(F111="", "", IF(Results!$C111="Energy", VLOOKUP(Results!$E111,'Emission Inputs (Optional)'!$T$10:$U$27,2,FALSE)*Table13[[#This Row],[Energy Savings]], ""))</f>
        <v/>
      </c>
      <c r="H111" s="13" t="str">
        <f>IFERROR(VLOOKUP(B111,'Emission Inputs (Optional)'!$G$9:$I$191,3,FALSE),"")</f>
        <v/>
      </c>
      <c r="I111" s="13" t="str">
        <f>IF(Results!$C111="Energy", VLOOKUP(Results!$E111,'Emission Inputs (Optional)'!$T$10:$U$27,2,FALSE)*Results!$F111, "")</f>
        <v/>
      </c>
      <c r="J111" s="13" t="str">
        <f>IF(Results!$I111&lt;&gt;"",Results!$I111*0.293071,"")</f>
        <v/>
      </c>
      <c r="K111" s="84" t="str">
        <f>IF(Results!$I111&lt;&gt;"",Results!$I111/SUM($I$7:$I$189),"")</f>
        <v/>
      </c>
      <c r="L111" s="13" t="str">
        <f>IF(Results!$F111&lt;&gt;"",I111-G111,"")</f>
        <v/>
      </c>
      <c r="M111" s="13" t="str">
        <f>IF(Results!$L111&lt;&gt;"",Results!$L111*0.293071,"")</f>
        <v/>
      </c>
      <c r="N111" s="84" t="str">
        <f>IF(Results!$M111&lt;&gt;"",Results!$M111/SUM($M$7:$M$189),"")</f>
        <v/>
      </c>
      <c r="O111" s="85" t="str">
        <f>IF(Results!$C111="Energy", VLOOKUP(Results!$D111,'Energy Costs Inputs (Optional)'!$AS$3:$AU$20,2,FALSE)*Results!$I111, "")</f>
        <v/>
      </c>
      <c r="P111" s="84" t="str">
        <f>IF(Results!$O111&lt;&gt;"",Results!$O111/SUM($O$7:$O$189),"")</f>
        <v/>
      </c>
      <c r="Q111" s="85" t="str">
        <f>IF(Results!$C111="Energy", VLOOKUP(Results!$D111,'Energy Costs Inputs (Optional)'!$AS$3:$AU$20,2,FALSE)*Results!$L111, "")</f>
        <v/>
      </c>
      <c r="R111" s="84" t="str">
        <f>IF(Results!$Q111&lt;&gt;"",Results!$Q111/SUM($Q$7:$Q$189),"")</f>
        <v/>
      </c>
      <c r="S111" s="85" t="str">
        <f t="shared" si="2"/>
        <v/>
      </c>
      <c r="T111" s="13" t="str">
        <f>IF(Results!$I111&lt;&gt;"",(HLOOKUP(Table13[[#This Row],[Units]],'Emission Inputs (Optional)'!$L$10:$R$27,MATCH(Table13[[#This Row],[Energy Source]],'Emission Inputs (Optional)'!$L$10:$L$27,0),FALSE))*Table13[[#This Row],[Annual Consumption (Baseline)]],"")</f>
        <v/>
      </c>
      <c r="U111" s="13" t="str">
        <f>IF(Results!$T111&lt;&gt;"",Results!$T111,H111)</f>
        <v/>
      </c>
      <c r="V111" s="84" t="str">
        <f>IF(Results!$U111="","",IF(U111&lt;&gt;"",U111,0)/SUM(Results!$U$7:$U$189))</f>
        <v/>
      </c>
      <c r="W111" s="101" t="str">
        <f>IF(Results!$I111&lt;&gt;"",(HLOOKUP(Table13[[#This Row],[Units]],'Emission Inputs (Optional)'!$L$10:$R$27,MATCH(Table13[[#This Row],[Energy Source]],'Emission Inputs (Optional)'!$L$10:$L$27,0),FALSE))*(Table13[[#This Row],[Annual Consumption (Baseline)]]-Table13[[#This Row],[Energy Savings]]),"")</f>
        <v/>
      </c>
      <c r="X111" s="13" t="str">
        <f>IFERROR(VLOOKUP(B111,'Emission Inputs (Optional)'!$G$9:$J$191,4,FALSE),"")</f>
        <v/>
      </c>
      <c r="Y111" s="95" t="str">
        <f>IF(Results!$W111&lt;&gt;"",Results!$W111,IF(X111&lt;&gt;"",(H111-X111),""))</f>
        <v/>
      </c>
      <c r="Z111" s="95" t="str">
        <f t="shared" si="3"/>
        <v/>
      </c>
      <c r="AA111" s="89" t="str">
        <f>IF(Results!$U111="","",IF(U111&lt;&gt;"",U111,0)/SUM(Results!$U$7:$U$189))</f>
        <v/>
      </c>
      <c r="AB111" s="8"/>
      <c r="AC111" s="8"/>
      <c r="AD111" s="8"/>
      <c r="AE111" s="8"/>
      <c r="AF111" s="8"/>
      <c r="AG111" s="8"/>
      <c r="AH111" s="8"/>
      <c r="AI111" s="8"/>
      <c r="AJ111" s="8"/>
      <c r="AK111" s="8"/>
      <c r="AL111" s="8"/>
      <c r="AM111" s="8"/>
      <c r="AN111" s="8"/>
      <c r="AO111" s="8"/>
      <c r="AP111" s="8"/>
      <c r="AQ111" s="8"/>
      <c r="AR111" s="8"/>
      <c r="AS111" s="8"/>
      <c r="AT111" s="8"/>
    </row>
    <row r="112" spans="1:46" x14ac:dyDescent="0.2">
      <c r="A112" s="55" t="str">
        <f>IF(B112&lt;&gt;"",COUNTA($B$7:B112),"")</f>
        <v/>
      </c>
      <c r="B112" s="83"/>
      <c r="C112" s="83"/>
      <c r="D112" s="83" t="str">
        <f>IF(Table13[[#This Row],[Energy Source]]="","",Table13[[#This Row],[Energy Source]])</f>
        <v/>
      </c>
      <c r="E112" s="83" t="str">
        <f>IF(Table13[[#This Row],[Units]]="", "", Table13[[#This Row],[Units]])</f>
        <v/>
      </c>
      <c r="F112" s="83" t="str">
        <f>IF(Table13[[#This Row],[Annual Consumption (Baseline)]]="", "", Table13[[#This Row],[Annual Consumption (Baseline)]])</f>
        <v/>
      </c>
      <c r="G112" s="83" t="str">
        <f>IF(F112="", "", IF(Results!$C112="Energy", VLOOKUP(Results!$E112,'Emission Inputs (Optional)'!$T$10:$U$27,2,FALSE)*Table13[[#This Row],[Energy Savings]], ""))</f>
        <v/>
      </c>
      <c r="H112" s="13" t="str">
        <f>IFERROR(VLOOKUP(B112,'Emission Inputs (Optional)'!$G$9:$I$191,3,FALSE),"")</f>
        <v/>
      </c>
      <c r="I112" s="13" t="str">
        <f>IF(Results!$C112="Energy", VLOOKUP(Results!$E112,'Emission Inputs (Optional)'!$T$10:$U$27,2,FALSE)*Results!$F112, "")</f>
        <v/>
      </c>
      <c r="J112" s="13" t="str">
        <f>IF(Results!$I112&lt;&gt;"",Results!$I112*0.293071,"")</f>
        <v/>
      </c>
      <c r="K112" s="84" t="str">
        <f>IF(Results!$I112&lt;&gt;"",Results!$I112/SUM($I$7:$I$189),"")</f>
        <v/>
      </c>
      <c r="L112" s="13" t="str">
        <f>IF(Results!$F112&lt;&gt;"",I112-G112,"")</f>
        <v/>
      </c>
      <c r="M112" s="13" t="str">
        <f>IF(Results!$L112&lt;&gt;"",Results!$L112*0.293071,"")</f>
        <v/>
      </c>
      <c r="N112" s="84" t="str">
        <f>IF(Results!$M112&lt;&gt;"",Results!$M112/SUM($M$7:$M$189),"")</f>
        <v/>
      </c>
      <c r="O112" s="85" t="str">
        <f>IF(Results!$C112="Energy", VLOOKUP(Results!$D112,'Energy Costs Inputs (Optional)'!$AS$3:$AU$20,2,FALSE)*Results!$I112, "")</f>
        <v/>
      </c>
      <c r="P112" s="84" t="str">
        <f>IF(Results!$O112&lt;&gt;"",Results!$O112/SUM($O$7:$O$189),"")</f>
        <v/>
      </c>
      <c r="Q112" s="85" t="str">
        <f>IF(Results!$C112="Energy", VLOOKUP(Results!$D112,'Energy Costs Inputs (Optional)'!$AS$3:$AU$20,2,FALSE)*Results!$L112, "")</f>
        <v/>
      </c>
      <c r="R112" s="84" t="str">
        <f>IF(Results!$Q112&lt;&gt;"",Results!$Q112/SUM($Q$7:$Q$189),"")</f>
        <v/>
      </c>
      <c r="S112" s="85" t="str">
        <f t="shared" si="2"/>
        <v/>
      </c>
      <c r="T112" s="13" t="str">
        <f>IF(Results!$I112&lt;&gt;"",(HLOOKUP(Table13[[#This Row],[Units]],'Emission Inputs (Optional)'!$L$10:$R$27,MATCH(Table13[[#This Row],[Energy Source]],'Emission Inputs (Optional)'!$L$10:$L$27,0),FALSE))*Table13[[#This Row],[Annual Consumption (Baseline)]],"")</f>
        <v/>
      </c>
      <c r="U112" s="13" t="str">
        <f>IF(Results!$T112&lt;&gt;"",Results!$T112,H112)</f>
        <v/>
      </c>
      <c r="V112" s="84" t="str">
        <f>IF(Results!$U112="","",IF(U112&lt;&gt;"",U112,0)/SUM(Results!$U$7:$U$189))</f>
        <v/>
      </c>
      <c r="W112" s="101" t="str">
        <f>IF(Results!$I112&lt;&gt;"",(HLOOKUP(Table13[[#This Row],[Units]],'Emission Inputs (Optional)'!$L$10:$R$27,MATCH(Table13[[#This Row],[Energy Source]],'Emission Inputs (Optional)'!$L$10:$L$27,0),FALSE))*(Table13[[#This Row],[Annual Consumption (Baseline)]]-Table13[[#This Row],[Energy Savings]]),"")</f>
        <v/>
      </c>
      <c r="X112" s="13" t="str">
        <f>IFERROR(VLOOKUP(B112,'Emission Inputs (Optional)'!$G$9:$J$191,4,FALSE),"")</f>
        <v/>
      </c>
      <c r="Y112" s="95" t="str">
        <f>IF(Results!$W112&lt;&gt;"",Results!$W112,IF(X112&lt;&gt;"",(H112-X112),""))</f>
        <v/>
      </c>
      <c r="Z112" s="95" t="str">
        <f t="shared" si="3"/>
        <v/>
      </c>
      <c r="AA112" s="89" t="str">
        <f>IF(Results!$U112="","",IF(U112&lt;&gt;"",U112,0)/SUM(Results!$U$7:$U$189))</f>
        <v/>
      </c>
      <c r="AB112" s="8"/>
      <c r="AC112" s="8"/>
      <c r="AD112" s="8"/>
      <c r="AE112" s="8"/>
      <c r="AF112" s="8"/>
      <c r="AG112" s="8"/>
      <c r="AH112" s="8"/>
      <c r="AI112" s="8"/>
      <c r="AJ112" s="8"/>
      <c r="AK112" s="8"/>
      <c r="AL112" s="8"/>
      <c r="AM112" s="8"/>
      <c r="AN112" s="8"/>
      <c r="AO112" s="8"/>
      <c r="AP112" s="8"/>
      <c r="AQ112" s="8"/>
      <c r="AR112" s="8"/>
      <c r="AS112" s="8"/>
      <c r="AT112" s="8"/>
    </row>
    <row r="113" spans="1:46" x14ac:dyDescent="0.2">
      <c r="A113" s="55" t="str">
        <f>IF(B113&lt;&gt;"",COUNTA($B$7:B113),"")</f>
        <v/>
      </c>
      <c r="B113" s="83"/>
      <c r="C113" s="83"/>
      <c r="D113" s="83" t="str">
        <f>IF(Table13[[#This Row],[Energy Source]]="","",Table13[[#This Row],[Energy Source]])</f>
        <v/>
      </c>
      <c r="E113" s="83" t="str">
        <f>IF(Table13[[#This Row],[Units]]="", "", Table13[[#This Row],[Units]])</f>
        <v/>
      </c>
      <c r="F113" s="83" t="str">
        <f>IF(Table13[[#This Row],[Annual Consumption (Baseline)]]="", "", Table13[[#This Row],[Annual Consumption (Baseline)]])</f>
        <v/>
      </c>
      <c r="G113" s="83" t="str">
        <f>IF(F113="", "", IF(Results!$C113="Energy", VLOOKUP(Results!$E113,'Emission Inputs (Optional)'!$T$10:$U$27,2,FALSE)*Table13[[#This Row],[Energy Savings]], ""))</f>
        <v/>
      </c>
      <c r="H113" s="13" t="str">
        <f>IFERROR(VLOOKUP(B113,'Emission Inputs (Optional)'!$G$9:$I$191,3,FALSE),"")</f>
        <v/>
      </c>
      <c r="I113" s="13" t="str">
        <f>IF(Results!$C113="Energy", VLOOKUP(Results!$E113,'Emission Inputs (Optional)'!$T$10:$U$27,2,FALSE)*Results!$F113, "")</f>
        <v/>
      </c>
      <c r="J113" s="13" t="str">
        <f>IF(Results!$I113&lt;&gt;"",Results!$I113*0.293071,"")</f>
        <v/>
      </c>
      <c r="K113" s="84" t="str">
        <f>IF(Results!$I113&lt;&gt;"",Results!$I113/SUM($I$7:$I$189),"")</f>
        <v/>
      </c>
      <c r="L113" s="13" t="str">
        <f>IF(Results!$F113&lt;&gt;"",I113-G113,"")</f>
        <v/>
      </c>
      <c r="M113" s="13" t="str">
        <f>IF(Results!$L113&lt;&gt;"",Results!$L113*0.293071,"")</f>
        <v/>
      </c>
      <c r="N113" s="84" t="str">
        <f>IF(Results!$M113&lt;&gt;"",Results!$M113/SUM($M$7:$M$189),"")</f>
        <v/>
      </c>
      <c r="O113" s="85" t="str">
        <f>IF(Results!$C113="Energy", VLOOKUP(Results!$D113,'Energy Costs Inputs (Optional)'!$AS$3:$AU$20,2,FALSE)*Results!$I113, "")</f>
        <v/>
      </c>
      <c r="P113" s="84" t="str">
        <f>IF(Results!$O113&lt;&gt;"",Results!$O113/SUM($O$7:$O$189),"")</f>
        <v/>
      </c>
      <c r="Q113" s="85" t="str">
        <f>IF(Results!$C113="Energy", VLOOKUP(Results!$D113,'Energy Costs Inputs (Optional)'!$AS$3:$AU$20,2,FALSE)*Results!$L113, "")</f>
        <v/>
      </c>
      <c r="R113" s="84" t="str">
        <f>IF(Results!$Q113&lt;&gt;"",Results!$Q113/SUM($Q$7:$Q$189),"")</f>
        <v/>
      </c>
      <c r="S113" s="85" t="str">
        <f t="shared" si="2"/>
        <v/>
      </c>
      <c r="T113" s="13" t="str">
        <f>IF(Results!$I113&lt;&gt;"",(HLOOKUP(Table13[[#This Row],[Units]],'Emission Inputs (Optional)'!$L$10:$R$27,MATCH(Table13[[#This Row],[Energy Source]],'Emission Inputs (Optional)'!$L$10:$L$27,0),FALSE))*Table13[[#This Row],[Annual Consumption (Baseline)]],"")</f>
        <v/>
      </c>
      <c r="U113" s="13" t="str">
        <f>IF(Results!$T113&lt;&gt;"",Results!$T113,H113)</f>
        <v/>
      </c>
      <c r="V113" s="84" t="str">
        <f>IF(Results!$U113="","",IF(U113&lt;&gt;"",U113,0)/SUM(Results!$U$7:$U$189))</f>
        <v/>
      </c>
      <c r="W113" s="101" t="str">
        <f>IF(Results!$I113&lt;&gt;"",(HLOOKUP(Table13[[#This Row],[Units]],'Emission Inputs (Optional)'!$L$10:$R$27,MATCH(Table13[[#This Row],[Energy Source]],'Emission Inputs (Optional)'!$L$10:$L$27,0),FALSE))*(Table13[[#This Row],[Annual Consumption (Baseline)]]-Table13[[#This Row],[Energy Savings]]),"")</f>
        <v/>
      </c>
      <c r="X113" s="13" t="str">
        <f>IFERROR(VLOOKUP(B113,'Emission Inputs (Optional)'!$G$9:$J$191,4,FALSE),"")</f>
        <v/>
      </c>
      <c r="Y113" s="95" t="str">
        <f>IF(Results!$W113&lt;&gt;"",Results!$W113,IF(X113&lt;&gt;"",(H113-X113),""))</f>
        <v/>
      </c>
      <c r="Z113" s="95" t="str">
        <f t="shared" si="3"/>
        <v/>
      </c>
      <c r="AA113" s="89" t="str">
        <f>IF(Results!$U113="","",IF(U113&lt;&gt;"",U113,0)/SUM(Results!$U$7:$U$189))</f>
        <v/>
      </c>
      <c r="AB113" s="8"/>
      <c r="AC113" s="8"/>
      <c r="AD113" s="8"/>
      <c r="AE113" s="8"/>
      <c r="AF113" s="8"/>
      <c r="AG113" s="8"/>
      <c r="AH113" s="8"/>
      <c r="AI113" s="8"/>
      <c r="AJ113" s="8"/>
      <c r="AK113" s="8"/>
      <c r="AL113" s="8"/>
      <c r="AM113" s="8"/>
      <c r="AN113" s="8"/>
      <c r="AO113" s="8"/>
      <c r="AP113" s="8"/>
      <c r="AQ113" s="8"/>
      <c r="AR113" s="8"/>
      <c r="AS113" s="8"/>
      <c r="AT113" s="8"/>
    </row>
    <row r="114" spans="1:46" x14ac:dyDescent="0.2">
      <c r="A114" s="55" t="str">
        <f>IF(B114&lt;&gt;"",COUNTA($B$7:B114),"")</f>
        <v/>
      </c>
      <c r="B114" s="83"/>
      <c r="C114" s="83"/>
      <c r="D114" s="83" t="str">
        <f>IF(Table13[[#This Row],[Energy Source]]="","",Table13[[#This Row],[Energy Source]])</f>
        <v/>
      </c>
      <c r="E114" s="83" t="str">
        <f>IF(Table13[[#This Row],[Units]]="", "", Table13[[#This Row],[Units]])</f>
        <v/>
      </c>
      <c r="F114" s="83" t="str">
        <f>IF(Table13[[#This Row],[Annual Consumption (Baseline)]]="", "", Table13[[#This Row],[Annual Consumption (Baseline)]])</f>
        <v/>
      </c>
      <c r="G114" s="83" t="str">
        <f>IF(F114="", "", IF(Results!$C114="Energy", VLOOKUP(Results!$E114,'Emission Inputs (Optional)'!$T$10:$U$27,2,FALSE)*Table13[[#This Row],[Energy Savings]], ""))</f>
        <v/>
      </c>
      <c r="H114" s="13" t="str">
        <f>IFERROR(VLOOKUP(B114,'Emission Inputs (Optional)'!$G$9:$I$191,3,FALSE),"")</f>
        <v/>
      </c>
      <c r="I114" s="13" t="str">
        <f>IF(Results!$C114="Energy", VLOOKUP(Results!$E114,'Emission Inputs (Optional)'!$T$10:$U$27,2,FALSE)*Results!$F114, "")</f>
        <v/>
      </c>
      <c r="J114" s="13" t="str">
        <f>IF(Results!$I114&lt;&gt;"",Results!$I114*0.293071,"")</f>
        <v/>
      </c>
      <c r="K114" s="84" t="str">
        <f>IF(Results!$I114&lt;&gt;"",Results!$I114/SUM($I$7:$I$189),"")</f>
        <v/>
      </c>
      <c r="L114" s="13" t="str">
        <f>IF(Results!$F114&lt;&gt;"",I114-G114,"")</f>
        <v/>
      </c>
      <c r="M114" s="13" t="str">
        <f>IF(Results!$L114&lt;&gt;"",Results!$L114*0.293071,"")</f>
        <v/>
      </c>
      <c r="N114" s="84" t="str">
        <f>IF(Results!$M114&lt;&gt;"",Results!$M114/SUM($M$7:$M$189),"")</f>
        <v/>
      </c>
      <c r="O114" s="85" t="str">
        <f>IF(Results!$C114="Energy", VLOOKUP(Results!$D114,'Energy Costs Inputs (Optional)'!$AS$3:$AU$20,2,FALSE)*Results!$I114, "")</f>
        <v/>
      </c>
      <c r="P114" s="84" t="str">
        <f>IF(Results!$O114&lt;&gt;"",Results!$O114/SUM($O$7:$O$189),"")</f>
        <v/>
      </c>
      <c r="Q114" s="85" t="str">
        <f>IF(Results!$C114="Energy", VLOOKUP(Results!$D114,'Energy Costs Inputs (Optional)'!$AS$3:$AU$20,2,FALSE)*Results!$L114, "")</f>
        <v/>
      </c>
      <c r="R114" s="84" t="str">
        <f>IF(Results!$Q114&lt;&gt;"",Results!$Q114/SUM($Q$7:$Q$189),"")</f>
        <v/>
      </c>
      <c r="S114" s="85" t="str">
        <f t="shared" si="2"/>
        <v/>
      </c>
      <c r="T114" s="13" t="str">
        <f>IF(Results!$I114&lt;&gt;"",(HLOOKUP(Table13[[#This Row],[Units]],'Emission Inputs (Optional)'!$L$10:$R$27,MATCH(Table13[[#This Row],[Energy Source]],'Emission Inputs (Optional)'!$L$10:$L$27,0),FALSE))*Table13[[#This Row],[Annual Consumption (Baseline)]],"")</f>
        <v/>
      </c>
      <c r="U114" s="13" t="str">
        <f>IF(Results!$T114&lt;&gt;"",Results!$T114,H114)</f>
        <v/>
      </c>
      <c r="V114" s="84" t="str">
        <f>IF(Results!$U114="","",IF(U114&lt;&gt;"",U114,0)/SUM(Results!$U$7:$U$189))</f>
        <v/>
      </c>
      <c r="W114" s="101" t="str">
        <f>IF(Results!$I114&lt;&gt;"",(HLOOKUP(Table13[[#This Row],[Units]],'Emission Inputs (Optional)'!$L$10:$R$27,MATCH(Table13[[#This Row],[Energy Source]],'Emission Inputs (Optional)'!$L$10:$L$27,0),FALSE))*(Table13[[#This Row],[Annual Consumption (Baseline)]]-Table13[[#This Row],[Energy Savings]]),"")</f>
        <v/>
      </c>
      <c r="X114" s="13" t="str">
        <f>IFERROR(VLOOKUP(B114,'Emission Inputs (Optional)'!$G$9:$J$191,4,FALSE),"")</f>
        <v/>
      </c>
      <c r="Y114" s="95" t="str">
        <f>IF(Results!$W114&lt;&gt;"",Results!$W114,IF(X114&lt;&gt;"",(H114-X114),""))</f>
        <v/>
      </c>
      <c r="Z114" s="95" t="str">
        <f t="shared" si="3"/>
        <v/>
      </c>
      <c r="AA114" s="89" t="str">
        <f>IF(Results!$U114="","",IF(U114&lt;&gt;"",U114,0)/SUM(Results!$U$7:$U$189))</f>
        <v/>
      </c>
      <c r="AB114" s="8"/>
      <c r="AC114" s="8"/>
      <c r="AD114" s="8"/>
      <c r="AE114" s="8"/>
      <c r="AF114" s="8"/>
      <c r="AG114" s="8"/>
      <c r="AH114" s="8"/>
      <c r="AI114" s="8"/>
      <c r="AJ114" s="8"/>
      <c r="AK114" s="8"/>
      <c r="AL114" s="8"/>
      <c r="AM114" s="8"/>
      <c r="AN114" s="8"/>
      <c r="AO114" s="8"/>
      <c r="AP114" s="8"/>
      <c r="AQ114" s="8"/>
      <c r="AR114" s="8"/>
      <c r="AS114" s="8"/>
      <c r="AT114" s="8"/>
    </row>
    <row r="115" spans="1:46" x14ac:dyDescent="0.2">
      <c r="A115" s="55" t="str">
        <f>IF(B115&lt;&gt;"",COUNTA($B$7:B115),"")</f>
        <v/>
      </c>
      <c r="B115" s="83"/>
      <c r="C115" s="83"/>
      <c r="D115" s="83" t="str">
        <f>IF(Table13[[#This Row],[Energy Source]]="","",Table13[[#This Row],[Energy Source]])</f>
        <v/>
      </c>
      <c r="E115" s="83" t="str">
        <f>IF(Table13[[#This Row],[Units]]="", "", Table13[[#This Row],[Units]])</f>
        <v/>
      </c>
      <c r="F115" s="83" t="str">
        <f>IF(Table13[[#This Row],[Annual Consumption (Baseline)]]="", "", Table13[[#This Row],[Annual Consumption (Baseline)]])</f>
        <v/>
      </c>
      <c r="G115" s="83" t="str">
        <f>IF(F115="", "", IF(Results!$C115="Energy", VLOOKUP(Results!$E115,'Emission Inputs (Optional)'!$T$10:$U$27,2,FALSE)*Table13[[#This Row],[Energy Savings]], ""))</f>
        <v/>
      </c>
      <c r="H115" s="13" t="str">
        <f>IFERROR(VLOOKUP(B115,'Emission Inputs (Optional)'!$G$9:$I$191,3,FALSE),"")</f>
        <v/>
      </c>
      <c r="I115" s="13" t="str">
        <f>IF(Results!$C115="Energy", VLOOKUP(Results!$E115,'Emission Inputs (Optional)'!$T$10:$U$27,2,FALSE)*Results!$F115, "")</f>
        <v/>
      </c>
      <c r="J115" s="13" t="str">
        <f>IF(Results!$I115&lt;&gt;"",Results!$I115*0.293071,"")</f>
        <v/>
      </c>
      <c r="K115" s="84" t="str">
        <f>IF(Results!$I115&lt;&gt;"",Results!$I115/SUM($I$7:$I$189),"")</f>
        <v/>
      </c>
      <c r="L115" s="13" t="str">
        <f>IF(Results!$F115&lt;&gt;"",I115-G115,"")</f>
        <v/>
      </c>
      <c r="M115" s="13" t="str">
        <f>IF(Results!$L115&lt;&gt;"",Results!$L115*0.293071,"")</f>
        <v/>
      </c>
      <c r="N115" s="84" t="str">
        <f>IF(Results!$M115&lt;&gt;"",Results!$M115/SUM($M$7:$M$189),"")</f>
        <v/>
      </c>
      <c r="O115" s="85" t="str">
        <f>IF(Results!$C115="Energy", VLOOKUP(Results!$D115,'Energy Costs Inputs (Optional)'!$AS$3:$AU$20,2,FALSE)*Results!$I115, "")</f>
        <v/>
      </c>
      <c r="P115" s="84" t="str">
        <f>IF(Results!$O115&lt;&gt;"",Results!$O115/SUM($O$7:$O$189),"")</f>
        <v/>
      </c>
      <c r="Q115" s="85" t="str">
        <f>IF(Results!$C115="Energy", VLOOKUP(Results!$D115,'Energy Costs Inputs (Optional)'!$AS$3:$AU$20,2,FALSE)*Results!$L115, "")</f>
        <v/>
      </c>
      <c r="R115" s="84" t="str">
        <f>IF(Results!$Q115&lt;&gt;"",Results!$Q115/SUM($Q$7:$Q$189),"")</f>
        <v/>
      </c>
      <c r="S115" s="85" t="str">
        <f t="shared" si="2"/>
        <v/>
      </c>
      <c r="T115" s="13" t="str">
        <f>IF(Results!$I115&lt;&gt;"",(HLOOKUP(Table13[[#This Row],[Units]],'Emission Inputs (Optional)'!$L$10:$R$27,MATCH(Table13[[#This Row],[Energy Source]],'Emission Inputs (Optional)'!$L$10:$L$27,0),FALSE))*Table13[[#This Row],[Annual Consumption (Baseline)]],"")</f>
        <v/>
      </c>
      <c r="U115" s="13" t="str">
        <f>IF(Results!$T115&lt;&gt;"",Results!$T115,H115)</f>
        <v/>
      </c>
      <c r="V115" s="84" t="str">
        <f>IF(Results!$U115="","",IF(U115&lt;&gt;"",U115,0)/SUM(Results!$U$7:$U$189))</f>
        <v/>
      </c>
      <c r="W115" s="101" t="str">
        <f>IF(Results!$I115&lt;&gt;"",(HLOOKUP(Table13[[#This Row],[Units]],'Emission Inputs (Optional)'!$L$10:$R$27,MATCH(Table13[[#This Row],[Energy Source]],'Emission Inputs (Optional)'!$L$10:$L$27,0),FALSE))*(Table13[[#This Row],[Annual Consumption (Baseline)]]-Table13[[#This Row],[Energy Savings]]),"")</f>
        <v/>
      </c>
      <c r="X115" s="13" t="str">
        <f>IFERROR(VLOOKUP(B115,'Emission Inputs (Optional)'!$G$9:$J$191,4,FALSE),"")</f>
        <v/>
      </c>
      <c r="Y115" s="95" t="str">
        <f>IF(Results!$W115&lt;&gt;"",Results!$W115,IF(X115&lt;&gt;"",(H115-X115),""))</f>
        <v/>
      </c>
      <c r="Z115" s="95" t="str">
        <f t="shared" si="3"/>
        <v/>
      </c>
      <c r="AA115" s="89" t="str">
        <f>IF(Results!$U115="","",IF(U115&lt;&gt;"",U115,0)/SUM(Results!$U$7:$U$189))</f>
        <v/>
      </c>
      <c r="AB115" s="8"/>
      <c r="AC115" s="8"/>
      <c r="AD115" s="8"/>
      <c r="AE115" s="8"/>
      <c r="AF115" s="8"/>
      <c r="AG115" s="8"/>
      <c r="AH115" s="8"/>
      <c r="AI115" s="8"/>
      <c r="AJ115" s="8"/>
      <c r="AK115" s="8"/>
      <c r="AL115" s="8"/>
      <c r="AM115" s="8"/>
      <c r="AN115" s="8"/>
      <c r="AO115" s="8"/>
      <c r="AP115" s="8"/>
      <c r="AQ115" s="8"/>
      <c r="AR115" s="8"/>
      <c r="AS115" s="8"/>
      <c r="AT115" s="8"/>
    </row>
    <row r="116" spans="1:46" x14ac:dyDescent="0.2">
      <c r="A116" s="55" t="str">
        <f>IF(B116&lt;&gt;"",COUNTA($B$7:B116),"")</f>
        <v/>
      </c>
      <c r="B116" s="83"/>
      <c r="C116" s="83"/>
      <c r="D116" s="83" t="str">
        <f>IF(Table13[[#This Row],[Energy Source]]="","",Table13[[#This Row],[Energy Source]])</f>
        <v/>
      </c>
      <c r="E116" s="83" t="str">
        <f>IF(Table13[[#This Row],[Units]]="", "", Table13[[#This Row],[Units]])</f>
        <v/>
      </c>
      <c r="F116" s="83" t="str">
        <f>IF(Table13[[#This Row],[Annual Consumption (Baseline)]]="", "", Table13[[#This Row],[Annual Consumption (Baseline)]])</f>
        <v/>
      </c>
      <c r="G116" s="83" t="str">
        <f>IF(F116="", "", IF(Results!$C116="Energy", VLOOKUP(Results!$E116,'Emission Inputs (Optional)'!$T$10:$U$27,2,FALSE)*Table13[[#This Row],[Energy Savings]], ""))</f>
        <v/>
      </c>
      <c r="H116" s="13" t="str">
        <f>IFERROR(VLOOKUP(B116,'Emission Inputs (Optional)'!$G$9:$I$191,3,FALSE),"")</f>
        <v/>
      </c>
      <c r="I116" s="13" t="str">
        <f>IF(Results!$C116="Energy", VLOOKUP(Results!$E116,'Emission Inputs (Optional)'!$T$10:$U$27,2,FALSE)*Results!$F116, "")</f>
        <v/>
      </c>
      <c r="J116" s="13" t="str">
        <f>IF(Results!$I116&lt;&gt;"",Results!$I116*0.293071,"")</f>
        <v/>
      </c>
      <c r="K116" s="84" t="str">
        <f>IF(Results!$I116&lt;&gt;"",Results!$I116/SUM($I$7:$I$189),"")</f>
        <v/>
      </c>
      <c r="L116" s="13" t="str">
        <f>IF(Results!$F116&lt;&gt;"",I116-G116,"")</f>
        <v/>
      </c>
      <c r="M116" s="13" t="str">
        <f>IF(Results!$L116&lt;&gt;"",Results!$L116*0.293071,"")</f>
        <v/>
      </c>
      <c r="N116" s="84" t="str">
        <f>IF(Results!$M116&lt;&gt;"",Results!$M116/SUM($M$7:$M$189),"")</f>
        <v/>
      </c>
      <c r="O116" s="85" t="str">
        <f>IF(Results!$C116="Energy", VLOOKUP(Results!$D116,'Energy Costs Inputs (Optional)'!$AS$3:$AU$20,2,FALSE)*Results!$I116, "")</f>
        <v/>
      </c>
      <c r="P116" s="84" t="str">
        <f>IF(Results!$O116&lt;&gt;"",Results!$O116/SUM($O$7:$O$189),"")</f>
        <v/>
      </c>
      <c r="Q116" s="85" t="str">
        <f>IF(Results!$C116="Energy", VLOOKUP(Results!$D116,'Energy Costs Inputs (Optional)'!$AS$3:$AU$20,2,FALSE)*Results!$L116, "")</f>
        <v/>
      </c>
      <c r="R116" s="84" t="str">
        <f>IF(Results!$Q116&lt;&gt;"",Results!$Q116/SUM($Q$7:$Q$189),"")</f>
        <v/>
      </c>
      <c r="S116" s="85" t="str">
        <f t="shared" si="2"/>
        <v/>
      </c>
      <c r="T116" s="13" t="str">
        <f>IF(Results!$I116&lt;&gt;"",(HLOOKUP(Table13[[#This Row],[Units]],'Emission Inputs (Optional)'!$L$10:$R$27,MATCH(Table13[[#This Row],[Energy Source]],'Emission Inputs (Optional)'!$L$10:$L$27,0),FALSE))*Table13[[#This Row],[Annual Consumption (Baseline)]],"")</f>
        <v/>
      </c>
      <c r="U116" s="13" t="str">
        <f>IF(Results!$T116&lt;&gt;"",Results!$T116,H116)</f>
        <v/>
      </c>
      <c r="V116" s="84" t="str">
        <f>IF(Results!$U116="","",IF(U116&lt;&gt;"",U116,0)/SUM(Results!$U$7:$U$189))</f>
        <v/>
      </c>
      <c r="W116" s="101" t="str">
        <f>IF(Results!$I116&lt;&gt;"",(HLOOKUP(Table13[[#This Row],[Units]],'Emission Inputs (Optional)'!$L$10:$R$27,MATCH(Table13[[#This Row],[Energy Source]],'Emission Inputs (Optional)'!$L$10:$L$27,0),FALSE))*(Table13[[#This Row],[Annual Consumption (Baseline)]]-Table13[[#This Row],[Energy Savings]]),"")</f>
        <v/>
      </c>
      <c r="X116" s="13" t="str">
        <f>IFERROR(VLOOKUP(B116,'Emission Inputs (Optional)'!$G$9:$J$191,4,FALSE),"")</f>
        <v/>
      </c>
      <c r="Y116" s="95" t="str">
        <f>IF(Results!$W116&lt;&gt;"",Results!$W116,IF(X116&lt;&gt;"",(H116-X116),""))</f>
        <v/>
      </c>
      <c r="Z116" s="95" t="str">
        <f t="shared" si="3"/>
        <v/>
      </c>
      <c r="AA116" s="89" t="str">
        <f>IF(Results!$U116="","",IF(U116&lt;&gt;"",U116,0)/SUM(Results!$U$7:$U$189))</f>
        <v/>
      </c>
      <c r="AB116" s="8"/>
      <c r="AC116" s="8"/>
      <c r="AD116" s="8"/>
      <c r="AE116" s="8"/>
      <c r="AF116" s="8"/>
      <c r="AG116" s="8"/>
      <c r="AH116" s="8"/>
      <c r="AI116" s="8"/>
      <c r="AJ116" s="8"/>
      <c r="AK116" s="8"/>
      <c r="AL116" s="8"/>
      <c r="AM116" s="8"/>
      <c r="AN116" s="8"/>
      <c r="AO116" s="8"/>
      <c r="AP116" s="8"/>
      <c r="AQ116" s="8"/>
      <c r="AR116" s="8"/>
      <c r="AS116" s="8"/>
      <c r="AT116" s="8"/>
    </row>
    <row r="117" spans="1:46" x14ac:dyDescent="0.2">
      <c r="A117" s="55" t="str">
        <f>IF(B117&lt;&gt;"",COUNTA($B$7:B117),"")</f>
        <v/>
      </c>
      <c r="B117" s="83"/>
      <c r="C117" s="83"/>
      <c r="D117" s="83" t="str">
        <f>IF(Table13[[#This Row],[Energy Source]]="","",Table13[[#This Row],[Energy Source]])</f>
        <v/>
      </c>
      <c r="E117" s="83" t="str">
        <f>IF(Table13[[#This Row],[Units]]="", "", Table13[[#This Row],[Units]])</f>
        <v/>
      </c>
      <c r="F117" s="83" t="str">
        <f>IF(Table13[[#This Row],[Annual Consumption (Baseline)]]="", "", Table13[[#This Row],[Annual Consumption (Baseline)]])</f>
        <v/>
      </c>
      <c r="G117" s="83" t="str">
        <f>IF(F117="", "", IF(Results!$C117="Energy", VLOOKUP(Results!$E117,'Emission Inputs (Optional)'!$T$10:$U$27,2,FALSE)*Table13[[#This Row],[Energy Savings]], ""))</f>
        <v/>
      </c>
      <c r="H117" s="13" t="str">
        <f>IFERROR(VLOOKUP(B117,'Emission Inputs (Optional)'!$G$9:$I$191,3,FALSE),"")</f>
        <v/>
      </c>
      <c r="I117" s="13" t="str">
        <f>IF(Results!$C117="Energy", VLOOKUP(Results!$E117,'Emission Inputs (Optional)'!$T$10:$U$27,2,FALSE)*Results!$F117, "")</f>
        <v/>
      </c>
      <c r="J117" s="13" t="str">
        <f>IF(Results!$I117&lt;&gt;"",Results!$I117*0.293071,"")</f>
        <v/>
      </c>
      <c r="K117" s="84" t="str">
        <f>IF(Results!$I117&lt;&gt;"",Results!$I117/SUM($I$7:$I$189),"")</f>
        <v/>
      </c>
      <c r="L117" s="13" t="str">
        <f>IF(Results!$F117&lt;&gt;"",I117-G117,"")</f>
        <v/>
      </c>
      <c r="M117" s="13" t="str">
        <f>IF(Results!$L117&lt;&gt;"",Results!$L117*0.293071,"")</f>
        <v/>
      </c>
      <c r="N117" s="84" t="str">
        <f>IF(Results!$M117&lt;&gt;"",Results!$M117/SUM($M$7:$M$189),"")</f>
        <v/>
      </c>
      <c r="O117" s="85" t="str">
        <f>IF(Results!$C117="Energy", VLOOKUP(Results!$D117,'Energy Costs Inputs (Optional)'!$AS$3:$AU$20,2,FALSE)*Results!$I117, "")</f>
        <v/>
      </c>
      <c r="P117" s="84" t="str">
        <f>IF(Results!$O117&lt;&gt;"",Results!$O117/SUM($O$7:$O$189),"")</f>
        <v/>
      </c>
      <c r="Q117" s="85" t="str">
        <f>IF(Results!$C117="Energy", VLOOKUP(Results!$D117,'Energy Costs Inputs (Optional)'!$AS$3:$AU$20,2,FALSE)*Results!$L117, "")</f>
        <v/>
      </c>
      <c r="R117" s="84" t="str">
        <f>IF(Results!$Q117&lt;&gt;"",Results!$Q117/SUM($Q$7:$Q$189),"")</f>
        <v/>
      </c>
      <c r="S117" s="85" t="str">
        <f t="shared" si="2"/>
        <v/>
      </c>
      <c r="T117" s="13" t="str">
        <f>IF(Results!$I117&lt;&gt;"",(HLOOKUP(Table13[[#This Row],[Units]],'Emission Inputs (Optional)'!$L$10:$R$27,MATCH(Table13[[#This Row],[Energy Source]],'Emission Inputs (Optional)'!$L$10:$L$27,0),FALSE))*Table13[[#This Row],[Annual Consumption (Baseline)]],"")</f>
        <v/>
      </c>
      <c r="U117" s="13" t="str">
        <f>IF(Results!$T117&lt;&gt;"",Results!$T117,H117)</f>
        <v/>
      </c>
      <c r="V117" s="84" t="str">
        <f>IF(Results!$U117="","",IF(U117&lt;&gt;"",U117,0)/SUM(Results!$U$7:$U$189))</f>
        <v/>
      </c>
      <c r="W117" s="101" t="str">
        <f>IF(Results!$I117&lt;&gt;"",(HLOOKUP(Table13[[#This Row],[Units]],'Emission Inputs (Optional)'!$L$10:$R$27,MATCH(Table13[[#This Row],[Energy Source]],'Emission Inputs (Optional)'!$L$10:$L$27,0),FALSE))*(Table13[[#This Row],[Annual Consumption (Baseline)]]-Table13[[#This Row],[Energy Savings]]),"")</f>
        <v/>
      </c>
      <c r="X117" s="13" t="str">
        <f>IFERROR(VLOOKUP(B117,'Emission Inputs (Optional)'!$G$9:$J$191,4,FALSE),"")</f>
        <v/>
      </c>
      <c r="Y117" s="95" t="str">
        <f>IF(Results!$W117&lt;&gt;"",Results!$W117,IF(X117&lt;&gt;"",(H117-X117),""))</f>
        <v/>
      </c>
      <c r="Z117" s="95" t="str">
        <f t="shared" si="3"/>
        <v/>
      </c>
      <c r="AA117" s="89" t="str">
        <f>IF(Results!$U117="","",IF(U117&lt;&gt;"",U117,0)/SUM(Results!$U$7:$U$189))</f>
        <v/>
      </c>
      <c r="AB117" s="8"/>
      <c r="AC117" s="8"/>
      <c r="AD117" s="8"/>
      <c r="AE117" s="8"/>
      <c r="AF117" s="8"/>
      <c r="AG117" s="8"/>
      <c r="AH117" s="8"/>
      <c r="AI117" s="8"/>
      <c r="AJ117" s="8"/>
      <c r="AK117" s="8"/>
      <c r="AL117" s="8"/>
      <c r="AM117" s="8"/>
      <c r="AN117" s="8"/>
      <c r="AO117" s="8"/>
      <c r="AP117" s="8"/>
      <c r="AQ117" s="8"/>
      <c r="AR117" s="8"/>
      <c r="AS117" s="8"/>
      <c r="AT117" s="8"/>
    </row>
    <row r="118" spans="1:46" x14ac:dyDescent="0.2">
      <c r="A118" s="55" t="str">
        <f>IF(B118&lt;&gt;"",COUNTA($B$7:B118),"")</f>
        <v/>
      </c>
      <c r="B118" s="83"/>
      <c r="C118" s="83"/>
      <c r="D118" s="83" t="str">
        <f>IF(Table13[[#This Row],[Energy Source]]="","",Table13[[#This Row],[Energy Source]])</f>
        <v/>
      </c>
      <c r="E118" s="83" t="str">
        <f>IF(Table13[[#This Row],[Units]]="", "", Table13[[#This Row],[Units]])</f>
        <v/>
      </c>
      <c r="F118" s="83" t="str">
        <f>IF(Table13[[#This Row],[Annual Consumption (Baseline)]]="", "", Table13[[#This Row],[Annual Consumption (Baseline)]])</f>
        <v/>
      </c>
      <c r="G118" s="83" t="str">
        <f>IF(F118="", "", IF(Results!$C118="Energy", VLOOKUP(Results!$E118,'Emission Inputs (Optional)'!$T$10:$U$27,2,FALSE)*Table13[[#This Row],[Energy Savings]], ""))</f>
        <v/>
      </c>
      <c r="H118" s="13" t="str">
        <f>IFERROR(VLOOKUP(B118,'Emission Inputs (Optional)'!$G$9:$I$191,3,FALSE),"")</f>
        <v/>
      </c>
      <c r="I118" s="13" t="str">
        <f>IF(Results!$C118="Energy", VLOOKUP(Results!$E118,'Emission Inputs (Optional)'!$T$10:$U$27,2,FALSE)*Results!$F118, "")</f>
        <v/>
      </c>
      <c r="J118" s="13" t="str">
        <f>IF(Results!$I118&lt;&gt;"",Results!$I118*0.293071,"")</f>
        <v/>
      </c>
      <c r="K118" s="84" t="str">
        <f>IF(Results!$I118&lt;&gt;"",Results!$I118/SUM($I$7:$I$189),"")</f>
        <v/>
      </c>
      <c r="L118" s="13" t="str">
        <f>IF(Results!$F118&lt;&gt;"",I118-G118,"")</f>
        <v/>
      </c>
      <c r="M118" s="13" t="str">
        <f>IF(Results!$L118&lt;&gt;"",Results!$L118*0.293071,"")</f>
        <v/>
      </c>
      <c r="N118" s="84" t="str">
        <f>IF(Results!$M118&lt;&gt;"",Results!$M118/SUM($M$7:$M$189),"")</f>
        <v/>
      </c>
      <c r="O118" s="85" t="str">
        <f>IF(Results!$C118="Energy", VLOOKUP(Results!$D118,'Energy Costs Inputs (Optional)'!$AS$3:$AU$20,2,FALSE)*Results!$I118, "")</f>
        <v/>
      </c>
      <c r="P118" s="84" t="str">
        <f>IF(Results!$O118&lt;&gt;"",Results!$O118/SUM($O$7:$O$189),"")</f>
        <v/>
      </c>
      <c r="Q118" s="85" t="str">
        <f>IF(Results!$C118="Energy", VLOOKUP(Results!$D118,'Energy Costs Inputs (Optional)'!$AS$3:$AU$20,2,FALSE)*Results!$L118, "")</f>
        <v/>
      </c>
      <c r="R118" s="84" t="str">
        <f>IF(Results!$Q118&lt;&gt;"",Results!$Q118/SUM($Q$7:$Q$189),"")</f>
        <v/>
      </c>
      <c r="S118" s="85" t="str">
        <f t="shared" si="2"/>
        <v/>
      </c>
      <c r="T118" s="13" t="str">
        <f>IF(Results!$I118&lt;&gt;"",(HLOOKUP(Table13[[#This Row],[Units]],'Emission Inputs (Optional)'!$L$10:$R$27,MATCH(Table13[[#This Row],[Energy Source]],'Emission Inputs (Optional)'!$L$10:$L$27,0),FALSE))*Table13[[#This Row],[Annual Consumption (Baseline)]],"")</f>
        <v/>
      </c>
      <c r="U118" s="13" t="str">
        <f>IF(Results!$T118&lt;&gt;"",Results!$T118,H118)</f>
        <v/>
      </c>
      <c r="V118" s="84" t="str">
        <f>IF(Results!$U118="","",IF(U118&lt;&gt;"",U118,0)/SUM(Results!$U$7:$U$189))</f>
        <v/>
      </c>
      <c r="W118" s="101" t="str">
        <f>IF(Results!$I118&lt;&gt;"",(HLOOKUP(Table13[[#This Row],[Units]],'Emission Inputs (Optional)'!$L$10:$R$27,MATCH(Table13[[#This Row],[Energy Source]],'Emission Inputs (Optional)'!$L$10:$L$27,0),FALSE))*(Table13[[#This Row],[Annual Consumption (Baseline)]]-Table13[[#This Row],[Energy Savings]]),"")</f>
        <v/>
      </c>
      <c r="X118" s="13" t="str">
        <f>IFERROR(VLOOKUP(B118,'Emission Inputs (Optional)'!$G$9:$J$191,4,FALSE),"")</f>
        <v/>
      </c>
      <c r="Y118" s="95" t="str">
        <f>IF(Results!$W118&lt;&gt;"",Results!$W118,IF(X118&lt;&gt;"",(H118-X118),""))</f>
        <v/>
      </c>
      <c r="Z118" s="95" t="str">
        <f t="shared" si="3"/>
        <v/>
      </c>
      <c r="AA118" s="89" t="str">
        <f>IF(Results!$U118="","",IF(U118&lt;&gt;"",U118,0)/SUM(Results!$U$7:$U$189))</f>
        <v/>
      </c>
      <c r="AB118" s="8"/>
      <c r="AC118" s="8"/>
      <c r="AD118" s="8"/>
      <c r="AE118" s="8"/>
      <c r="AF118" s="8"/>
      <c r="AG118" s="8"/>
      <c r="AH118" s="8"/>
      <c r="AI118" s="8"/>
      <c r="AJ118" s="8"/>
      <c r="AK118" s="8"/>
      <c r="AL118" s="8"/>
      <c r="AM118" s="8"/>
      <c r="AN118" s="8"/>
      <c r="AO118" s="8"/>
      <c r="AP118" s="8"/>
      <c r="AQ118" s="8"/>
      <c r="AR118" s="8"/>
      <c r="AS118" s="8"/>
      <c r="AT118" s="8"/>
    </row>
    <row r="119" spans="1:46" x14ac:dyDescent="0.2">
      <c r="A119" s="55" t="str">
        <f>IF(B119&lt;&gt;"",COUNTA($B$7:B119),"")</f>
        <v/>
      </c>
      <c r="B119" s="83"/>
      <c r="C119" s="83"/>
      <c r="D119" s="83" t="str">
        <f>IF(Table13[[#This Row],[Energy Source]]="","",Table13[[#This Row],[Energy Source]])</f>
        <v/>
      </c>
      <c r="E119" s="83" t="str">
        <f>IF(Table13[[#This Row],[Units]]="", "", Table13[[#This Row],[Units]])</f>
        <v/>
      </c>
      <c r="F119" s="83" t="str">
        <f>IF(Table13[[#This Row],[Annual Consumption (Baseline)]]="", "", Table13[[#This Row],[Annual Consumption (Baseline)]])</f>
        <v/>
      </c>
      <c r="G119" s="83" t="str">
        <f>IF(F119="", "", IF(Results!$C119="Energy", VLOOKUP(Results!$E119,'Emission Inputs (Optional)'!$T$10:$U$27,2,FALSE)*Table13[[#This Row],[Energy Savings]], ""))</f>
        <v/>
      </c>
      <c r="H119" s="13" t="str">
        <f>IFERROR(VLOOKUP(B119,'Emission Inputs (Optional)'!$G$9:$I$191,3,FALSE),"")</f>
        <v/>
      </c>
      <c r="I119" s="13" t="str">
        <f>IF(Results!$C119="Energy", VLOOKUP(Results!$E119,'Emission Inputs (Optional)'!$T$10:$U$27,2,FALSE)*Results!$F119, "")</f>
        <v/>
      </c>
      <c r="J119" s="13" t="str">
        <f>IF(Results!$I119&lt;&gt;"",Results!$I119*0.293071,"")</f>
        <v/>
      </c>
      <c r="K119" s="84" t="str">
        <f>IF(Results!$I119&lt;&gt;"",Results!$I119/SUM($I$7:$I$189),"")</f>
        <v/>
      </c>
      <c r="L119" s="13" t="str">
        <f>IF(Results!$F119&lt;&gt;"",I119-G119,"")</f>
        <v/>
      </c>
      <c r="M119" s="13" t="str">
        <f>IF(Results!$L119&lt;&gt;"",Results!$L119*0.293071,"")</f>
        <v/>
      </c>
      <c r="N119" s="84" t="str">
        <f>IF(Results!$M119&lt;&gt;"",Results!$M119/SUM($M$7:$M$189),"")</f>
        <v/>
      </c>
      <c r="O119" s="85" t="str">
        <f>IF(Results!$C119="Energy", VLOOKUP(Results!$D119,'Energy Costs Inputs (Optional)'!$AS$3:$AU$20,2,FALSE)*Results!$I119, "")</f>
        <v/>
      </c>
      <c r="P119" s="84" t="str">
        <f>IF(Results!$O119&lt;&gt;"",Results!$O119/SUM($O$7:$O$189),"")</f>
        <v/>
      </c>
      <c r="Q119" s="85" t="str">
        <f>IF(Results!$C119="Energy", VLOOKUP(Results!$D119,'Energy Costs Inputs (Optional)'!$AS$3:$AU$20,2,FALSE)*Results!$L119, "")</f>
        <v/>
      </c>
      <c r="R119" s="84" t="str">
        <f>IF(Results!$Q119&lt;&gt;"",Results!$Q119/SUM($Q$7:$Q$189),"")</f>
        <v/>
      </c>
      <c r="S119" s="85" t="str">
        <f t="shared" si="2"/>
        <v/>
      </c>
      <c r="T119" s="13" t="str">
        <f>IF(Results!$I119&lt;&gt;"",(HLOOKUP(Table13[[#This Row],[Units]],'Emission Inputs (Optional)'!$L$10:$R$27,MATCH(Table13[[#This Row],[Energy Source]],'Emission Inputs (Optional)'!$L$10:$L$27,0),FALSE))*Table13[[#This Row],[Annual Consumption (Baseline)]],"")</f>
        <v/>
      </c>
      <c r="U119" s="13" t="str">
        <f>IF(Results!$T119&lt;&gt;"",Results!$T119,H119)</f>
        <v/>
      </c>
      <c r="V119" s="84" t="str">
        <f>IF(Results!$U119="","",IF(U119&lt;&gt;"",U119,0)/SUM(Results!$U$7:$U$189))</f>
        <v/>
      </c>
      <c r="W119" s="101" t="str">
        <f>IF(Results!$I119&lt;&gt;"",(HLOOKUP(Table13[[#This Row],[Units]],'Emission Inputs (Optional)'!$L$10:$R$27,MATCH(Table13[[#This Row],[Energy Source]],'Emission Inputs (Optional)'!$L$10:$L$27,0),FALSE))*(Table13[[#This Row],[Annual Consumption (Baseline)]]-Table13[[#This Row],[Energy Savings]]),"")</f>
        <v/>
      </c>
      <c r="X119" s="13" t="str">
        <f>IFERROR(VLOOKUP(B119,'Emission Inputs (Optional)'!$G$9:$J$191,4,FALSE),"")</f>
        <v/>
      </c>
      <c r="Y119" s="95" t="str">
        <f>IF(Results!$W119&lt;&gt;"",Results!$W119,IF(X119&lt;&gt;"",(H119-X119),""))</f>
        <v/>
      </c>
      <c r="Z119" s="95" t="str">
        <f t="shared" si="3"/>
        <v/>
      </c>
      <c r="AA119" s="89" t="str">
        <f>IF(Results!$U119="","",IF(U119&lt;&gt;"",U119,0)/SUM(Results!$U$7:$U$189))</f>
        <v/>
      </c>
      <c r="AB119" s="8"/>
      <c r="AC119" s="8"/>
      <c r="AD119" s="8"/>
      <c r="AE119" s="8"/>
      <c r="AF119" s="8"/>
      <c r="AG119" s="8"/>
      <c r="AH119" s="8"/>
      <c r="AI119" s="8"/>
      <c r="AJ119" s="8"/>
      <c r="AK119" s="8"/>
      <c r="AL119" s="8"/>
      <c r="AM119" s="8"/>
      <c r="AN119" s="8"/>
      <c r="AO119" s="8"/>
      <c r="AP119" s="8"/>
      <c r="AQ119" s="8"/>
      <c r="AR119" s="8"/>
      <c r="AS119" s="8"/>
      <c r="AT119" s="8"/>
    </row>
    <row r="120" spans="1:46" x14ac:dyDescent="0.2">
      <c r="A120" s="55" t="str">
        <f>IF(B120&lt;&gt;"",COUNTA($B$7:B120),"")</f>
        <v/>
      </c>
      <c r="B120" s="83"/>
      <c r="C120" s="83"/>
      <c r="D120" s="83" t="str">
        <f>IF(Table13[[#This Row],[Energy Source]]="","",Table13[[#This Row],[Energy Source]])</f>
        <v/>
      </c>
      <c r="E120" s="83" t="str">
        <f>IF(Table13[[#This Row],[Units]]="", "", Table13[[#This Row],[Units]])</f>
        <v/>
      </c>
      <c r="F120" s="83" t="str">
        <f>IF(Table13[[#This Row],[Annual Consumption (Baseline)]]="", "", Table13[[#This Row],[Annual Consumption (Baseline)]])</f>
        <v/>
      </c>
      <c r="G120" s="83" t="str">
        <f>IF(F120="", "", IF(Results!$C120="Energy", VLOOKUP(Results!$E120,'Emission Inputs (Optional)'!$T$10:$U$27,2,FALSE)*Table13[[#This Row],[Energy Savings]], ""))</f>
        <v/>
      </c>
      <c r="H120" s="13" t="str">
        <f>IFERROR(VLOOKUP(B120,'Emission Inputs (Optional)'!$G$9:$I$191,3,FALSE),"")</f>
        <v/>
      </c>
      <c r="I120" s="13" t="str">
        <f>IF(Results!$C120="Energy", VLOOKUP(Results!$E120,'Emission Inputs (Optional)'!$T$10:$U$27,2,FALSE)*Results!$F120, "")</f>
        <v/>
      </c>
      <c r="J120" s="13" t="str">
        <f>IF(Results!$I120&lt;&gt;"",Results!$I120*0.293071,"")</f>
        <v/>
      </c>
      <c r="K120" s="84" t="str">
        <f>IF(Results!$I120&lt;&gt;"",Results!$I120/SUM($I$7:$I$189),"")</f>
        <v/>
      </c>
      <c r="L120" s="13" t="str">
        <f>IF(Results!$F120&lt;&gt;"",I120-G120,"")</f>
        <v/>
      </c>
      <c r="M120" s="13" t="str">
        <f>IF(Results!$L120&lt;&gt;"",Results!$L120*0.293071,"")</f>
        <v/>
      </c>
      <c r="N120" s="84" t="str">
        <f>IF(Results!$M120&lt;&gt;"",Results!$M120/SUM($M$7:$M$189),"")</f>
        <v/>
      </c>
      <c r="O120" s="85" t="str">
        <f>IF(Results!$C120="Energy", VLOOKUP(Results!$D120,'Energy Costs Inputs (Optional)'!$AS$3:$AU$20,2,FALSE)*Results!$I120, "")</f>
        <v/>
      </c>
      <c r="P120" s="84" t="str">
        <f>IF(Results!$O120&lt;&gt;"",Results!$O120/SUM($O$7:$O$189),"")</f>
        <v/>
      </c>
      <c r="Q120" s="85" t="str">
        <f>IF(Results!$C120="Energy", VLOOKUP(Results!$D120,'Energy Costs Inputs (Optional)'!$AS$3:$AU$20,2,FALSE)*Results!$L120, "")</f>
        <v/>
      </c>
      <c r="R120" s="84" t="str">
        <f>IF(Results!$Q120&lt;&gt;"",Results!$Q120/SUM($Q$7:$Q$189),"")</f>
        <v/>
      </c>
      <c r="S120" s="85" t="str">
        <f t="shared" si="2"/>
        <v/>
      </c>
      <c r="T120" s="13" t="str">
        <f>IF(Results!$I120&lt;&gt;"",(HLOOKUP(Table13[[#This Row],[Units]],'Emission Inputs (Optional)'!$L$10:$R$27,MATCH(Table13[[#This Row],[Energy Source]],'Emission Inputs (Optional)'!$L$10:$L$27,0),FALSE))*Table13[[#This Row],[Annual Consumption (Baseline)]],"")</f>
        <v/>
      </c>
      <c r="U120" s="13" t="str">
        <f>IF(Results!$T120&lt;&gt;"",Results!$T120,H120)</f>
        <v/>
      </c>
      <c r="V120" s="84" t="str">
        <f>IF(Results!$U120="","",IF(U120&lt;&gt;"",U120,0)/SUM(Results!$U$7:$U$189))</f>
        <v/>
      </c>
      <c r="W120" s="101" t="str">
        <f>IF(Results!$I120&lt;&gt;"",(HLOOKUP(Table13[[#This Row],[Units]],'Emission Inputs (Optional)'!$L$10:$R$27,MATCH(Table13[[#This Row],[Energy Source]],'Emission Inputs (Optional)'!$L$10:$L$27,0),FALSE))*(Table13[[#This Row],[Annual Consumption (Baseline)]]-Table13[[#This Row],[Energy Savings]]),"")</f>
        <v/>
      </c>
      <c r="X120" s="13" t="str">
        <f>IFERROR(VLOOKUP(B120,'Emission Inputs (Optional)'!$G$9:$J$191,4,FALSE),"")</f>
        <v/>
      </c>
      <c r="Y120" s="95" t="str">
        <f>IF(Results!$W120&lt;&gt;"",Results!$W120,IF(X120&lt;&gt;"",(H120-X120),""))</f>
        <v/>
      </c>
      <c r="Z120" s="95" t="str">
        <f t="shared" si="3"/>
        <v/>
      </c>
      <c r="AA120" s="89" t="str">
        <f>IF(Results!$U120="","",IF(U120&lt;&gt;"",U120,0)/SUM(Results!$U$7:$U$189))</f>
        <v/>
      </c>
      <c r="AB120" s="8"/>
      <c r="AC120" s="8"/>
      <c r="AD120" s="8"/>
      <c r="AE120" s="8"/>
      <c r="AF120" s="8"/>
      <c r="AG120" s="8"/>
      <c r="AH120" s="8"/>
      <c r="AI120" s="8"/>
      <c r="AJ120" s="8"/>
      <c r="AK120" s="8"/>
      <c r="AL120" s="8"/>
      <c r="AM120" s="8"/>
      <c r="AN120" s="8"/>
      <c r="AO120" s="8"/>
      <c r="AP120" s="8"/>
      <c r="AQ120" s="8"/>
      <c r="AR120" s="8"/>
      <c r="AS120" s="8"/>
      <c r="AT120" s="8"/>
    </row>
    <row r="121" spans="1:46" x14ac:dyDescent="0.2">
      <c r="A121" s="55" t="str">
        <f>IF(B121&lt;&gt;"",COUNTA($B$7:B121),"")</f>
        <v/>
      </c>
      <c r="B121" s="83"/>
      <c r="C121" s="83"/>
      <c r="D121" s="83" t="str">
        <f>IF(Table13[[#This Row],[Energy Source]]="","",Table13[[#This Row],[Energy Source]])</f>
        <v/>
      </c>
      <c r="E121" s="83" t="str">
        <f>IF(Table13[[#This Row],[Units]]="", "", Table13[[#This Row],[Units]])</f>
        <v/>
      </c>
      <c r="F121" s="83" t="str">
        <f>IF(Table13[[#This Row],[Annual Consumption (Baseline)]]="", "", Table13[[#This Row],[Annual Consumption (Baseline)]])</f>
        <v/>
      </c>
      <c r="G121" s="83" t="str">
        <f>IF(F121="", "", IF(Results!$C121="Energy", VLOOKUP(Results!$E121,'Emission Inputs (Optional)'!$T$10:$U$27,2,FALSE)*Table13[[#This Row],[Energy Savings]], ""))</f>
        <v/>
      </c>
      <c r="H121" s="13" t="str">
        <f>IFERROR(VLOOKUP(B121,'Emission Inputs (Optional)'!$G$9:$I$191,3,FALSE),"")</f>
        <v/>
      </c>
      <c r="I121" s="13" t="str">
        <f>IF(Results!$C121="Energy", VLOOKUP(Results!$E121,'Emission Inputs (Optional)'!$T$10:$U$27,2,FALSE)*Results!$F121, "")</f>
        <v/>
      </c>
      <c r="J121" s="13" t="str">
        <f>IF(Results!$I121&lt;&gt;"",Results!$I121*0.293071,"")</f>
        <v/>
      </c>
      <c r="K121" s="84" t="str">
        <f>IF(Results!$I121&lt;&gt;"",Results!$I121/SUM($I$7:$I$189),"")</f>
        <v/>
      </c>
      <c r="L121" s="13" t="str">
        <f>IF(Results!$F121&lt;&gt;"",I121-G121,"")</f>
        <v/>
      </c>
      <c r="M121" s="13" t="str">
        <f>IF(Results!$L121&lt;&gt;"",Results!$L121*0.293071,"")</f>
        <v/>
      </c>
      <c r="N121" s="84" t="str">
        <f>IF(Results!$M121&lt;&gt;"",Results!$M121/SUM($M$7:$M$189),"")</f>
        <v/>
      </c>
      <c r="O121" s="85" t="str">
        <f>IF(Results!$C121="Energy", VLOOKUP(Results!$D121,'Energy Costs Inputs (Optional)'!$AS$3:$AU$20,2,FALSE)*Results!$I121, "")</f>
        <v/>
      </c>
      <c r="P121" s="84" t="str">
        <f>IF(Results!$O121&lt;&gt;"",Results!$O121/SUM($O$7:$O$189),"")</f>
        <v/>
      </c>
      <c r="Q121" s="85" t="str">
        <f>IF(Results!$C121="Energy", VLOOKUP(Results!$D121,'Energy Costs Inputs (Optional)'!$AS$3:$AU$20,2,FALSE)*Results!$L121, "")</f>
        <v/>
      </c>
      <c r="R121" s="84" t="str">
        <f>IF(Results!$Q121&lt;&gt;"",Results!$Q121/SUM($Q$7:$Q$189),"")</f>
        <v/>
      </c>
      <c r="S121" s="85" t="str">
        <f t="shared" si="2"/>
        <v/>
      </c>
      <c r="T121" s="13" t="str">
        <f>IF(Results!$I121&lt;&gt;"",(HLOOKUP(Table13[[#This Row],[Units]],'Emission Inputs (Optional)'!$L$10:$R$27,MATCH(Table13[[#This Row],[Energy Source]],'Emission Inputs (Optional)'!$L$10:$L$27,0),FALSE))*Table13[[#This Row],[Annual Consumption (Baseline)]],"")</f>
        <v/>
      </c>
      <c r="U121" s="13" t="str">
        <f>IF(Results!$T121&lt;&gt;"",Results!$T121,H121)</f>
        <v/>
      </c>
      <c r="V121" s="84" t="str">
        <f>IF(Results!$U121="","",IF(U121&lt;&gt;"",U121,0)/SUM(Results!$U$7:$U$189))</f>
        <v/>
      </c>
      <c r="W121" s="101" t="str">
        <f>IF(Results!$I121&lt;&gt;"",(HLOOKUP(Table13[[#This Row],[Units]],'Emission Inputs (Optional)'!$L$10:$R$27,MATCH(Table13[[#This Row],[Energy Source]],'Emission Inputs (Optional)'!$L$10:$L$27,0),FALSE))*(Table13[[#This Row],[Annual Consumption (Baseline)]]-Table13[[#This Row],[Energy Savings]]),"")</f>
        <v/>
      </c>
      <c r="X121" s="13" t="str">
        <f>IFERROR(VLOOKUP(B121,'Emission Inputs (Optional)'!$G$9:$J$191,4,FALSE),"")</f>
        <v/>
      </c>
      <c r="Y121" s="95" t="str">
        <f>IF(Results!$W121&lt;&gt;"",Results!$W121,IF(X121&lt;&gt;"",(H121-X121),""))</f>
        <v/>
      </c>
      <c r="Z121" s="95" t="str">
        <f t="shared" si="3"/>
        <v/>
      </c>
      <c r="AA121" s="89" t="str">
        <f>IF(Results!$U121="","",IF(U121&lt;&gt;"",U121,0)/SUM(Results!$U$7:$U$189))</f>
        <v/>
      </c>
      <c r="AB121" s="8"/>
      <c r="AC121" s="8"/>
      <c r="AD121" s="8"/>
      <c r="AE121" s="8"/>
      <c r="AF121" s="8"/>
      <c r="AG121" s="8"/>
      <c r="AH121" s="8"/>
      <c r="AI121" s="8"/>
      <c r="AJ121" s="8"/>
      <c r="AK121" s="8"/>
      <c r="AL121" s="8"/>
      <c r="AM121" s="8"/>
      <c r="AN121" s="8"/>
      <c r="AO121" s="8"/>
      <c r="AP121" s="8"/>
      <c r="AQ121" s="8"/>
      <c r="AR121" s="8"/>
      <c r="AS121" s="8"/>
      <c r="AT121" s="8"/>
    </row>
    <row r="122" spans="1:46" x14ac:dyDescent="0.2">
      <c r="A122" s="55" t="str">
        <f>IF(B122&lt;&gt;"",COUNTA($B$7:B122),"")</f>
        <v/>
      </c>
      <c r="B122" s="83"/>
      <c r="C122" s="83"/>
      <c r="D122" s="83" t="str">
        <f>IF(Table13[[#This Row],[Energy Source]]="","",Table13[[#This Row],[Energy Source]])</f>
        <v/>
      </c>
      <c r="E122" s="83" t="str">
        <f>IF(Table13[[#This Row],[Units]]="", "", Table13[[#This Row],[Units]])</f>
        <v/>
      </c>
      <c r="F122" s="83" t="str">
        <f>IF(Table13[[#This Row],[Annual Consumption (Baseline)]]="", "", Table13[[#This Row],[Annual Consumption (Baseline)]])</f>
        <v/>
      </c>
      <c r="G122" s="83" t="str">
        <f>IF(F122="", "", IF(Results!$C122="Energy", VLOOKUP(Results!$E122,'Emission Inputs (Optional)'!$T$10:$U$27,2,FALSE)*Table13[[#This Row],[Energy Savings]], ""))</f>
        <v/>
      </c>
      <c r="H122" s="13" t="str">
        <f>IFERROR(VLOOKUP(B122,'Emission Inputs (Optional)'!$G$9:$I$191,3,FALSE),"")</f>
        <v/>
      </c>
      <c r="I122" s="13" t="str">
        <f>IF(Results!$C122="Energy", VLOOKUP(Results!$E122,'Emission Inputs (Optional)'!$T$10:$U$27,2,FALSE)*Results!$F122, "")</f>
        <v/>
      </c>
      <c r="J122" s="13" t="str">
        <f>IF(Results!$I122&lt;&gt;"",Results!$I122*0.293071,"")</f>
        <v/>
      </c>
      <c r="K122" s="84" t="str">
        <f>IF(Results!$I122&lt;&gt;"",Results!$I122/SUM($I$7:$I$189),"")</f>
        <v/>
      </c>
      <c r="L122" s="13" t="str">
        <f>IF(Results!$F122&lt;&gt;"",I122-G122,"")</f>
        <v/>
      </c>
      <c r="M122" s="13" t="str">
        <f>IF(Results!$L122&lt;&gt;"",Results!$L122*0.293071,"")</f>
        <v/>
      </c>
      <c r="N122" s="84" t="str">
        <f>IF(Results!$M122&lt;&gt;"",Results!$M122/SUM($M$7:$M$189),"")</f>
        <v/>
      </c>
      <c r="O122" s="85" t="str">
        <f>IF(Results!$C122="Energy", VLOOKUP(Results!$D122,'Energy Costs Inputs (Optional)'!$AS$3:$AU$20,2,FALSE)*Results!$I122, "")</f>
        <v/>
      </c>
      <c r="P122" s="84" t="str">
        <f>IF(Results!$O122&lt;&gt;"",Results!$O122/SUM($O$7:$O$189),"")</f>
        <v/>
      </c>
      <c r="Q122" s="85" t="str">
        <f>IF(Results!$C122="Energy", VLOOKUP(Results!$D122,'Energy Costs Inputs (Optional)'!$AS$3:$AU$20,2,FALSE)*Results!$L122, "")</f>
        <v/>
      </c>
      <c r="R122" s="84" t="str">
        <f>IF(Results!$Q122&lt;&gt;"",Results!$Q122/SUM($Q$7:$Q$189),"")</f>
        <v/>
      </c>
      <c r="S122" s="85" t="str">
        <f t="shared" si="2"/>
        <v/>
      </c>
      <c r="T122" s="13" t="str">
        <f>IF(Results!$I122&lt;&gt;"",(HLOOKUP(Table13[[#This Row],[Units]],'Emission Inputs (Optional)'!$L$10:$R$27,MATCH(Table13[[#This Row],[Energy Source]],'Emission Inputs (Optional)'!$L$10:$L$27,0),FALSE))*Table13[[#This Row],[Annual Consumption (Baseline)]],"")</f>
        <v/>
      </c>
      <c r="U122" s="13" t="str">
        <f>IF(Results!$T122&lt;&gt;"",Results!$T122,H122)</f>
        <v/>
      </c>
      <c r="V122" s="84" t="str">
        <f>IF(Results!$U122="","",IF(U122&lt;&gt;"",U122,0)/SUM(Results!$U$7:$U$189))</f>
        <v/>
      </c>
      <c r="W122" s="101" t="str">
        <f>IF(Results!$I122&lt;&gt;"",(HLOOKUP(Table13[[#This Row],[Units]],'Emission Inputs (Optional)'!$L$10:$R$27,MATCH(Table13[[#This Row],[Energy Source]],'Emission Inputs (Optional)'!$L$10:$L$27,0),FALSE))*(Table13[[#This Row],[Annual Consumption (Baseline)]]-Table13[[#This Row],[Energy Savings]]),"")</f>
        <v/>
      </c>
      <c r="X122" s="13" t="str">
        <f>IFERROR(VLOOKUP(B122,'Emission Inputs (Optional)'!$G$9:$J$191,4,FALSE),"")</f>
        <v/>
      </c>
      <c r="Y122" s="95" t="str">
        <f>IF(Results!$W122&lt;&gt;"",Results!$W122,IF(X122&lt;&gt;"",(H122-X122),""))</f>
        <v/>
      </c>
      <c r="Z122" s="95" t="str">
        <f t="shared" si="3"/>
        <v/>
      </c>
      <c r="AA122" s="89" t="str">
        <f>IF(Results!$U122="","",IF(U122&lt;&gt;"",U122,0)/SUM(Results!$U$7:$U$189))</f>
        <v/>
      </c>
      <c r="AB122" s="8"/>
      <c r="AC122" s="8"/>
      <c r="AD122" s="8"/>
      <c r="AE122" s="8"/>
      <c r="AF122" s="8"/>
      <c r="AG122" s="8"/>
      <c r="AH122" s="8"/>
      <c r="AI122" s="8"/>
      <c r="AJ122" s="8"/>
      <c r="AK122" s="8"/>
      <c r="AL122" s="8"/>
      <c r="AM122" s="8"/>
      <c r="AN122" s="8"/>
      <c r="AO122" s="8"/>
      <c r="AP122" s="8"/>
      <c r="AQ122" s="8"/>
      <c r="AR122" s="8"/>
      <c r="AS122" s="8"/>
      <c r="AT122" s="8"/>
    </row>
    <row r="123" spans="1:46" x14ac:dyDescent="0.2">
      <c r="A123" s="55" t="str">
        <f>IF(B123&lt;&gt;"",COUNTA($B$7:B123),"")</f>
        <v/>
      </c>
      <c r="B123" s="83"/>
      <c r="C123" s="83"/>
      <c r="D123" s="83" t="str">
        <f>IF(Table13[[#This Row],[Energy Source]]="","",Table13[[#This Row],[Energy Source]])</f>
        <v/>
      </c>
      <c r="E123" s="83" t="str">
        <f>IF(Table13[[#This Row],[Units]]="", "", Table13[[#This Row],[Units]])</f>
        <v/>
      </c>
      <c r="F123" s="83" t="str">
        <f>IF(Table13[[#This Row],[Annual Consumption (Baseline)]]="", "", Table13[[#This Row],[Annual Consumption (Baseline)]])</f>
        <v/>
      </c>
      <c r="G123" s="83" t="str">
        <f>IF(F123="", "", IF(Results!$C123="Energy", VLOOKUP(Results!$E123,'Emission Inputs (Optional)'!$T$10:$U$27,2,FALSE)*Table13[[#This Row],[Energy Savings]], ""))</f>
        <v/>
      </c>
      <c r="H123" s="13" t="str">
        <f>IFERROR(VLOOKUP(B123,'Emission Inputs (Optional)'!$G$9:$I$191,3,FALSE),"")</f>
        <v/>
      </c>
      <c r="I123" s="13" t="str">
        <f>IF(Results!$C123="Energy", VLOOKUP(Results!$E123,'Emission Inputs (Optional)'!$T$10:$U$27,2,FALSE)*Results!$F123, "")</f>
        <v/>
      </c>
      <c r="J123" s="13" t="str">
        <f>IF(Results!$I123&lt;&gt;"",Results!$I123*0.293071,"")</f>
        <v/>
      </c>
      <c r="K123" s="84" t="str">
        <f>IF(Results!$I123&lt;&gt;"",Results!$I123/SUM($I$7:$I$189),"")</f>
        <v/>
      </c>
      <c r="L123" s="13" t="str">
        <f>IF(Results!$F123&lt;&gt;"",I123-G123,"")</f>
        <v/>
      </c>
      <c r="M123" s="13" t="str">
        <f>IF(Results!$L123&lt;&gt;"",Results!$L123*0.293071,"")</f>
        <v/>
      </c>
      <c r="N123" s="84" t="str">
        <f>IF(Results!$M123&lt;&gt;"",Results!$M123/SUM($M$7:$M$189),"")</f>
        <v/>
      </c>
      <c r="O123" s="85" t="str">
        <f>IF(Results!$C123="Energy", VLOOKUP(Results!$D123,'Energy Costs Inputs (Optional)'!$AS$3:$AU$20,2,FALSE)*Results!$I123, "")</f>
        <v/>
      </c>
      <c r="P123" s="84" t="str">
        <f>IF(Results!$O123&lt;&gt;"",Results!$O123/SUM($O$7:$O$189),"")</f>
        <v/>
      </c>
      <c r="Q123" s="85" t="str">
        <f>IF(Results!$C123="Energy", VLOOKUP(Results!$D123,'Energy Costs Inputs (Optional)'!$AS$3:$AU$20,2,FALSE)*Results!$L123, "")</f>
        <v/>
      </c>
      <c r="R123" s="84" t="str">
        <f>IF(Results!$Q123&lt;&gt;"",Results!$Q123/SUM($Q$7:$Q$189),"")</f>
        <v/>
      </c>
      <c r="S123" s="85" t="str">
        <f t="shared" si="2"/>
        <v/>
      </c>
      <c r="T123" s="13" t="str">
        <f>IF(Results!$I123&lt;&gt;"",(HLOOKUP(Table13[[#This Row],[Units]],'Emission Inputs (Optional)'!$L$10:$R$27,MATCH(Table13[[#This Row],[Energy Source]],'Emission Inputs (Optional)'!$L$10:$L$27,0),FALSE))*Table13[[#This Row],[Annual Consumption (Baseline)]],"")</f>
        <v/>
      </c>
      <c r="U123" s="13" t="str">
        <f>IF(Results!$T123&lt;&gt;"",Results!$T123,H123)</f>
        <v/>
      </c>
      <c r="V123" s="84" t="str">
        <f>IF(Results!$U123="","",IF(U123&lt;&gt;"",U123,0)/SUM(Results!$U$7:$U$189))</f>
        <v/>
      </c>
      <c r="W123" s="101" t="str">
        <f>IF(Results!$I123&lt;&gt;"",(HLOOKUP(Table13[[#This Row],[Units]],'Emission Inputs (Optional)'!$L$10:$R$27,MATCH(Table13[[#This Row],[Energy Source]],'Emission Inputs (Optional)'!$L$10:$L$27,0),FALSE))*(Table13[[#This Row],[Annual Consumption (Baseline)]]-Table13[[#This Row],[Energy Savings]]),"")</f>
        <v/>
      </c>
      <c r="X123" s="13" t="str">
        <f>IFERROR(VLOOKUP(B123,'Emission Inputs (Optional)'!$G$9:$J$191,4,FALSE),"")</f>
        <v/>
      </c>
      <c r="Y123" s="95" t="str">
        <f>IF(Results!$W123&lt;&gt;"",Results!$W123,IF(X123&lt;&gt;"",(H123-X123),""))</f>
        <v/>
      </c>
      <c r="Z123" s="95" t="str">
        <f t="shared" si="3"/>
        <v/>
      </c>
      <c r="AA123" s="89" t="str">
        <f>IF(Results!$U123="","",IF(U123&lt;&gt;"",U123,0)/SUM(Results!$U$7:$U$189))</f>
        <v/>
      </c>
      <c r="AB123" s="8"/>
      <c r="AC123" s="8"/>
      <c r="AD123" s="8"/>
      <c r="AE123" s="8"/>
      <c r="AF123" s="8"/>
      <c r="AG123" s="8"/>
      <c r="AH123" s="8"/>
      <c r="AI123" s="8"/>
      <c r="AJ123" s="8"/>
      <c r="AK123" s="8"/>
      <c r="AL123" s="8"/>
      <c r="AM123" s="8"/>
      <c r="AN123" s="8"/>
      <c r="AO123" s="8"/>
      <c r="AP123" s="8"/>
      <c r="AQ123" s="8"/>
      <c r="AR123" s="8"/>
      <c r="AS123" s="8"/>
      <c r="AT123" s="8"/>
    </row>
    <row r="124" spans="1:46" x14ac:dyDescent="0.2">
      <c r="A124" s="55" t="str">
        <f>IF(B124&lt;&gt;"",COUNTA($B$7:B124),"")</f>
        <v/>
      </c>
      <c r="B124" s="83"/>
      <c r="C124" s="83"/>
      <c r="D124" s="83" t="str">
        <f>IF(Table13[[#This Row],[Energy Source]]="","",Table13[[#This Row],[Energy Source]])</f>
        <v/>
      </c>
      <c r="E124" s="83" t="str">
        <f>IF(Table13[[#This Row],[Units]]="", "", Table13[[#This Row],[Units]])</f>
        <v/>
      </c>
      <c r="F124" s="83" t="str">
        <f>IF(Table13[[#This Row],[Annual Consumption (Baseline)]]="", "", Table13[[#This Row],[Annual Consumption (Baseline)]])</f>
        <v/>
      </c>
      <c r="G124" s="83" t="str">
        <f>IF(F124="", "", IF(Results!$C124="Energy", VLOOKUP(Results!$E124,'Emission Inputs (Optional)'!$T$10:$U$27,2,FALSE)*Table13[[#This Row],[Energy Savings]], ""))</f>
        <v/>
      </c>
      <c r="H124" s="13" t="str">
        <f>IFERROR(VLOOKUP(B124,'Emission Inputs (Optional)'!$G$9:$I$191,3,FALSE),"")</f>
        <v/>
      </c>
      <c r="I124" s="13" t="str">
        <f>IF(Results!$C124="Energy", VLOOKUP(Results!$E124,'Emission Inputs (Optional)'!$T$10:$U$27,2,FALSE)*Results!$F124, "")</f>
        <v/>
      </c>
      <c r="J124" s="13" t="str">
        <f>IF(Results!$I124&lt;&gt;"",Results!$I124*0.293071,"")</f>
        <v/>
      </c>
      <c r="K124" s="84" t="str">
        <f>IF(Results!$I124&lt;&gt;"",Results!$I124/SUM($I$7:$I$189),"")</f>
        <v/>
      </c>
      <c r="L124" s="13" t="str">
        <f>IF(Results!$F124&lt;&gt;"",I124-G124,"")</f>
        <v/>
      </c>
      <c r="M124" s="13" t="str">
        <f>IF(Results!$L124&lt;&gt;"",Results!$L124*0.293071,"")</f>
        <v/>
      </c>
      <c r="N124" s="84" t="str">
        <f>IF(Results!$M124&lt;&gt;"",Results!$M124/SUM($M$7:$M$189),"")</f>
        <v/>
      </c>
      <c r="O124" s="85" t="str">
        <f>IF(Results!$C124="Energy", VLOOKUP(Results!$D124,'Energy Costs Inputs (Optional)'!$AS$3:$AU$20,2,FALSE)*Results!$I124, "")</f>
        <v/>
      </c>
      <c r="P124" s="84" t="str">
        <f>IF(Results!$O124&lt;&gt;"",Results!$O124/SUM($O$7:$O$189),"")</f>
        <v/>
      </c>
      <c r="Q124" s="85" t="str">
        <f>IF(Results!$C124="Energy", VLOOKUP(Results!$D124,'Energy Costs Inputs (Optional)'!$AS$3:$AU$20,2,FALSE)*Results!$L124, "")</f>
        <v/>
      </c>
      <c r="R124" s="84" t="str">
        <f>IF(Results!$Q124&lt;&gt;"",Results!$Q124/SUM($Q$7:$Q$189),"")</f>
        <v/>
      </c>
      <c r="S124" s="85" t="str">
        <f t="shared" si="2"/>
        <v/>
      </c>
      <c r="T124" s="13" t="str">
        <f>IF(Results!$I124&lt;&gt;"",(HLOOKUP(Table13[[#This Row],[Units]],'Emission Inputs (Optional)'!$L$10:$R$27,MATCH(Table13[[#This Row],[Energy Source]],'Emission Inputs (Optional)'!$L$10:$L$27,0),FALSE))*Table13[[#This Row],[Annual Consumption (Baseline)]],"")</f>
        <v/>
      </c>
      <c r="U124" s="13" t="str">
        <f>IF(Results!$T124&lt;&gt;"",Results!$T124,H124)</f>
        <v/>
      </c>
      <c r="V124" s="84" t="str">
        <f>IF(Results!$U124="","",IF(U124&lt;&gt;"",U124,0)/SUM(Results!$U$7:$U$189))</f>
        <v/>
      </c>
      <c r="W124" s="101" t="str">
        <f>IF(Results!$I124&lt;&gt;"",(HLOOKUP(Table13[[#This Row],[Units]],'Emission Inputs (Optional)'!$L$10:$R$27,MATCH(Table13[[#This Row],[Energy Source]],'Emission Inputs (Optional)'!$L$10:$L$27,0),FALSE))*(Table13[[#This Row],[Annual Consumption (Baseline)]]-Table13[[#This Row],[Energy Savings]]),"")</f>
        <v/>
      </c>
      <c r="X124" s="13" t="str">
        <f>IFERROR(VLOOKUP(B124,'Emission Inputs (Optional)'!$G$9:$J$191,4,FALSE),"")</f>
        <v/>
      </c>
      <c r="Y124" s="95" t="str">
        <f>IF(Results!$W124&lt;&gt;"",Results!$W124,IF(X124&lt;&gt;"",(H124-X124),""))</f>
        <v/>
      </c>
      <c r="Z124" s="95" t="str">
        <f t="shared" si="3"/>
        <v/>
      </c>
      <c r="AA124" s="89" t="str">
        <f>IF(Results!$U124="","",IF(U124&lt;&gt;"",U124,0)/SUM(Results!$U$7:$U$189))</f>
        <v/>
      </c>
      <c r="AB124" s="8"/>
      <c r="AC124" s="8"/>
      <c r="AD124" s="8"/>
      <c r="AE124" s="8"/>
      <c r="AF124" s="8"/>
      <c r="AG124" s="8"/>
      <c r="AH124" s="8"/>
      <c r="AI124" s="8"/>
      <c r="AJ124" s="8"/>
      <c r="AK124" s="8"/>
      <c r="AL124" s="8"/>
      <c r="AM124" s="8"/>
      <c r="AN124" s="8"/>
      <c r="AO124" s="8"/>
      <c r="AP124" s="8"/>
      <c r="AQ124" s="8"/>
      <c r="AR124" s="8"/>
      <c r="AS124" s="8"/>
      <c r="AT124" s="8"/>
    </row>
    <row r="125" spans="1:46" x14ac:dyDescent="0.2">
      <c r="A125" s="55" t="str">
        <f>IF(B125&lt;&gt;"",COUNTA($B$7:B125),"")</f>
        <v/>
      </c>
      <c r="B125" s="83"/>
      <c r="C125" s="83"/>
      <c r="D125" s="83" t="str">
        <f>IF(Table13[[#This Row],[Energy Source]]="","",Table13[[#This Row],[Energy Source]])</f>
        <v/>
      </c>
      <c r="E125" s="83" t="str">
        <f>IF(Table13[[#This Row],[Units]]="", "", Table13[[#This Row],[Units]])</f>
        <v/>
      </c>
      <c r="F125" s="83" t="str">
        <f>IF(Table13[[#This Row],[Annual Consumption (Baseline)]]="", "", Table13[[#This Row],[Annual Consumption (Baseline)]])</f>
        <v/>
      </c>
      <c r="G125" s="83" t="str">
        <f>IF(F125="", "", IF(Results!$C125="Energy", VLOOKUP(Results!$E125,'Emission Inputs (Optional)'!$T$10:$U$27,2,FALSE)*Table13[[#This Row],[Energy Savings]], ""))</f>
        <v/>
      </c>
      <c r="H125" s="13" t="str">
        <f>IFERROR(VLOOKUP(B125,'Emission Inputs (Optional)'!$G$9:$I$191,3,FALSE),"")</f>
        <v/>
      </c>
      <c r="I125" s="13" t="str">
        <f>IF(Results!$C125="Energy", VLOOKUP(Results!$E125,'Emission Inputs (Optional)'!$T$10:$U$27,2,FALSE)*Results!$F125, "")</f>
        <v/>
      </c>
      <c r="J125" s="13" t="str">
        <f>IF(Results!$I125&lt;&gt;"",Results!$I125*0.293071,"")</f>
        <v/>
      </c>
      <c r="K125" s="84" t="str">
        <f>IF(Results!$I125&lt;&gt;"",Results!$I125/SUM($I$7:$I$189),"")</f>
        <v/>
      </c>
      <c r="L125" s="13" t="str">
        <f>IF(Results!$F125&lt;&gt;"",I125-G125,"")</f>
        <v/>
      </c>
      <c r="M125" s="13" t="str">
        <f>IF(Results!$L125&lt;&gt;"",Results!$L125*0.293071,"")</f>
        <v/>
      </c>
      <c r="N125" s="84" t="str">
        <f>IF(Results!$M125&lt;&gt;"",Results!$M125/SUM($M$7:$M$189),"")</f>
        <v/>
      </c>
      <c r="O125" s="85" t="str">
        <f>IF(Results!$C125="Energy", VLOOKUP(Results!$D125,'Energy Costs Inputs (Optional)'!$AS$3:$AU$20,2,FALSE)*Results!$I125, "")</f>
        <v/>
      </c>
      <c r="P125" s="84" t="str">
        <f>IF(Results!$O125&lt;&gt;"",Results!$O125/SUM($O$7:$O$189),"")</f>
        <v/>
      </c>
      <c r="Q125" s="85" t="str">
        <f>IF(Results!$C125="Energy", VLOOKUP(Results!$D125,'Energy Costs Inputs (Optional)'!$AS$3:$AU$20,2,FALSE)*Results!$L125, "")</f>
        <v/>
      </c>
      <c r="R125" s="84" t="str">
        <f>IF(Results!$Q125&lt;&gt;"",Results!$Q125/SUM($Q$7:$Q$189),"")</f>
        <v/>
      </c>
      <c r="S125" s="85" t="str">
        <f t="shared" si="2"/>
        <v/>
      </c>
      <c r="T125" s="13" t="str">
        <f>IF(Results!$I125&lt;&gt;"",(HLOOKUP(Table13[[#This Row],[Units]],'Emission Inputs (Optional)'!$L$10:$R$27,MATCH(Table13[[#This Row],[Energy Source]],'Emission Inputs (Optional)'!$L$10:$L$27,0),FALSE))*Table13[[#This Row],[Annual Consumption (Baseline)]],"")</f>
        <v/>
      </c>
      <c r="U125" s="13" t="str">
        <f>IF(Results!$T125&lt;&gt;"",Results!$T125,H125)</f>
        <v/>
      </c>
      <c r="V125" s="84" t="str">
        <f>IF(Results!$U125="","",IF(U125&lt;&gt;"",U125,0)/SUM(Results!$U$7:$U$189))</f>
        <v/>
      </c>
      <c r="W125" s="101" t="str">
        <f>IF(Results!$I125&lt;&gt;"",(HLOOKUP(Table13[[#This Row],[Units]],'Emission Inputs (Optional)'!$L$10:$R$27,MATCH(Table13[[#This Row],[Energy Source]],'Emission Inputs (Optional)'!$L$10:$L$27,0),FALSE))*(Table13[[#This Row],[Annual Consumption (Baseline)]]-Table13[[#This Row],[Energy Savings]]),"")</f>
        <v/>
      </c>
      <c r="X125" s="13" t="str">
        <f>IFERROR(VLOOKUP(B125,'Emission Inputs (Optional)'!$G$9:$J$191,4,FALSE),"")</f>
        <v/>
      </c>
      <c r="Y125" s="95" t="str">
        <f>IF(Results!$W125&lt;&gt;"",Results!$W125,IF(X125&lt;&gt;"",(H125-X125),""))</f>
        <v/>
      </c>
      <c r="Z125" s="95" t="str">
        <f t="shared" si="3"/>
        <v/>
      </c>
      <c r="AA125" s="89" t="str">
        <f>IF(Results!$U125="","",IF(U125&lt;&gt;"",U125,0)/SUM(Results!$U$7:$U$189))</f>
        <v/>
      </c>
      <c r="AB125" s="8"/>
      <c r="AC125" s="8"/>
      <c r="AD125" s="8"/>
      <c r="AE125" s="8"/>
      <c r="AF125" s="8"/>
      <c r="AG125" s="8"/>
      <c r="AH125" s="8"/>
      <c r="AI125" s="8"/>
      <c r="AJ125" s="8"/>
      <c r="AK125" s="8"/>
      <c r="AL125" s="8"/>
      <c r="AM125" s="8"/>
      <c r="AN125" s="8"/>
      <c r="AO125" s="8"/>
      <c r="AP125" s="8"/>
      <c r="AQ125" s="8"/>
      <c r="AR125" s="8"/>
      <c r="AS125" s="8"/>
      <c r="AT125" s="8"/>
    </row>
    <row r="126" spans="1:46" x14ac:dyDescent="0.2">
      <c r="A126" s="55" t="str">
        <f>IF(B126&lt;&gt;"",COUNTA($B$7:B126),"")</f>
        <v/>
      </c>
      <c r="B126" s="83"/>
      <c r="C126" s="83"/>
      <c r="D126" s="83" t="str">
        <f>IF(Table13[[#This Row],[Energy Source]]="","",Table13[[#This Row],[Energy Source]])</f>
        <v/>
      </c>
      <c r="E126" s="83" t="str">
        <f>IF(Table13[[#This Row],[Units]]="", "", Table13[[#This Row],[Units]])</f>
        <v/>
      </c>
      <c r="F126" s="83" t="str">
        <f>IF(Table13[[#This Row],[Annual Consumption (Baseline)]]="", "", Table13[[#This Row],[Annual Consumption (Baseline)]])</f>
        <v/>
      </c>
      <c r="G126" s="83" t="str">
        <f>IF(F126="", "", IF(Results!$C126="Energy", VLOOKUP(Results!$E126,'Emission Inputs (Optional)'!$T$10:$U$27,2,FALSE)*Table13[[#This Row],[Energy Savings]], ""))</f>
        <v/>
      </c>
      <c r="H126" s="13" t="str">
        <f>IFERROR(VLOOKUP(B126,'Emission Inputs (Optional)'!$G$9:$I$191,3,FALSE),"")</f>
        <v/>
      </c>
      <c r="I126" s="13" t="str">
        <f>IF(Results!$C126="Energy", VLOOKUP(Results!$E126,'Emission Inputs (Optional)'!$T$10:$U$27,2,FALSE)*Results!$F126, "")</f>
        <v/>
      </c>
      <c r="J126" s="13" t="str">
        <f>IF(Results!$I126&lt;&gt;"",Results!$I126*0.293071,"")</f>
        <v/>
      </c>
      <c r="K126" s="84" t="str">
        <f>IF(Results!$I126&lt;&gt;"",Results!$I126/SUM($I$7:$I$189),"")</f>
        <v/>
      </c>
      <c r="L126" s="13" t="str">
        <f>IF(Results!$F126&lt;&gt;"",I126-G126,"")</f>
        <v/>
      </c>
      <c r="M126" s="13" t="str">
        <f>IF(Results!$L126&lt;&gt;"",Results!$L126*0.293071,"")</f>
        <v/>
      </c>
      <c r="N126" s="84" t="str">
        <f>IF(Results!$M126&lt;&gt;"",Results!$M126/SUM($M$7:$M$189),"")</f>
        <v/>
      </c>
      <c r="O126" s="85" t="str">
        <f>IF(Results!$C126="Energy", VLOOKUP(Results!$D126,'Energy Costs Inputs (Optional)'!$AS$3:$AU$20,2,FALSE)*Results!$I126, "")</f>
        <v/>
      </c>
      <c r="P126" s="84" t="str">
        <f>IF(Results!$O126&lt;&gt;"",Results!$O126/SUM($O$7:$O$189),"")</f>
        <v/>
      </c>
      <c r="Q126" s="85" t="str">
        <f>IF(Results!$C126="Energy", VLOOKUP(Results!$D126,'Energy Costs Inputs (Optional)'!$AS$3:$AU$20,2,FALSE)*Results!$L126, "")</f>
        <v/>
      </c>
      <c r="R126" s="84" t="str">
        <f>IF(Results!$Q126&lt;&gt;"",Results!$Q126/SUM($Q$7:$Q$189),"")</f>
        <v/>
      </c>
      <c r="S126" s="85" t="str">
        <f t="shared" si="2"/>
        <v/>
      </c>
      <c r="T126" s="13" t="str">
        <f>IF(Results!$I126&lt;&gt;"",(HLOOKUP(Table13[[#This Row],[Units]],'Emission Inputs (Optional)'!$L$10:$R$27,MATCH(Table13[[#This Row],[Energy Source]],'Emission Inputs (Optional)'!$L$10:$L$27,0),FALSE))*Table13[[#This Row],[Annual Consumption (Baseline)]],"")</f>
        <v/>
      </c>
      <c r="U126" s="13" t="str">
        <f>IF(Results!$T126&lt;&gt;"",Results!$T126,H126)</f>
        <v/>
      </c>
      <c r="V126" s="84" t="str">
        <f>IF(Results!$U126="","",IF(U126&lt;&gt;"",U126,0)/SUM(Results!$U$7:$U$189))</f>
        <v/>
      </c>
      <c r="W126" s="101" t="str">
        <f>IF(Results!$I126&lt;&gt;"",(HLOOKUP(Table13[[#This Row],[Units]],'Emission Inputs (Optional)'!$L$10:$R$27,MATCH(Table13[[#This Row],[Energy Source]],'Emission Inputs (Optional)'!$L$10:$L$27,0),FALSE))*(Table13[[#This Row],[Annual Consumption (Baseline)]]-Table13[[#This Row],[Energy Savings]]),"")</f>
        <v/>
      </c>
      <c r="X126" s="13" t="str">
        <f>IFERROR(VLOOKUP(B126,'Emission Inputs (Optional)'!$G$9:$J$191,4,FALSE),"")</f>
        <v/>
      </c>
      <c r="Y126" s="95" t="str">
        <f>IF(Results!$W126&lt;&gt;"",Results!$W126,IF(X126&lt;&gt;"",(H126-X126),""))</f>
        <v/>
      </c>
      <c r="Z126" s="95" t="str">
        <f t="shared" si="3"/>
        <v/>
      </c>
      <c r="AA126" s="89" t="str">
        <f>IF(Results!$U126="","",IF(U126&lt;&gt;"",U126,0)/SUM(Results!$U$7:$U$189))</f>
        <v/>
      </c>
      <c r="AB126" s="8"/>
      <c r="AC126" s="8"/>
      <c r="AD126" s="8"/>
      <c r="AE126" s="8"/>
      <c r="AF126" s="8"/>
      <c r="AG126" s="8"/>
      <c r="AH126" s="8"/>
      <c r="AI126" s="8"/>
      <c r="AJ126" s="8"/>
      <c r="AK126" s="8"/>
      <c r="AL126" s="8"/>
      <c r="AM126" s="8"/>
      <c r="AN126" s="8"/>
      <c r="AO126" s="8"/>
      <c r="AP126" s="8"/>
      <c r="AQ126" s="8"/>
      <c r="AR126" s="8"/>
      <c r="AS126" s="8"/>
      <c r="AT126" s="8"/>
    </row>
    <row r="127" spans="1:46" x14ac:dyDescent="0.2">
      <c r="A127" s="55" t="str">
        <f>IF(B127&lt;&gt;"",COUNTA($B$7:B127),"")</f>
        <v/>
      </c>
      <c r="B127" s="83"/>
      <c r="C127" s="83"/>
      <c r="D127" s="83" t="str">
        <f>IF(Table13[[#This Row],[Energy Source]]="","",Table13[[#This Row],[Energy Source]])</f>
        <v/>
      </c>
      <c r="E127" s="83" t="str">
        <f>IF(Table13[[#This Row],[Units]]="", "", Table13[[#This Row],[Units]])</f>
        <v/>
      </c>
      <c r="F127" s="83" t="str">
        <f>IF(Table13[[#This Row],[Annual Consumption (Baseline)]]="", "", Table13[[#This Row],[Annual Consumption (Baseline)]])</f>
        <v/>
      </c>
      <c r="G127" s="83" t="str">
        <f>IF(F127="", "", IF(Results!$C127="Energy", VLOOKUP(Results!$E127,'Emission Inputs (Optional)'!$T$10:$U$27,2,FALSE)*Table13[[#This Row],[Energy Savings]], ""))</f>
        <v/>
      </c>
      <c r="H127" s="13" t="str">
        <f>IFERROR(VLOOKUP(B127,'Emission Inputs (Optional)'!$G$9:$I$191,3,FALSE),"")</f>
        <v/>
      </c>
      <c r="I127" s="13" t="str">
        <f>IF(Results!$C127="Energy", VLOOKUP(Results!$E127,'Emission Inputs (Optional)'!$T$10:$U$27,2,FALSE)*Results!$F127, "")</f>
        <v/>
      </c>
      <c r="J127" s="13" t="str">
        <f>IF(Results!$I127&lt;&gt;"",Results!$I127*0.293071,"")</f>
        <v/>
      </c>
      <c r="K127" s="84" t="str">
        <f>IF(Results!$I127&lt;&gt;"",Results!$I127/SUM($I$7:$I$189),"")</f>
        <v/>
      </c>
      <c r="L127" s="13" t="str">
        <f>IF(Results!$F127&lt;&gt;"",I127-G127,"")</f>
        <v/>
      </c>
      <c r="M127" s="13" t="str">
        <f>IF(Results!$L127&lt;&gt;"",Results!$L127*0.293071,"")</f>
        <v/>
      </c>
      <c r="N127" s="84" t="str">
        <f>IF(Results!$M127&lt;&gt;"",Results!$M127/SUM($M$7:$M$189),"")</f>
        <v/>
      </c>
      <c r="O127" s="85" t="str">
        <f>IF(Results!$C127="Energy", VLOOKUP(Results!$D127,'Energy Costs Inputs (Optional)'!$AS$3:$AU$20,2,FALSE)*Results!$I127, "")</f>
        <v/>
      </c>
      <c r="P127" s="84" t="str">
        <f>IF(Results!$O127&lt;&gt;"",Results!$O127/SUM($O$7:$O$189),"")</f>
        <v/>
      </c>
      <c r="Q127" s="85" t="str">
        <f>IF(Results!$C127="Energy", VLOOKUP(Results!$D127,'Energy Costs Inputs (Optional)'!$AS$3:$AU$20,2,FALSE)*Results!$L127, "")</f>
        <v/>
      </c>
      <c r="R127" s="84" t="str">
        <f>IF(Results!$Q127&lt;&gt;"",Results!$Q127/SUM($Q$7:$Q$189),"")</f>
        <v/>
      </c>
      <c r="S127" s="85" t="str">
        <f t="shared" si="2"/>
        <v/>
      </c>
      <c r="T127" s="13" t="str">
        <f>IF(Results!$I127&lt;&gt;"",(HLOOKUP(Table13[[#This Row],[Units]],'Emission Inputs (Optional)'!$L$10:$R$27,MATCH(Table13[[#This Row],[Energy Source]],'Emission Inputs (Optional)'!$L$10:$L$27,0),FALSE))*Table13[[#This Row],[Annual Consumption (Baseline)]],"")</f>
        <v/>
      </c>
      <c r="U127" s="13" t="str">
        <f>IF(Results!$T127&lt;&gt;"",Results!$T127,H127)</f>
        <v/>
      </c>
      <c r="V127" s="84" t="str">
        <f>IF(Results!$U127="","",IF(U127&lt;&gt;"",U127,0)/SUM(Results!$U$7:$U$189))</f>
        <v/>
      </c>
      <c r="W127" s="101" t="str">
        <f>IF(Results!$I127&lt;&gt;"",(HLOOKUP(Table13[[#This Row],[Units]],'Emission Inputs (Optional)'!$L$10:$R$27,MATCH(Table13[[#This Row],[Energy Source]],'Emission Inputs (Optional)'!$L$10:$L$27,0),FALSE))*(Table13[[#This Row],[Annual Consumption (Baseline)]]-Table13[[#This Row],[Energy Savings]]),"")</f>
        <v/>
      </c>
      <c r="X127" s="13" t="str">
        <f>IFERROR(VLOOKUP(B127,'Emission Inputs (Optional)'!$G$9:$J$191,4,FALSE),"")</f>
        <v/>
      </c>
      <c r="Y127" s="95" t="str">
        <f>IF(Results!$W127&lt;&gt;"",Results!$W127,IF(X127&lt;&gt;"",(H127-X127),""))</f>
        <v/>
      </c>
      <c r="Z127" s="95" t="str">
        <f t="shared" si="3"/>
        <v/>
      </c>
      <c r="AA127" s="89" t="str">
        <f>IF(Results!$U127="","",IF(U127&lt;&gt;"",U127,0)/SUM(Results!$U$7:$U$189))</f>
        <v/>
      </c>
      <c r="AB127" s="8"/>
      <c r="AC127" s="8"/>
      <c r="AD127" s="8"/>
      <c r="AE127" s="8"/>
      <c r="AF127" s="8"/>
      <c r="AG127" s="8"/>
      <c r="AH127" s="8"/>
      <c r="AI127" s="8"/>
      <c r="AJ127" s="8"/>
      <c r="AK127" s="8"/>
      <c r="AL127" s="8"/>
      <c r="AM127" s="8"/>
      <c r="AN127" s="8"/>
      <c r="AO127" s="8"/>
      <c r="AP127" s="8"/>
      <c r="AQ127" s="8"/>
      <c r="AR127" s="8"/>
      <c r="AS127" s="8"/>
      <c r="AT127" s="8"/>
    </row>
    <row r="128" spans="1:46" x14ac:dyDescent="0.2">
      <c r="A128" s="55" t="str">
        <f>IF(B128&lt;&gt;"",COUNTA($B$7:B128),"")</f>
        <v/>
      </c>
      <c r="B128" s="83"/>
      <c r="C128" s="83"/>
      <c r="D128" s="83" t="str">
        <f>IF(Table13[[#This Row],[Energy Source]]="","",Table13[[#This Row],[Energy Source]])</f>
        <v/>
      </c>
      <c r="E128" s="83" t="str">
        <f>IF(Table13[[#This Row],[Units]]="", "", Table13[[#This Row],[Units]])</f>
        <v/>
      </c>
      <c r="F128" s="83" t="str">
        <f>IF(Table13[[#This Row],[Annual Consumption (Baseline)]]="", "", Table13[[#This Row],[Annual Consumption (Baseline)]])</f>
        <v/>
      </c>
      <c r="G128" s="83" t="str">
        <f>IF(F128="", "", IF(Results!$C128="Energy", VLOOKUP(Results!$E128,'Emission Inputs (Optional)'!$T$10:$U$27,2,FALSE)*Table13[[#This Row],[Energy Savings]], ""))</f>
        <v/>
      </c>
      <c r="H128" s="13" t="str">
        <f>IFERROR(VLOOKUP(B128,'Emission Inputs (Optional)'!$G$9:$I$191,3,FALSE),"")</f>
        <v/>
      </c>
      <c r="I128" s="13" t="str">
        <f>IF(Results!$C128="Energy", VLOOKUP(Results!$E128,'Emission Inputs (Optional)'!$T$10:$U$27,2,FALSE)*Results!$F128, "")</f>
        <v/>
      </c>
      <c r="J128" s="13" t="str">
        <f>IF(Results!$I128&lt;&gt;"",Results!$I128*0.293071,"")</f>
        <v/>
      </c>
      <c r="K128" s="84" t="str">
        <f>IF(Results!$I128&lt;&gt;"",Results!$I128/SUM($I$7:$I$189),"")</f>
        <v/>
      </c>
      <c r="L128" s="13" t="str">
        <f>IF(Results!$F128&lt;&gt;"",I128-G128,"")</f>
        <v/>
      </c>
      <c r="M128" s="13" t="str">
        <f>IF(Results!$L128&lt;&gt;"",Results!$L128*0.293071,"")</f>
        <v/>
      </c>
      <c r="N128" s="84" t="str">
        <f>IF(Results!$M128&lt;&gt;"",Results!$M128/SUM($M$7:$M$189),"")</f>
        <v/>
      </c>
      <c r="O128" s="85" t="str">
        <f>IF(Results!$C128="Energy", VLOOKUP(Results!$D128,'Energy Costs Inputs (Optional)'!$AS$3:$AU$20,2,FALSE)*Results!$I128, "")</f>
        <v/>
      </c>
      <c r="P128" s="84" t="str">
        <f>IF(Results!$O128&lt;&gt;"",Results!$O128/SUM($O$7:$O$189),"")</f>
        <v/>
      </c>
      <c r="Q128" s="85" t="str">
        <f>IF(Results!$C128="Energy", VLOOKUP(Results!$D128,'Energy Costs Inputs (Optional)'!$AS$3:$AU$20,2,FALSE)*Results!$L128, "")</f>
        <v/>
      </c>
      <c r="R128" s="84" t="str">
        <f>IF(Results!$Q128&lt;&gt;"",Results!$Q128/SUM($Q$7:$Q$189),"")</f>
        <v/>
      </c>
      <c r="S128" s="85" t="str">
        <f t="shared" si="2"/>
        <v/>
      </c>
      <c r="T128" s="13" t="str">
        <f>IF(Results!$I128&lt;&gt;"",(HLOOKUP(Table13[[#This Row],[Units]],'Emission Inputs (Optional)'!$L$10:$R$27,MATCH(Table13[[#This Row],[Energy Source]],'Emission Inputs (Optional)'!$L$10:$L$27,0),FALSE))*Table13[[#This Row],[Annual Consumption (Baseline)]],"")</f>
        <v/>
      </c>
      <c r="U128" s="13" t="str">
        <f>IF(Results!$T128&lt;&gt;"",Results!$T128,H128)</f>
        <v/>
      </c>
      <c r="V128" s="84" t="str">
        <f>IF(Results!$U128="","",IF(U128&lt;&gt;"",U128,0)/SUM(Results!$U$7:$U$189))</f>
        <v/>
      </c>
      <c r="W128" s="101" t="str">
        <f>IF(Results!$I128&lt;&gt;"",(HLOOKUP(Table13[[#This Row],[Units]],'Emission Inputs (Optional)'!$L$10:$R$27,MATCH(Table13[[#This Row],[Energy Source]],'Emission Inputs (Optional)'!$L$10:$L$27,0),FALSE))*(Table13[[#This Row],[Annual Consumption (Baseline)]]-Table13[[#This Row],[Energy Savings]]),"")</f>
        <v/>
      </c>
      <c r="X128" s="13" t="str">
        <f>IFERROR(VLOOKUP(B128,'Emission Inputs (Optional)'!$G$9:$J$191,4,FALSE),"")</f>
        <v/>
      </c>
      <c r="Y128" s="95" t="str">
        <f>IF(Results!$W128&lt;&gt;"",Results!$W128,IF(X128&lt;&gt;"",(H128-X128),""))</f>
        <v/>
      </c>
      <c r="Z128" s="95" t="str">
        <f t="shared" si="3"/>
        <v/>
      </c>
      <c r="AA128" s="89" t="str">
        <f>IF(Results!$U128="","",IF(U128&lt;&gt;"",U128,0)/SUM(Results!$U$7:$U$189))</f>
        <v/>
      </c>
      <c r="AB128" s="8"/>
      <c r="AC128" s="8"/>
      <c r="AD128" s="8"/>
      <c r="AE128" s="8"/>
      <c r="AF128" s="8"/>
      <c r="AG128" s="8"/>
      <c r="AH128" s="8"/>
      <c r="AI128" s="8"/>
      <c r="AJ128" s="8"/>
      <c r="AK128" s="8"/>
      <c r="AL128" s="8"/>
      <c r="AM128" s="8"/>
      <c r="AN128" s="8"/>
      <c r="AO128" s="8"/>
      <c r="AP128" s="8"/>
      <c r="AQ128" s="8"/>
      <c r="AR128" s="8"/>
      <c r="AS128" s="8"/>
      <c r="AT128" s="8"/>
    </row>
    <row r="129" spans="1:46" x14ac:dyDescent="0.2">
      <c r="A129" s="55" t="str">
        <f>IF(B129&lt;&gt;"",COUNTA($B$7:B129),"")</f>
        <v/>
      </c>
      <c r="B129" s="83"/>
      <c r="C129" s="83"/>
      <c r="D129" s="83" t="str">
        <f>IF(Table13[[#This Row],[Energy Source]]="","",Table13[[#This Row],[Energy Source]])</f>
        <v/>
      </c>
      <c r="E129" s="83" t="str">
        <f>IF(Table13[[#This Row],[Units]]="", "", Table13[[#This Row],[Units]])</f>
        <v/>
      </c>
      <c r="F129" s="83" t="str">
        <f>IF(Table13[[#This Row],[Annual Consumption (Baseline)]]="", "", Table13[[#This Row],[Annual Consumption (Baseline)]])</f>
        <v/>
      </c>
      <c r="G129" s="83" t="str">
        <f>IF(F129="", "", IF(Results!$C129="Energy", VLOOKUP(Results!$E129,'Emission Inputs (Optional)'!$T$10:$U$27,2,FALSE)*Table13[[#This Row],[Energy Savings]], ""))</f>
        <v/>
      </c>
      <c r="H129" s="13" t="str">
        <f>IFERROR(VLOOKUP(B129,'Emission Inputs (Optional)'!$G$9:$I$191,3,FALSE),"")</f>
        <v/>
      </c>
      <c r="I129" s="13" t="str">
        <f>IF(Results!$C129="Energy", VLOOKUP(Results!$E129,'Emission Inputs (Optional)'!$T$10:$U$27,2,FALSE)*Results!$F129, "")</f>
        <v/>
      </c>
      <c r="J129" s="13" t="str">
        <f>IF(Results!$I129&lt;&gt;"",Results!$I129*0.293071,"")</f>
        <v/>
      </c>
      <c r="K129" s="84" t="str">
        <f>IF(Results!$I129&lt;&gt;"",Results!$I129/SUM($I$7:$I$189),"")</f>
        <v/>
      </c>
      <c r="L129" s="13" t="str">
        <f>IF(Results!$F129&lt;&gt;"",I129-G129,"")</f>
        <v/>
      </c>
      <c r="M129" s="13" t="str">
        <f>IF(Results!$L129&lt;&gt;"",Results!$L129*0.293071,"")</f>
        <v/>
      </c>
      <c r="N129" s="84" t="str">
        <f>IF(Results!$M129&lt;&gt;"",Results!$M129/SUM($M$7:$M$189),"")</f>
        <v/>
      </c>
      <c r="O129" s="85" t="str">
        <f>IF(Results!$C129="Energy", VLOOKUP(Results!$D129,'Energy Costs Inputs (Optional)'!$AS$3:$AU$20,2,FALSE)*Results!$I129, "")</f>
        <v/>
      </c>
      <c r="P129" s="84" t="str">
        <f>IF(Results!$O129&lt;&gt;"",Results!$O129/SUM($O$7:$O$189),"")</f>
        <v/>
      </c>
      <c r="Q129" s="85" t="str">
        <f>IF(Results!$C129="Energy", VLOOKUP(Results!$D129,'Energy Costs Inputs (Optional)'!$AS$3:$AU$20,2,FALSE)*Results!$L129, "")</f>
        <v/>
      </c>
      <c r="R129" s="84" t="str">
        <f>IF(Results!$Q129&lt;&gt;"",Results!$Q129/SUM($Q$7:$Q$189),"")</f>
        <v/>
      </c>
      <c r="S129" s="85" t="str">
        <f t="shared" si="2"/>
        <v/>
      </c>
      <c r="T129" s="13" t="str">
        <f>IF(Results!$I129&lt;&gt;"",(HLOOKUP(Table13[[#This Row],[Units]],'Emission Inputs (Optional)'!$L$10:$R$27,MATCH(Table13[[#This Row],[Energy Source]],'Emission Inputs (Optional)'!$L$10:$L$27,0),FALSE))*Table13[[#This Row],[Annual Consumption (Baseline)]],"")</f>
        <v/>
      </c>
      <c r="U129" s="13" t="str">
        <f>IF(Results!$T129&lt;&gt;"",Results!$T129,H129)</f>
        <v/>
      </c>
      <c r="V129" s="84" t="str">
        <f>IF(Results!$U129="","",IF(U129&lt;&gt;"",U129,0)/SUM(Results!$U$7:$U$189))</f>
        <v/>
      </c>
      <c r="W129" s="101" t="str">
        <f>IF(Results!$I129&lt;&gt;"",(HLOOKUP(Table13[[#This Row],[Units]],'Emission Inputs (Optional)'!$L$10:$R$27,MATCH(Table13[[#This Row],[Energy Source]],'Emission Inputs (Optional)'!$L$10:$L$27,0),FALSE))*(Table13[[#This Row],[Annual Consumption (Baseline)]]-Table13[[#This Row],[Energy Savings]]),"")</f>
        <v/>
      </c>
      <c r="X129" s="13" t="str">
        <f>IFERROR(VLOOKUP(B129,'Emission Inputs (Optional)'!$G$9:$J$191,4,FALSE),"")</f>
        <v/>
      </c>
      <c r="Y129" s="95" t="str">
        <f>IF(Results!$W129&lt;&gt;"",Results!$W129,IF(X129&lt;&gt;"",(H129-X129),""))</f>
        <v/>
      </c>
      <c r="Z129" s="95" t="str">
        <f t="shared" si="3"/>
        <v/>
      </c>
      <c r="AA129" s="89" t="str">
        <f>IF(Results!$U129="","",IF(U129&lt;&gt;"",U129,0)/SUM(Results!$U$7:$U$189))</f>
        <v/>
      </c>
      <c r="AB129" s="8"/>
      <c r="AC129" s="8"/>
      <c r="AD129" s="8"/>
      <c r="AE129" s="8"/>
      <c r="AF129" s="8"/>
      <c r="AG129" s="8"/>
      <c r="AH129" s="8"/>
      <c r="AI129" s="8"/>
      <c r="AJ129" s="8"/>
      <c r="AK129" s="8"/>
      <c r="AL129" s="8"/>
      <c r="AM129" s="8"/>
      <c r="AN129" s="8"/>
      <c r="AO129" s="8"/>
      <c r="AP129" s="8"/>
      <c r="AQ129" s="8"/>
      <c r="AR129" s="8"/>
      <c r="AS129" s="8"/>
      <c r="AT129" s="8"/>
    </row>
    <row r="130" spans="1:46" x14ac:dyDescent="0.2">
      <c r="A130" s="55" t="str">
        <f>IF(B130&lt;&gt;"",COUNTA($B$7:B130),"")</f>
        <v/>
      </c>
      <c r="B130" s="83"/>
      <c r="C130" s="83"/>
      <c r="D130" s="83" t="str">
        <f>IF(Table13[[#This Row],[Energy Source]]="","",Table13[[#This Row],[Energy Source]])</f>
        <v/>
      </c>
      <c r="E130" s="83" t="str">
        <f>IF(Table13[[#This Row],[Units]]="", "", Table13[[#This Row],[Units]])</f>
        <v/>
      </c>
      <c r="F130" s="83" t="str">
        <f>IF(Table13[[#This Row],[Annual Consumption (Baseline)]]="", "", Table13[[#This Row],[Annual Consumption (Baseline)]])</f>
        <v/>
      </c>
      <c r="G130" s="83" t="str">
        <f>IF(F130="", "", IF(Results!$C130="Energy", VLOOKUP(Results!$E130,'Emission Inputs (Optional)'!$T$10:$U$27,2,FALSE)*Table13[[#This Row],[Energy Savings]], ""))</f>
        <v/>
      </c>
      <c r="H130" s="13" t="str">
        <f>IFERROR(VLOOKUP(B130,'Emission Inputs (Optional)'!$G$9:$I$191,3,FALSE),"")</f>
        <v/>
      </c>
      <c r="I130" s="13" t="str">
        <f>IF(Results!$C130="Energy", VLOOKUP(Results!$E130,'Emission Inputs (Optional)'!$T$10:$U$27,2,FALSE)*Results!$F130, "")</f>
        <v/>
      </c>
      <c r="J130" s="13" t="str">
        <f>IF(Results!$I130&lt;&gt;"",Results!$I130*0.293071,"")</f>
        <v/>
      </c>
      <c r="K130" s="84" t="str">
        <f>IF(Results!$I130&lt;&gt;"",Results!$I130/SUM($I$7:$I$189),"")</f>
        <v/>
      </c>
      <c r="L130" s="13" t="str">
        <f>IF(Results!$F130&lt;&gt;"",I130-G130,"")</f>
        <v/>
      </c>
      <c r="M130" s="13" t="str">
        <f>IF(Results!$L130&lt;&gt;"",Results!$L130*0.293071,"")</f>
        <v/>
      </c>
      <c r="N130" s="84" t="str">
        <f>IF(Results!$M130&lt;&gt;"",Results!$M130/SUM($M$7:$M$189),"")</f>
        <v/>
      </c>
      <c r="O130" s="85" t="str">
        <f>IF(Results!$C130="Energy", VLOOKUP(Results!$D130,'Energy Costs Inputs (Optional)'!$AS$3:$AU$20,2,FALSE)*Results!$I130, "")</f>
        <v/>
      </c>
      <c r="P130" s="84" t="str">
        <f>IF(Results!$O130&lt;&gt;"",Results!$O130/SUM($O$7:$O$189),"")</f>
        <v/>
      </c>
      <c r="Q130" s="85" t="str">
        <f>IF(Results!$C130="Energy", VLOOKUP(Results!$D130,'Energy Costs Inputs (Optional)'!$AS$3:$AU$20,2,FALSE)*Results!$L130, "")</f>
        <v/>
      </c>
      <c r="R130" s="84" t="str">
        <f>IF(Results!$Q130&lt;&gt;"",Results!$Q130/SUM($Q$7:$Q$189),"")</f>
        <v/>
      </c>
      <c r="S130" s="85" t="str">
        <f t="shared" si="2"/>
        <v/>
      </c>
      <c r="T130" s="13" t="str">
        <f>IF(Results!$I130&lt;&gt;"",(HLOOKUP(Table13[[#This Row],[Units]],'Emission Inputs (Optional)'!$L$10:$R$27,MATCH(Table13[[#This Row],[Energy Source]],'Emission Inputs (Optional)'!$L$10:$L$27,0),FALSE))*Table13[[#This Row],[Annual Consumption (Baseline)]],"")</f>
        <v/>
      </c>
      <c r="U130" s="13" t="str">
        <f>IF(Results!$T130&lt;&gt;"",Results!$T130,H130)</f>
        <v/>
      </c>
      <c r="V130" s="84" t="str">
        <f>IF(Results!$U130="","",IF(U130&lt;&gt;"",U130,0)/SUM(Results!$U$7:$U$189))</f>
        <v/>
      </c>
      <c r="W130" s="101" t="str">
        <f>IF(Results!$I130&lt;&gt;"",(HLOOKUP(Table13[[#This Row],[Units]],'Emission Inputs (Optional)'!$L$10:$R$27,MATCH(Table13[[#This Row],[Energy Source]],'Emission Inputs (Optional)'!$L$10:$L$27,0),FALSE))*(Table13[[#This Row],[Annual Consumption (Baseline)]]-Table13[[#This Row],[Energy Savings]]),"")</f>
        <v/>
      </c>
      <c r="X130" s="13" t="str">
        <f>IFERROR(VLOOKUP(B130,'Emission Inputs (Optional)'!$G$9:$J$191,4,FALSE),"")</f>
        <v/>
      </c>
      <c r="Y130" s="95" t="str">
        <f>IF(Results!$W130&lt;&gt;"",Results!$W130,IF(X130&lt;&gt;"",(H130-X130),""))</f>
        <v/>
      </c>
      <c r="Z130" s="95" t="str">
        <f t="shared" si="3"/>
        <v/>
      </c>
      <c r="AA130" s="89" t="str">
        <f>IF(Results!$U130="","",IF(U130&lt;&gt;"",U130,0)/SUM(Results!$U$7:$U$189))</f>
        <v/>
      </c>
      <c r="AB130" s="8"/>
      <c r="AC130" s="8"/>
      <c r="AD130" s="8"/>
      <c r="AE130" s="8"/>
      <c r="AF130" s="8"/>
      <c r="AG130" s="8"/>
      <c r="AH130" s="8"/>
      <c r="AI130" s="8"/>
      <c r="AJ130" s="8"/>
      <c r="AK130" s="8"/>
      <c r="AL130" s="8"/>
      <c r="AM130" s="8"/>
      <c r="AN130" s="8"/>
      <c r="AO130" s="8"/>
      <c r="AP130" s="8"/>
      <c r="AQ130" s="8"/>
      <c r="AR130" s="8"/>
      <c r="AS130" s="8"/>
      <c r="AT130" s="8"/>
    </row>
    <row r="131" spans="1:46" x14ac:dyDescent="0.2">
      <c r="A131" s="55" t="str">
        <f>IF(B131&lt;&gt;"",COUNTA($B$7:B131),"")</f>
        <v/>
      </c>
      <c r="B131" s="83"/>
      <c r="C131" s="83"/>
      <c r="D131" s="83" t="str">
        <f>IF(Table13[[#This Row],[Energy Source]]="","",Table13[[#This Row],[Energy Source]])</f>
        <v/>
      </c>
      <c r="E131" s="83" t="str">
        <f>IF(Table13[[#This Row],[Units]]="", "", Table13[[#This Row],[Units]])</f>
        <v/>
      </c>
      <c r="F131" s="83" t="str">
        <f>IF(Table13[[#This Row],[Annual Consumption (Baseline)]]="", "", Table13[[#This Row],[Annual Consumption (Baseline)]])</f>
        <v/>
      </c>
      <c r="G131" s="83" t="str">
        <f>IF(F131="", "", IF(Results!$C131="Energy", VLOOKUP(Results!$E131,'Emission Inputs (Optional)'!$T$10:$U$27,2,FALSE)*Table13[[#This Row],[Energy Savings]], ""))</f>
        <v/>
      </c>
      <c r="H131" s="13" t="str">
        <f>IFERROR(VLOOKUP(B131,'Emission Inputs (Optional)'!$G$9:$I$191,3,FALSE),"")</f>
        <v/>
      </c>
      <c r="I131" s="13" t="str">
        <f>IF(Results!$C131="Energy", VLOOKUP(Results!$E131,'Emission Inputs (Optional)'!$T$10:$U$27,2,FALSE)*Results!$F131, "")</f>
        <v/>
      </c>
      <c r="J131" s="13" t="str">
        <f>IF(Results!$I131&lt;&gt;"",Results!$I131*0.293071,"")</f>
        <v/>
      </c>
      <c r="K131" s="84" t="str">
        <f>IF(Results!$I131&lt;&gt;"",Results!$I131/SUM($I$7:$I$189),"")</f>
        <v/>
      </c>
      <c r="L131" s="13" t="str">
        <f>IF(Results!$F131&lt;&gt;"",I131-G131,"")</f>
        <v/>
      </c>
      <c r="M131" s="13" t="str">
        <f>IF(Results!$L131&lt;&gt;"",Results!$L131*0.293071,"")</f>
        <v/>
      </c>
      <c r="N131" s="84" t="str">
        <f>IF(Results!$M131&lt;&gt;"",Results!$M131/SUM($M$7:$M$189),"")</f>
        <v/>
      </c>
      <c r="O131" s="85" t="str">
        <f>IF(Results!$C131="Energy", VLOOKUP(Results!$D131,'Energy Costs Inputs (Optional)'!$AS$3:$AU$20,2,FALSE)*Results!$I131, "")</f>
        <v/>
      </c>
      <c r="P131" s="84" t="str">
        <f>IF(Results!$O131&lt;&gt;"",Results!$O131/SUM($O$7:$O$189),"")</f>
        <v/>
      </c>
      <c r="Q131" s="85" t="str">
        <f>IF(Results!$C131="Energy", VLOOKUP(Results!$D131,'Energy Costs Inputs (Optional)'!$AS$3:$AU$20,2,FALSE)*Results!$L131, "")</f>
        <v/>
      </c>
      <c r="R131" s="84" t="str">
        <f>IF(Results!$Q131&lt;&gt;"",Results!$Q131/SUM($Q$7:$Q$189),"")</f>
        <v/>
      </c>
      <c r="S131" s="85" t="str">
        <f t="shared" si="2"/>
        <v/>
      </c>
      <c r="T131" s="13" t="str">
        <f>IF(Results!$I131&lt;&gt;"",(HLOOKUP(Table13[[#This Row],[Units]],'Emission Inputs (Optional)'!$L$10:$R$27,MATCH(Table13[[#This Row],[Energy Source]],'Emission Inputs (Optional)'!$L$10:$L$27,0),FALSE))*Table13[[#This Row],[Annual Consumption (Baseline)]],"")</f>
        <v/>
      </c>
      <c r="U131" s="13" t="str">
        <f>IF(Results!$T131&lt;&gt;"",Results!$T131,H131)</f>
        <v/>
      </c>
      <c r="V131" s="84" t="str">
        <f>IF(Results!$U131="","",IF(U131&lt;&gt;"",U131,0)/SUM(Results!$U$7:$U$189))</f>
        <v/>
      </c>
      <c r="W131" s="101" t="str">
        <f>IF(Results!$I131&lt;&gt;"",(HLOOKUP(Table13[[#This Row],[Units]],'Emission Inputs (Optional)'!$L$10:$R$27,MATCH(Table13[[#This Row],[Energy Source]],'Emission Inputs (Optional)'!$L$10:$L$27,0),FALSE))*(Table13[[#This Row],[Annual Consumption (Baseline)]]-Table13[[#This Row],[Energy Savings]]),"")</f>
        <v/>
      </c>
      <c r="X131" s="13" t="str">
        <f>IFERROR(VLOOKUP(B131,'Emission Inputs (Optional)'!$G$9:$J$191,4,FALSE),"")</f>
        <v/>
      </c>
      <c r="Y131" s="95" t="str">
        <f>IF(Results!$W131&lt;&gt;"",Results!$W131,IF(X131&lt;&gt;"",(H131-X131),""))</f>
        <v/>
      </c>
      <c r="Z131" s="95" t="str">
        <f t="shared" si="3"/>
        <v/>
      </c>
      <c r="AA131" s="89" t="str">
        <f>IF(Results!$U131="","",IF(U131&lt;&gt;"",U131,0)/SUM(Results!$U$7:$U$189))</f>
        <v/>
      </c>
      <c r="AB131" s="8"/>
      <c r="AC131" s="8"/>
      <c r="AD131" s="8"/>
      <c r="AE131" s="8"/>
      <c r="AF131" s="8"/>
      <c r="AG131" s="8"/>
      <c r="AH131" s="8"/>
      <c r="AI131" s="8"/>
      <c r="AJ131" s="8"/>
      <c r="AK131" s="8"/>
      <c r="AL131" s="8"/>
      <c r="AM131" s="8"/>
      <c r="AN131" s="8"/>
      <c r="AO131" s="8"/>
      <c r="AP131" s="8"/>
      <c r="AQ131" s="8"/>
      <c r="AR131" s="8"/>
      <c r="AS131" s="8"/>
      <c r="AT131" s="8"/>
    </row>
    <row r="132" spans="1:46" x14ac:dyDescent="0.2">
      <c r="A132" s="55" t="str">
        <f>IF(B132&lt;&gt;"",COUNTA($B$7:B132),"")</f>
        <v/>
      </c>
      <c r="B132" s="83"/>
      <c r="C132" s="83"/>
      <c r="D132" s="83" t="str">
        <f>IF(Table13[[#This Row],[Energy Source]]="","",Table13[[#This Row],[Energy Source]])</f>
        <v/>
      </c>
      <c r="E132" s="83" t="str">
        <f>IF(Table13[[#This Row],[Units]]="", "", Table13[[#This Row],[Units]])</f>
        <v/>
      </c>
      <c r="F132" s="83" t="str">
        <f>IF(Table13[[#This Row],[Annual Consumption (Baseline)]]="", "", Table13[[#This Row],[Annual Consumption (Baseline)]])</f>
        <v/>
      </c>
      <c r="G132" s="83" t="str">
        <f>IF(F132="", "", IF(Results!$C132="Energy", VLOOKUP(Results!$E132,'Emission Inputs (Optional)'!$T$10:$U$27,2,FALSE)*Table13[[#This Row],[Energy Savings]], ""))</f>
        <v/>
      </c>
      <c r="H132" s="13" t="str">
        <f>IFERROR(VLOOKUP(B132,'Emission Inputs (Optional)'!$G$9:$I$191,3,FALSE),"")</f>
        <v/>
      </c>
      <c r="I132" s="13" t="str">
        <f>IF(Results!$C132="Energy", VLOOKUP(Results!$E132,'Emission Inputs (Optional)'!$T$10:$U$27,2,FALSE)*Results!$F132, "")</f>
        <v/>
      </c>
      <c r="J132" s="13" t="str">
        <f>IF(Results!$I132&lt;&gt;"",Results!$I132*0.293071,"")</f>
        <v/>
      </c>
      <c r="K132" s="84" t="str">
        <f>IF(Results!$I132&lt;&gt;"",Results!$I132/SUM($I$7:$I$189),"")</f>
        <v/>
      </c>
      <c r="L132" s="13" t="str">
        <f>IF(Results!$F132&lt;&gt;"",I132-G132,"")</f>
        <v/>
      </c>
      <c r="M132" s="13" t="str">
        <f>IF(Results!$L132&lt;&gt;"",Results!$L132*0.293071,"")</f>
        <v/>
      </c>
      <c r="N132" s="84" t="str">
        <f>IF(Results!$M132&lt;&gt;"",Results!$M132/SUM($M$7:$M$189),"")</f>
        <v/>
      </c>
      <c r="O132" s="85" t="str">
        <f>IF(Results!$C132="Energy", VLOOKUP(Results!$D132,'Energy Costs Inputs (Optional)'!$AS$3:$AU$20,2,FALSE)*Results!$I132, "")</f>
        <v/>
      </c>
      <c r="P132" s="84" t="str">
        <f>IF(Results!$O132&lt;&gt;"",Results!$O132/SUM($O$7:$O$189),"")</f>
        <v/>
      </c>
      <c r="Q132" s="85" t="str">
        <f>IF(Results!$C132="Energy", VLOOKUP(Results!$D132,'Energy Costs Inputs (Optional)'!$AS$3:$AU$20,2,FALSE)*Results!$L132, "")</f>
        <v/>
      </c>
      <c r="R132" s="84" t="str">
        <f>IF(Results!$Q132&lt;&gt;"",Results!$Q132/SUM($Q$7:$Q$189),"")</f>
        <v/>
      </c>
      <c r="S132" s="85" t="str">
        <f t="shared" si="2"/>
        <v/>
      </c>
      <c r="T132" s="13" t="str">
        <f>IF(Results!$I132&lt;&gt;"",(HLOOKUP(Table13[[#This Row],[Units]],'Emission Inputs (Optional)'!$L$10:$R$27,MATCH(Table13[[#This Row],[Energy Source]],'Emission Inputs (Optional)'!$L$10:$L$27,0),FALSE))*Table13[[#This Row],[Annual Consumption (Baseline)]],"")</f>
        <v/>
      </c>
      <c r="U132" s="13" t="str">
        <f>IF(Results!$T132&lt;&gt;"",Results!$T132,H132)</f>
        <v/>
      </c>
      <c r="V132" s="84" t="str">
        <f>IF(Results!$U132="","",IF(U132&lt;&gt;"",U132,0)/SUM(Results!$U$7:$U$189))</f>
        <v/>
      </c>
      <c r="W132" s="101" t="str">
        <f>IF(Results!$I132&lt;&gt;"",(HLOOKUP(Table13[[#This Row],[Units]],'Emission Inputs (Optional)'!$L$10:$R$27,MATCH(Table13[[#This Row],[Energy Source]],'Emission Inputs (Optional)'!$L$10:$L$27,0),FALSE))*(Table13[[#This Row],[Annual Consumption (Baseline)]]-Table13[[#This Row],[Energy Savings]]),"")</f>
        <v/>
      </c>
      <c r="X132" s="13" t="str">
        <f>IFERROR(VLOOKUP(B132,'Emission Inputs (Optional)'!$G$9:$J$191,4,FALSE),"")</f>
        <v/>
      </c>
      <c r="Y132" s="95" t="str">
        <f>IF(Results!$W132&lt;&gt;"",Results!$W132,IF(X132&lt;&gt;"",(H132-X132),""))</f>
        <v/>
      </c>
      <c r="Z132" s="95" t="str">
        <f t="shared" si="3"/>
        <v/>
      </c>
      <c r="AA132" s="89" t="str">
        <f>IF(Results!$U132="","",IF(U132&lt;&gt;"",U132,0)/SUM(Results!$U$7:$U$189))</f>
        <v/>
      </c>
      <c r="AB132" s="8"/>
      <c r="AC132" s="8"/>
      <c r="AD132" s="8"/>
      <c r="AE132" s="8"/>
      <c r="AF132" s="8"/>
      <c r="AG132" s="8"/>
      <c r="AH132" s="8"/>
      <c r="AI132" s="8"/>
      <c r="AJ132" s="8"/>
      <c r="AK132" s="8"/>
      <c r="AL132" s="8"/>
      <c r="AM132" s="8"/>
      <c r="AN132" s="8"/>
      <c r="AO132" s="8"/>
      <c r="AP132" s="8"/>
      <c r="AQ132" s="8"/>
      <c r="AR132" s="8"/>
      <c r="AS132" s="8"/>
      <c r="AT132" s="8"/>
    </row>
    <row r="133" spans="1:46" x14ac:dyDescent="0.2">
      <c r="A133" s="55" t="str">
        <f>IF(B133&lt;&gt;"",COUNTA($B$7:B133),"")</f>
        <v/>
      </c>
      <c r="B133" s="83"/>
      <c r="C133" s="83"/>
      <c r="D133" s="83" t="str">
        <f>IF(Table13[[#This Row],[Energy Source]]="","",Table13[[#This Row],[Energy Source]])</f>
        <v/>
      </c>
      <c r="E133" s="83" t="str">
        <f>IF(Table13[[#This Row],[Units]]="", "", Table13[[#This Row],[Units]])</f>
        <v/>
      </c>
      <c r="F133" s="83" t="str">
        <f>IF(Table13[[#This Row],[Annual Consumption (Baseline)]]="", "", Table13[[#This Row],[Annual Consumption (Baseline)]])</f>
        <v/>
      </c>
      <c r="G133" s="83" t="str">
        <f>IF(F133="", "", IF(Results!$C133="Energy", VLOOKUP(Results!$E133,'Emission Inputs (Optional)'!$T$10:$U$27,2,FALSE)*Table13[[#This Row],[Energy Savings]], ""))</f>
        <v/>
      </c>
      <c r="H133" s="13" t="str">
        <f>IFERROR(VLOOKUP(B133,'Emission Inputs (Optional)'!$G$9:$I$191,3,FALSE),"")</f>
        <v/>
      </c>
      <c r="I133" s="13" t="str">
        <f>IF(Results!$C133="Energy", VLOOKUP(Results!$E133,'Emission Inputs (Optional)'!$T$10:$U$27,2,FALSE)*Results!$F133, "")</f>
        <v/>
      </c>
      <c r="J133" s="13" t="str">
        <f>IF(Results!$I133&lt;&gt;"",Results!$I133*0.293071,"")</f>
        <v/>
      </c>
      <c r="K133" s="84" t="str">
        <f>IF(Results!$I133&lt;&gt;"",Results!$I133/SUM($I$7:$I$189),"")</f>
        <v/>
      </c>
      <c r="L133" s="13" t="str">
        <f>IF(Results!$F133&lt;&gt;"",I133-G133,"")</f>
        <v/>
      </c>
      <c r="M133" s="13" t="str">
        <f>IF(Results!$L133&lt;&gt;"",Results!$L133*0.293071,"")</f>
        <v/>
      </c>
      <c r="N133" s="84" t="str">
        <f>IF(Results!$M133&lt;&gt;"",Results!$M133/SUM($M$7:$M$189),"")</f>
        <v/>
      </c>
      <c r="O133" s="85" t="str">
        <f>IF(Results!$C133="Energy", VLOOKUP(Results!$D133,'Energy Costs Inputs (Optional)'!$AS$3:$AU$20,2,FALSE)*Results!$I133, "")</f>
        <v/>
      </c>
      <c r="P133" s="84" t="str">
        <f>IF(Results!$O133&lt;&gt;"",Results!$O133/SUM($O$7:$O$189),"")</f>
        <v/>
      </c>
      <c r="Q133" s="85" t="str">
        <f>IF(Results!$C133="Energy", VLOOKUP(Results!$D133,'Energy Costs Inputs (Optional)'!$AS$3:$AU$20,2,FALSE)*Results!$L133, "")</f>
        <v/>
      </c>
      <c r="R133" s="84" t="str">
        <f>IF(Results!$Q133&lt;&gt;"",Results!$Q133/SUM($Q$7:$Q$189),"")</f>
        <v/>
      </c>
      <c r="S133" s="85" t="str">
        <f t="shared" si="2"/>
        <v/>
      </c>
      <c r="T133" s="13" t="str">
        <f>IF(Results!$I133&lt;&gt;"",(HLOOKUP(Table13[[#This Row],[Units]],'Emission Inputs (Optional)'!$L$10:$R$27,MATCH(Table13[[#This Row],[Energy Source]],'Emission Inputs (Optional)'!$L$10:$L$27,0),FALSE))*Table13[[#This Row],[Annual Consumption (Baseline)]],"")</f>
        <v/>
      </c>
      <c r="U133" s="13" t="str">
        <f>IF(Results!$T133&lt;&gt;"",Results!$T133,H133)</f>
        <v/>
      </c>
      <c r="V133" s="84" t="str">
        <f>IF(Results!$U133="","",IF(U133&lt;&gt;"",U133,0)/SUM(Results!$U$7:$U$189))</f>
        <v/>
      </c>
      <c r="W133" s="101" t="str">
        <f>IF(Results!$I133&lt;&gt;"",(HLOOKUP(Table13[[#This Row],[Units]],'Emission Inputs (Optional)'!$L$10:$R$27,MATCH(Table13[[#This Row],[Energy Source]],'Emission Inputs (Optional)'!$L$10:$L$27,0),FALSE))*(Table13[[#This Row],[Annual Consumption (Baseline)]]-Table13[[#This Row],[Energy Savings]]),"")</f>
        <v/>
      </c>
      <c r="X133" s="13" t="str">
        <f>IFERROR(VLOOKUP(B133,'Emission Inputs (Optional)'!$G$9:$J$191,4,FALSE),"")</f>
        <v/>
      </c>
      <c r="Y133" s="95" t="str">
        <f>IF(Results!$W133&lt;&gt;"",Results!$W133,IF(X133&lt;&gt;"",(H133-X133),""))</f>
        <v/>
      </c>
      <c r="Z133" s="95" t="str">
        <f t="shared" si="3"/>
        <v/>
      </c>
      <c r="AA133" s="89" t="str">
        <f>IF(Results!$U133="","",IF(U133&lt;&gt;"",U133,0)/SUM(Results!$U$7:$U$189))</f>
        <v/>
      </c>
      <c r="AB133" s="8"/>
      <c r="AC133" s="8"/>
      <c r="AD133" s="8"/>
      <c r="AE133" s="8"/>
      <c r="AF133" s="8"/>
      <c r="AG133" s="8"/>
      <c r="AH133" s="8"/>
      <c r="AI133" s="8"/>
      <c r="AJ133" s="8"/>
      <c r="AK133" s="8"/>
      <c r="AL133" s="8"/>
      <c r="AM133" s="8"/>
      <c r="AN133" s="8"/>
      <c r="AO133" s="8"/>
      <c r="AP133" s="8"/>
      <c r="AQ133" s="8"/>
      <c r="AR133" s="8"/>
      <c r="AS133" s="8"/>
      <c r="AT133" s="8"/>
    </row>
    <row r="134" spans="1:46" x14ac:dyDescent="0.2">
      <c r="A134" s="55" t="str">
        <f>IF(B134&lt;&gt;"",COUNTA($B$7:B134),"")</f>
        <v/>
      </c>
      <c r="B134" s="83"/>
      <c r="C134" s="83"/>
      <c r="D134" s="83" t="str">
        <f>IF(Table13[[#This Row],[Energy Source]]="","",Table13[[#This Row],[Energy Source]])</f>
        <v/>
      </c>
      <c r="E134" s="83" t="str">
        <f>IF(Table13[[#This Row],[Units]]="", "", Table13[[#This Row],[Units]])</f>
        <v/>
      </c>
      <c r="F134" s="83" t="str">
        <f>IF(Table13[[#This Row],[Annual Consumption (Baseline)]]="", "", Table13[[#This Row],[Annual Consumption (Baseline)]])</f>
        <v/>
      </c>
      <c r="G134" s="83" t="str">
        <f>IF(F134="", "", IF(Results!$C134="Energy", VLOOKUP(Results!$E134,'Emission Inputs (Optional)'!$T$10:$U$27,2,FALSE)*Table13[[#This Row],[Energy Savings]], ""))</f>
        <v/>
      </c>
      <c r="H134" s="13" t="str">
        <f>IFERROR(VLOOKUP(B134,'Emission Inputs (Optional)'!$G$9:$I$191,3,FALSE),"")</f>
        <v/>
      </c>
      <c r="I134" s="13" t="str">
        <f>IF(Results!$C134="Energy", VLOOKUP(Results!$E134,'Emission Inputs (Optional)'!$T$10:$U$27,2,FALSE)*Results!$F134, "")</f>
        <v/>
      </c>
      <c r="J134" s="13" t="str">
        <f>IF(Results!$I134&lt;&gt;"",Results!$I134*0.293071,"")</f>
        <v/>
      </c>
      <c r="K134" s="84" t="str">
        <f>IF(Results!$I134&lt;&gt;"",Results!$I134/SUM($I$7:$I$189),"")</f>
        <v/>
      </c>
      <c r="L134" s="13" t="str">
        <f>IF(Results!$F134&lt;&gt;"",I134-G134,"")</f>
        <v/>
      </c>
      <c r="M134" s="13" t="str">
        <f>IF(Results!$L134&lt;&gt;"",Results!$L134*0.293071,"")</f>
        <v/>
      </c>
      <c r="N134" s="84" t="str">
        <f>IF(Results!$M134&lt;&gt;"",Results!$M134/SUM($M$7:$M$189),"")</f>
        <v/>
      </c>
      <c r="O134" s="85" t="str">
        <f>IF(Results!$C134="Energy", VLOOKUP(Results!$D134,'Energy Costs Inputs (Optional)'!$AS$3:$AU$20,2,FALSE)*Results!$I134, "")</f>
        <v/>
      </c>
      <c r="P134" s="84" t="str">
        <f>IF(Results!$O134&lt;&gt;"",Results!$O134/SUM($O$7:$O$189),"")</f>
        <v/>
      </c>
      <c r="Q134" s="85" t="str">
        <f>IF(Results!$C134="Energy", VLOOKUP(Results!$D134,'Energy Costs Inputs (Optional)'!$AS$3:$AU$20,2,FALSE)*Results!$L134, "")</f>
        <v/>
      </c>
      <c r="R134" s="84" t="str">
        <f>IF(Results!$Q134&lt;&gt;"",Results!$Q134/SUM($Q$7:$Q$189),"")</f>
        <v/>
      </c>
      <c r="S134" s="85" t="str">
        <f t="shared" si="2"/>
        <v/>
      </c>
      <c r="T134" s="13" t="str">
        <f>IF(Results!$I134&lt;&gt;"",(HLOOKUP(Table13[[#This Row],[Units]],'Emission Inputs (Optional)'!$L$10:$R$27,MATCH(Table13[[#This Row],[Energy Source]],'Emission Inputs (Optional)'!$L$10:$L$27,0),FALSE))*Table13[[#This Row],[Annual Consumption (Baseline)]],"")</f>
        <v/>
      </c>
      <c r="U134" s="13" t="str">
        <f>IF(Results!$T134&lt;&gt;"",Results!$T134,H134)</f>
        <v/>
      </c>
      <c r="V134" s="84" t="str">
        <f>IF(Results!$U134="","",IF(U134&lt;&gt;"",U134,0)/SUM(Results!$U$7:$U$189))</f>
        <v/>
      </c>
      <c r="W134" s="101" t="str">
        <f>IF(Results!$I134&lt;&gt;"",(HLOOKUP(Table13[[#This Row],[Units]],'Emission Inputs (Optional)'!$L$10:$R$27,MATCH(Table13[[#This Row],[Energy Source]],'Emission Inputs (Optional)'!$L$10:$L$27,0),FALSE))*(Table13[[#This Row],[Annual Consumption (Baseline)]]-Table13[[#This Row],[Energy Savings]]),"")</f>
        <v/>
      </c>
      <c r="X134" s="13" t="str">
        <f>IFERROR(VLOOKUP(B134,'Emission Inputs (Optional)'!$G$9:$J$191,4,FALSE),"")</f>
        <v/>
      </c>
      <c r="Y134" s="95" t="str">
        <f>IF(Results!$W134&lt;&gt;"",Results!$W134,IF(X134&lt;&gt;"",(H134-X134),""))</f>
        <v/>
      </c>
      <c r="Z134" s="95" t="str">
        <f t="shared" si="3"/>
        <v/>
      </c>
      <c r="AA134" s="89" t="str">
        <f>IF(Results!$U134="","",IF(U134&lt;&gt;"",U134,0)/SUM(Results!$U$7:$U$189))</f>
        <v/>
      </c>
      <c r="AB134" s="8"/>
      <c r="AC134" s="8"/>
      <c r="AD134" s="8"/>
      <c r="AE134" s="8"/>
      <c r="AF134" s="8"/>
      <c r="AG134" s="8"/>
      <c r="AH134" s="8"/>
      <c r="AI134" s="8"/>
      <c r="AJ134" s="8"/>
      <c r="AK134" s="8"/>
      <c r="AL134" s="8"/>
      <c r="AM134" s="8"/>
      <c r="AN134" s="8"/>
      <c r="AO134" s="8"/>
      <c r="AP134" s="8"/>
      <c r="AQ134" s="8"/>
      <c r="AR134" s="8"/>
      <c r="AS134" s="8"/>
      <c r="AT134" s="8"/>
    </row>
    <row r="135" spans="1:46" x14ac:dyDescent="0.2">
      <c r="A135" s="55" t="str">
        <f>IF(B135&lt;&gt;"",COUNTA($B$7:B135),"")</f>
        <v/>
      </c>
      <c r="B135" s="83"/>
      <c r="C135" s="83"/>
      <c r="D135" s="83" t="str">
        <f>IF(Table13[[#This Row],[Energy Source]]="","",Table13[[#This Row],[Energy Source]])</f>
        <v/>
      </c>
      <c r="E135" s="83" t="str">
        <f>IF(Table13[[#This Row],[Units]]="", "", Table13[[#This Row],[Units]])</f>
        <v/>
      </c>
      <c r="F135" s="83" t="str">
        <f>IF(Table13[[#This Row],[Annual Consumption (Baseline)]]="", "", Table13[[#This Row],[Annual Consumption (Baseline)]])</f>
        <v/>
      </c>
      <c r="G135" s="83" t="str">
        <f>IF(F135="", "", IF(Results!$C135="Energy", VLOOKUP(Results!$E135,'Emission Inputs (Optional)'!$T$10:$U$27,2,FALSE)*Table13[[#This Row],[Energy Savings]], ""))</f>
        <v/>
      </c>
      <c r="H135" s="13" t="str">
        <f>IFERROR(VLOOKUP(B135,'Emission Inputs (Optional)'!$G$9:$I$191,3,FALSE),"")</f>
        <v/>
      </c>
      <c r="I135" s="13" t="str">
        <f>IF(Results!$C135="Energy", VLOOKUP(Results!$E135,'Emission Inputs (Optional)'!$T$10:$U$27,2,FALSE)*Results!$F135, "")</f>
        <v/>
      </c>
      <c r="J135" s="13" t="str">
        <f>IF(Results!$I135&lt;&gt;"",Results!$I135*0.293071,"")</f>
        <v/>
      </c>
      <c r="K135" s="84" t="str">
        <f>IF(Results!$I135&lt;&gt;"",Results!$I135/SUM($I$7:$I$189),"")</f>
        <v/>
      </c>
      <c r="L135" s="13" t="str">
        <f>IF(Results!$F135&lt;&gt;"",I135-G135,"")</f>
        <v/>
      </c>
      <c r="M135" s="13" t="str">
        <f>IF(Results!$L135&lt;&gt;"",Results!$L135*0.293071,"")</f>
        <v/>
      </c>
      <c r="N135" s="84" t="str">
        <f>IF(Results!$M135&lt;&gt;"",Results!$M135/SUM($M$7:$M$189),"")</f>
        <v/>
      </c>
      <c r="O135" s="85" t="str">
        <f>IF(Results!$C135="Energy", VLOOKUP(Results!$D135,'Energy Costs Inputs (Optional)'!$AS$3:$AU$20,2,FALSE)*Results!$I135, "")</f>
        <v/>
      </c>
      <c r="P135" s="84" t="str">
        <f>IF(Results!$O135&lt;&gt;"",Results!$O135/SUM($O$7:$O$189),"")</f>
        <v/>
      </c>
      <c r="Q135" s="85" t="str">
        <f>IF(Results!$C135="Energy", VLOOKUP(Results!$D135,'Energy Costs Inputs (Optional)'!$AS$3:$AU$20,2,FALSE)*Results!$L135, "")</f>
        <v/>
      </c>
      <c r="R135" s="84" t="str">
        <f>IF(Results!$Q135&lt;&gt;"",Results!$Q135/SUM($Q$7:$Q$189),"")</f>
        <v/>
      </c>
      <c r="S135" s="85" t="str">
        <f t="shared" si="2"/>
        <v/>
      </c>
      <c r="T135" s="13" t="str">
        <f>IF(Results!$I135&lt;&gt;"",(HLOOKUP(Table13[[#This Row],[Units]],'Emission Inputs (Optional)'!$L$10:$R$27,MATCH(Table13[[#This Row],[Energy Source]],'Emission Inputs (Optional)'!$L$10:$L$27,0),FALSE))*Table13[[#This Row],[Annual Consumption (Baseline)]],"")</f>
        <v/>
      </c>
      <c r="U135" s="13" t="str">
        <f>IF(Results!$T135&lt;&gt;"",Results!$T135,H135)</f>
        <v/>
      </c>
      <c r="V135" s="84" t="str">
        <f>IF(Results!$U135="","",IF(U135&lt;&gt;"",U135,0)/SUM(Results!$U$7:$U$189))</f>
        <v/>
      </c>
      <c r="W135" s="101" t="str">
        <f>IF(Results!$I135&lt;&gt;"",(HLOOKUP(Table13[[#This Row],[Units]],'Emission Inputs (Optional)'!$L$10:$R$27,MATCH(Table13[[#This Row],[Energy Source]],'Emission Inputs (Optional)'!$L$10:$L$27,0),FALSE))*(Table13[[#This Row],[Annual Consumption (Baseline)]]-Table13[[#This Row],[Energy Savings]]),"")</f>
        <v/>
      </c>
      <c r="X135" s="13" t="str">
        <f>IFERROR(VLOOKUP(B135,'Emission Inputs (Optional)'!$G$9:$J$191,4,FALSE),"")</f>
        <v/>
      </c>
      <c r="Y135" s="95" t="str">
        <f>IF(Results!$W135&lt;&gt;"",Results!$W135,IF(X135&lt;&gt;"",(H135-X135),""))</f>
        <v/>
      </c>
      <c r="Z135" s="95" t="str">
        <f t="shared" si="3"/>
        <v/>
      </c>
      <c r="AA135" s="89" t="str">
        <f>IF(Results!$U135="","",IF(U135&lt;&gt;"",U135,0)/SUM(Results!$U$7:$U$189))</f>
        <v/>
      </c>
      <c r="AB135" s="8"/>
      <c r="AC135" s="8"/>
      <c r="AD135" s="8"/>
      <c r="AE135" s="8"/>
      <c r="AF135" s="8"/>
      <c r="AG135" s="8"/>
      <c r="AH135" s="8"/>
      <c r="AI135" s="8"/>
      <c r="AJ135" s="8"/>
      <c r="AK135" s="8"/>
      <c r="AL135" s="8"/>
      <c r="AM135" s="8"/>
      <c r="AN135" s="8"/>
      <c r="AO135" s="8"/>
      <c r="AP135" s="8"/>
      <c r="AQ135" s="8"/>
      <c r="AR135" s="8"/>
      <c r="AS135" s="8"/>
      <c r="AT135" s="8"/>
    </row>
    <row r="136" spans="1:46" x14ac:dyDescent="0.2">
      <c r="A136" s="55" t="str">
        <f>IF(B136&lt;&gt;"",COUNTA($B$7:B136),"")</f>
        <v/>
      </c>
      <c r="B136" s="83"/>
      <c r="C136" s="83"/>
      <c r="D136" s="83" t="str">
        <f>IF(Table13[[#This Row],[Energy Source]]="","",Table13[[#This Row],[Energy Source]])</f>
        <v/>
      </c>
      <c r="E136" s="83" t="str">
        <f>IF(Table13[[#This Row],[Units]]="", "", Table13[[#This Row],[Units]])</f>
        <v/>
      </c>
      <c r="F136" s="83" t="str">
        <f>IF(Table13[[#This Row],[Annual Consumption (Baseline)]]="", "", Table13[[#This Row],[Annual Consumption (Baseline)]])</f>
        <v/>
      </c>
      <c r="G136" s="83" t="str">
        <f>IF(F136="", "", IF(Results!$C136="Energy", VLOOKUP(Results!$E136,'Emission Inputs (Optional)'!$T$10:$U$27,2,FALSE)*Table13[[#This Row],[Energy Savings]], ""))</f>
        <v/>
      </c>
      <c r="H136" s="13" t="str">
        <f>IFERROR(VLOOKUP(B136,'Emission Inputs (Optional)'!$G$9:$I$191,3,FALSE),"")</f>
        <v/>
      </c>
      <c r="I136" s="13" t="str">
        <f>IF(Results!$C136="Energy", VLOOKUP(Results!$E136,'Emission Inputs (Optional)'!$T$10:$U$27,2,FALSE)*Results!$F136, "")</f>
        <v/>
      </c>
      <c r="J136" s="13" t="str">
        <f>IF(Results!$I136&lt;&gt;"",Results!$I136*0.293071,"")</f>
        <v/>
      </c>
      <c r="K136" s="84" t="str">
        <f>IF(Results!$I136&lt;&gt;"",Results!$I136/SUM($I$7:$I$189),"")</f>
        <v/>
      </c>
      <c r="L136" s="13" t="str">
        <f>IF(Results!$F136&lt;&gt;"",I136-G136,"")</f>
        <v/>
      </c>
      <c r="M136" s="13" t="str">
        <f>IF(Results!$L136&lt;&gt;"",Results!$L136*0.293071,"")</f>
        <v/>
      </c>
      <c r="N136" s="84" t="str">
        <f>IF(Results!$M136&lt;&gt;"",Results!$M136/SUM($M$7:$M$189),"")</f>
        <v/>
      </c>
      <c r="O136" s="85" t="str">
        <f>IF(Results!$C136="Energy", VLOOKUP(Results!$D136,'Energy Costs Inputs (Optional)'!$AS$3:$AU$20,2,FALSE)*Results!$I136, "")</f>
        <v/>
      </c>
      <c r="P136" s="84" t="str">
        <f>IF(Results!$O136&lt;&gt;"",Results!$O136/SUM($O$7:$O$189),"")</f>
        <v/>
      </c>
      <c r="Q136" s="85" t="str">
        <f>IF(Results!$C136="Energy", VLOOKUP(Results!$D136,'Energy Costs Inputs (Optional)'!$AS$3:$AU$20,2,FALSE)*Results!$L136, "")</f>
        <v/>
      </c>
      <c r="R136" s="84" t="str">
        <f>IF(Results!$Q136&lt;&gt;"",Results!$Q136/SUM($Q$7:$Q$189),"")</f>
        <v/>
      </c>
      <c r="S136" s="85" t="str">
        <f t="shared" ref="S136:S189" si="4">IF(Q136&lt;&gt;"",O136-Q136,"")</f>
        <v/>
      </c>
      <c r="T136" s="13" t="str">
        <f>IF(Results!$I136&lt;&gt;"",(HLOOKUP(Table13[[#This Row],[Units]],'Emission Inputs (Optional)'!$L$10:$R$27,MATCH(Table13[[#This Row],[Energy Source]],'Emission Inputs (Optional)'!$L$10:$L$27,0),FALSE))*Table13[[#This Row],[Annual Consumption (Baseline)]],"")</f>
        <v/>
      </c>
      <c r="U136" s="13" t="str">
        <f>IF(Results!$T136&lt;&gt;"",Results!$T136,H136)</f>
        <v/>
      </c>
      <c r="V136" s="84" t="str">
        <f>IF(Results!$U136="","",IF(U136&lt;&gt;"",U136,0)/SUM(Results!$U$7:$U$189))</f>
        <v/>
      </c>
      <c r="W136" s="101" t="str">
        <f>IF(Results!$I136&lt;&gt;"",(HLOOKUP(Table13[[#This Row],[Units]],'Emission Inputs (Optional)'!$L$10:$R$27,MATCH(Table13[[#This Row],[Energy Source]],'Emission Inputs (Optional)'!$L$10:$L$27,0),FALSE))*(Table13[[#This Row],[Annual Consumption (Baseline)]]-Table13[[#This Row],[Energy Savings]]),"")</f>
        <v/>
      </c>
      <c r="X136" s="13" t="str">
        <f>IFERROR(VLOOKUP(B136,'Emission Inputs (Optional)'!$G$9:$J$191,4,FALSE),"")</f>
        <v/>
      </c>
      <c r="Y136" s="95" t="str">
        <f>IF(Results!$W136&lt;&gt;"",Results!$W136,IF(X136&lt;&gt;"",(H136-X136),""))</f>
        <v/>
      </c>
      <c r="Z136" s="95" t="str">
        <f t="shared" ref="Z136:Z189" si="5">IF(Y136&lt;&gt;"",U136-Y136,"")</f>
        <v/>
      </c>
      <c r="AA136" s="89" t="str">
        <f>IF(Results!$U136="","",IF(U136&lt;&gt;"",U136,0)/SUM(Results!$U$7:$U$189))</f>
        <v/>
      </c>
      <c r="AB136" s="8"/>
      <c r="AC136" s="8"/>
      <c r="AD136" s="8"/>
      <c r="AE136" s="8"/>
      <c r="AF136" s="8"/>
      <c r="AG136" s="8"/>
      <c r="AH136" s="8"/>
      <c r="AI136" s="8"/>
      <c r="AJ136" s="8"/>
      <c r="AK136" s="8"/>
      <c r="AL136" s="8"/>
      <c r="AM136" s="8"/>
      <c r="AN136" s="8"/>
      <c r="AO136" s="8"/>
      <c r="AP136" s="8"/>
      <c r="AQ136" s="8"/>
      <c r="AR136" s="8"/>
      <c r="AS136" s="8"/>
      <c r="AT136" s="8"/>
    </row>
    <row r="137" spans="1:46" x14ac:dyDescent="0.2">
      <c r="A137" s="55" t="str">
        <f>IF(B137&lt;&gt;"",COUNTA($B$7:B137),"")</f>
        <v/>
      </c>
      <c r="B137" s="83"/>
      <c r="C137" s="83"/>
      <c r="D137" s="83" t="str">
        <f>IF(Table13[[#This Row],[Energy Source]]="","",Table13[[#This Row],[Energy Source]])</f>
        <v/>
      </c>
      <c r="E137" s="83" t="str">
        <f>IF(Table13[[#This Row],[Units]]="", "", Table13[[#This Row],[Units]])</f>
        <v/>
      </c>
      <c r="F137" s="83" t="str">
        <f>IF(Table13[[#This Row],[Annual Consumption (Baseline)]]="", "", Table13[[#This Row],[Annual Consumption (Baseline)]])</f>
        <v/>
      </c>
      <c r="G137" s="83" t="str">
        <f>IF(F137="", "", IF(Results!$C137="Energy", VLOOKUP(Results!$E137,'Emission Inputs (Optional)'!$T$10:$U$27,2,FALSE)*Table13[[#This Row],[Energy Savings]], ""))</f>
        <v/>
      </c>
      <c r="H137" s="13" t="str">
        <f>IFERROR(VLOOKUP(B137,'Emission Inputs (Optional)'!$G$9:$I$191,3,FALSE),"")</f>
        <v/>
      </c>
      <c r="I137" s="13" t="str">
        <f>IF(Results!$C137="Energy", VLOOKUP(Results!$E137,'Emission Inputs (Optional)'!$T$10:$U$27,2,FALSE)*Results!$F137, "")</f>
        <v/>
      </c>
      <c r="J137" s="13" t="str">
        <f>IF(Results!$I137&lt;&gt;"",Results!$I137*0.293071,"")</f>
        <v/>
      </c>
      <c r="K137" s="84" t="str">
        <f>IF(Results!$I137&lt;&gt;"",Results!$I137/SUM($I$7:$I$189),"")</f>
        <v/>
      </c>
      <c r="L137" s="13" t="str">
        <f>IF(Results!$F137&lt;&gt;"",I137-G137,"")</f>
        <v/>
      </c>
      <c r="M137" s="13" t="str">
        <f>IF(Results!$L137&lt;&gt;"",Results!$L137*0.293071,"")</f>
        <v/>
      </c>
      <c r="N137" s="84" t="str">
        <f>IF(Results!$M137&lt;&gt;"",Results!$M137/SUM($M$7:$M$189),"")</f>
        <v/>
      </c>
      <c r="O137" s="85" t="str">
        <f>IF(Results!$C137="Energy", VLOOKUP(Results!$D137,'Energy Costs Inputs (Optional)'!$AS$3:$AU$20,2,FALSE)*Results!$I137, "")</f>
        <v/>
      </c>
      <c r="P137" s="84" t="str">
        <f>IF(Results!$O137&lt;&gt;"",Results!$O137/SUM($O$7:$O$189),"")</f>
        <v/>
      </c>
      <c r="Q137" s="85" t="str">
        <f>IF(Results!$C137="Energy", VLOOKUP(Results!$D137,'Energy Costs Inputs (Optional)'!$AS$3:$AU$20,2,FALSE)*Results!$L137, "")</f>
        <v/>
      </c>
      <c r="R137" s="84" t="str">
        <f>IF(Results!$Q137&lt;&gt;"",Results!$Q137/SUM($Q$7:$Q$189),"")</f>
        <v/>
      </c>
      <c r="S137" s="85" t="str">
        <f t="shared" si="4"/>
        <v/>
      </c>
      <c r="T137" s="13" t="str">
        <f>IF(Results!$I137&lt;&gt;"",(HLOOKUP(Table13[[#This Row],[Units]],'Emission Inputs (Optional)'!$L$10:$R$27,MATCH(Table13[[#This Row],[Energy Source]],'Emission Inputs (Optional)'!$L$10:$L$27,0),FALSE))*Table13[[#This Row],[Annual Consumption (Baseline)]],"")</f>
        <v/>
      </c>
      <c r="U137" s="13" t="str">
        <f>IF(Results!$T137&lt;&gt;"",Results!$T137,H137)</f>
        <v/>
      </c>
      <c r="V137" s="84" t="str">
        <f>IF(Results!$U137="","",IF(U137&lt;&gt;"",U137,0)/SUM(Results!$U$7:$U$189))</f>
        <v/>
      </c>
      <c r="W137" s="101" t="str">
        <f>IF(Results!$I137&lt;&gt;"",(HLOOKUP(Table13[[#This Row],[Units]],'Emission Inputs (Optional)'!$L$10:$R$27,MATCH(Table13[[#This Row],[Energy Source]],'Emission Inputs (Optional)'!$L$10:$L$27,0),FALSE))*(Table13[[#This Row],[Annual Consumption (Baseline)]]-Table13[[#This Row],[Energy Savings]]),"")</f>
        <v/>
      </c>
      <c r="X137" s="13" t="str">
        <f>IFERROR(VLOOKUP(B137,'Emission Inputs (Optional)'!$G$9:$J$191,4,FALSE),"")</f>
        <v/>
      </c>
      <c r="Y137" s="95" t="str">
        <f>IF(Results!$W137&lt;&gt;"",Results!$W137,IF(X137&lt;&gt;"",(H137-X137),""))</f>
        <v/>
      </c>
      <c r="Z137" s="95" t="str">
        <f t="shared" si="5"/>
        <v/>
      </c>
      <c r="AA137" s="89" t="str">
        <f>IF(Results!$U137="","",IF(U137&lt;&gt;"",U137,0)/SUM(Results!$U$7:$U$189))</f>
        <v/>
      </c>
      <c r="AB137" s="8"/>
      <c r="AC137" s="8"/>
      <c r="AD137" s="8"/>
      <c r="AE137" s="8"/>
      <c r="AF137" s="8"/>
      <c r="AG137" s="8"/>
      <c r="AH137" s="8"/>
      <c r="AI137" s="8"/>
      <c r="AJ137" s="8"/>
      <c r="AK137" s="8"/>
      <c r="AL137" s="8"/>
      <c r="AM137" s="8"/>
      <c r="AN137" s="8"/>
      <c r="AO137" s="8"/>
      <c r="AP137" s="8"/>
      <c r="AQ137" s="8"/>
      <c r="AR137" s="8"/>
      <c r="AS137" s="8"/>
      <c r="AT137" s="8"/>
    </row>
    <row r="138" spans="1:46" x14ac:dyDescent="0.2">
      <c r="A138" s="55" t="str">
        <f>IF(B138&lt;&gt;"",COUNTA($B$7:B138),"")</f>
        <v/>
      </c>
      <c r="B138" s="83"/>
      <c r="C138" s="83"/>
      <c r="D138" s="83" t="str">
        <f>IF(Table13[[#This Row],[Energy Source]]="","",Table13[[#This Row],[Energy Source]])</f>
        <v/>
      </c>
      <c r="E138" s="83" t="str">
        <f>IF(Table13[[#This Row],[Units]]="", "", Table13[[#This Row],[Units]])</f>
        <v/>
      </c>
      <c r="F138" s="83" t="str">
        <f>IF(Table13[[#This Row],[Annual Consumption (Baseline)]]="", "", Table13[[#This Row],[Annual Consumption (Baseline)]])</f>
        <v/>
      </c>
      <c r="G138" s="83" t="str">
        <f>IF(F138="", "", IF(Results!$C138="Energy", VLOOKUP(Results!$E138,'Emission Inputs (Optional)'!$T$10:$U$27,2,FALSE)*Table13[[#This Row],[Energy Savings]], ""))</f>
        <v/>
      </c>
      <c r="H138" s="13" t="str">
        <f>IFERROR(VLOOKUP(B138,'Emission Inputs (Optional)'!$G$9:$I$191,3,FALSE),"")</f>
        <v/>
      </c>
      <c r="I138" s="13" t="str">
        <f>IF(Results!$C138="Energy", VLOOKUP(Results!$E138,'Emission Inputs (Optional)'!$T$10:$U$27,2,FALSE)*Results!$F138, "")</f>
        <v/>
      </c>
      <c r="J138" s="13" t="str">
        <f>IF(Results!$I138&lt;&gt;"",Results!$I138*0.293071,"")</f>
        <v/>
      </c>
      <c r="K138" s="84" t="str">
        <f>IF(Results!$I138&lt;&gt;"",Results!$I138/SUM($I$7:$I$189),"")</f>
        <v/>
      </c>
      <c r="L138" s="13" t="str">
        <f>IF(Results!$F138&lt;&gt;"",I138-G138,"")</f>
        <v/>
      </c>
      <c r="M138" s="13" t="str">
        <f>IF(Results!$L138&lt;&gt;"",Results!$L138*0.293071,"")</f>
        <v/>
      </c>
      <c r="N138" s="84" t="str">
        <f>IF(Results!$M138&lt;&gt;"",Results!$M138/SUM($M$7:$M$189),"")</f>
        <v/>
      </c>
      <c r="O138" s="85" t="str">
        <f>IF(Results!$C138="Energy", VLOOKUP(Results!$D138,'Energy Costs Inputs (Optional)'!$AS$3:$AU$20,2,FALSE)*Results!$I138, "")</f>
        <v/>
      </c>
      <c r="P138" s="84" t="str">
        <f>IF(Results!$O138&lt;&gt;"",Results!$O138/SUM($O$7:$O$189),"")</f>
        <v/>
      </c>
      <c r="Q138" s="85" t="str">
        <f>IF(Results!$C138="Energy", VLOOKUP(Results!$D138,'Energy Costs Inputs (Optional)'!$AS$3:$AU$20,2,FALSE)*Results!$L138, "")</f>
        <v/>
      </c>
      <c r="R138" s="84" t="str">
        <f>IF(Results!$Q138&lt;&gt;"",Results!$Q138/SUM($Q$7:$Q$189),"")</f>
        <v/>
      </c>
      <c r="S138" s="85" t="str">
        <f t="shared" si="4"/>
        <v/>
      </c>
      <c r="T138" s="13" t="str">
        <f>IF(Results!$I138&lt;&gt;"",(HLOOKUP(Table13[[#This Row],[Units]],'Emission Inputs (Optional)'!$L$10:$R$27,MATCH(Table13[[#This Row],[Energy Source]],'Emission Inputs (Optional)'!$L$10:$L$27,0),FALSE))*Table13[[#This Row],[Annual Consumption (Baseline)]],"")</f>
        <v/>
      </c>
      <c r="U138" s="13" t="str">
        <f>IF(Results!$T138&lt;&gt;"",Results!$T138,H138)</f>
        <v/>
      </c>
      <c r="V138" s="84" t="str">
        <f>IF(Results!$U138="","",IF(U138&lt;&gt;"",U138,0)/SUM(Results!$U$7:$U$189))</f>
        <v/>
      </c>
      <c r="W138" s="101" t="str">
        <f>IF(Results!$I138&lt;&gt;"",(HLOOKUP(Table13[[#This Row],[Units]],'Emission Inputs (Optional)'!$L$10:$R$27,MATCH(Table13[[#This Row],[Energy Source]],'Emission Inputs (Optional)'!$L$10:$L$27,0),FALSE))*(Table13[[#This Row],[Annual Consumption (Baseline)]]-Table13[[#This Row],[Energy Savings]]),"")</f>
        <v/>
      </c>
      <c r="X138" s="13" t="str">
        <f>IFERROR(VLOOKUP(B138,'Emission Inputs (Optional)'!$G$9:$J$191,4,FALSE),"")</f>
        <v/>
      </c>
      <c r="Y138" s="95" t="str">
        <f>IF(Results!$W138&lt;&gt;"",Results!$W138,IF(X138&lt;&gt;"",(H138-X138),""))</f>
        <v/>
      </c>
      <c r="Z138" s="95" t="str">
        <f t="shared" si="5"/>
        <v/>
      </c>
      <c r="AA138" s="89" t="str">
        <f>IF(Results!$U138="","",IF(U138&lt;&gt;"",U138,0)/SUM(Results!$U$7:$U$189))</f>
        <v/>
      </c>
      <c r="AB138" s="8"/>
      <c r="AC138" s="8"/>
      <c r="AD138" s="8"/>
      <c r="AE138" s="8"/>
      <c r="AF138" s="8"/>
      <c r="AG138" s="8"/>
      <c r="AH138" s="8"/>
      <c r="AI138" s="8"/>
      <c r="AJ138" s="8"/>
      <c r="AK138" s="8"/>
      <c r="AL138" s="8"/>
      <c r="AM138" s="8"/>
      <c r="AN138" s="8"/>
      <c r="AO138" s="8"/>
      <c r="AP138" s="8"/>
      <c r="AQ138" s="8"/>
      <c r="AR138" s="8"/>
      <c r="AS138" s="8"/>
      <c r="AT138" s="8"/>
    </row>
    <row r="139" spans="1:46" x14ac:dyDescent="0.2">
      <c r="A139" s="55" t="str">
        <f>IF(B139&lt;&gt;"",COUNTA($B$7:B139),"")</f>
        <v/>
      </c>
      <c r="B139" s="83"/>
      <c r="C139" s="83"/>
      <c r="D139" s="83" t="str">
        <f>IF(Table13[[#This Row],[Energy Source]]="","",Table13[[#This Row],[Energy Source]])</f>
        <v/>
      </c>
      <c r="E139" s="83" t="str">
        <f>IF(Table13[[#This Row],[Units]]="", "", Table13[[#This Row],[Units]])</f>
        <v/>
      </c>
      <c r="F139" s="83" t="str">
        <f>IF(Table13[[#This Row],[Annual Consumption (Baseline)]]="", "", Table13[[#This Row],[Annual Consumption (Baseline)]])</f>
        <v/>
      </c>
      <c r="G139" s="83" t="str">
        <f>IF(F139="", "", IF(Results!$C139="Energy", VLOOKUP(Results!$E139,'Emission Inputs (Optional)'!$T$10:$U$27,2,FALSE)*Table13[[#This Row],[Energy Savings]], ""))</f>
        <v/>
      </c>
      <c r="H139" s="13" t="str">
        <f>IFERROR(VLOOKUP(B139,'Emission Inputs (Optional)'!$G$9:$I$191,3,FALSE),"")</f>
        <v/>
      </c>
      <c r="I139" s="13" t="str">
        <f>IF(Results!$C139="Energy", VLOOKUP(Results!$E139,'Emission Inputs (Optional)'!$T$10:$U$27,2,FALSE)*Results!$F139, "")</f>
        <v/>
      </c>
      <c r="J139" s="13" t="str">
        <f>IF(Results!$I139&lt;&gt;"",Results!$I139*0.293071,"")</f>
        <v/>
      </c>
      <c r="K139" s="84" t="str">
        <f>IF(Results!$I139&lt;&gt;"",Results!$I139/SUM($I$7:$I$189),"")</f>
        <v/>
      </c>
      <c r="L139" s="13" t="str">
        <f>IF(Results!$F139&lt;&gt;"",I139-G139,"")</f>
        <v/>
      </c>
      <c r="M139" s="13" t="str">
        <f>IF(Results!$L139&lt;&gt;"",Results!$L139*0.293071,"")</f>
        <v/>
      </c>
      <c r="N139" s="84" t="str">
        <f>IF(Results!$M139&lt;&gt;"",Results!$M139/SUM($M$7:$M$189),"")</f>
        <v/>
      </c>
      <c r="O139" s="85" t="str">
        <f>IF(Results!$C139="Energy", VLOOKUP(Results!$D139,'Energy Costs Inputs (Optional)'!$AS$3:$AU$20,2,FALSE)*Results!$I139, "")</f>
        <v/>
      </c>
      <c r="P139" s="84" t="str">
        <f>IF(Results!$O139&lt;&gt;"",Results!$O139/SUM($O$7:$O$189),"")</f>
        <v/>
      </c>
      <c r="Q139" s="85" t="str">
        <f>IF(Results!$C139="Energy", VLOOKUP(Results!$D139,'Energy Costs Inputs (Optional)'!$AS$3:$AU$20,2,FALSE)*Results!$L139, "")</f>
        <v/>
      </c>
      <c r="R139" s="84" t="str">
        <f>IF(Results!$Q139&lt;&gt;"",Results!$Q139/SUM($Q$7:$Q$189),"")</f>
        <v/>
      </c>
      <c r="S139" s="85" t="str">
        <f t="shared" si="4"/>
        <v/>
      </c>
      <c r="T139" s="13" t="str">
        <f>IF(Results!$I139&lt;&gt;"",(HLOOKUP(Table13[[#This Row],[Units]],'Emission Inputs (Optional)'!$L$10:$R$27,MATCH(Table13[[#This Row],[Energy Source]],'Emission Inputs (Optional)'!$L$10:$L$27,0),FALSE))*Table13[[#This Row],[Annual Consumption (Baseline)]],"")</f>
        <v/>
      </c>
      <c r="U139" s="13" t="str">
        <f>IF(Results!$T139&lt;&gt;"",Results!$T139,H139)</f>
        <v/>
      </c>
      <c r="V139" s="84" t="str">
        <f>IF(Results!$U139="","",IF(U139&lt;&gt;"",U139,0)/SUM(Results!$U$7:$U$189))</f>
        <v/>
      </c>
      <c r="W139" s="101" t="str">
        <f>IF(Results!$I139&lt;&gt;"",(HLOOKUP(Table13[[#This Row],[Units]],'Emission Inputs (Optional)'!$L$10:$R$27,MATCH(Table13[[#This Row],[Energy Source]],'Emission Inputs (Optional)'!$L$10:$L$27,0),FALSE))*(Table13[[#This Row],[Annual Consumption (Baseline)]]-Table13[[#This Row],[Energy Savings]]),"")</f>
        <v/>
      </c>
      <c r="X139" s="13" t="str">
        <f>IFERROR(VLOOKUP(B139,'Emission Inputs (Optional)'!$G$9:$J$191,4,FALSE),"")</f>
        <v/>
      </c>
      <c r="Y139" s="95" t="str">
        <f>IF(Results!$W139&lt;&gt;"",Results!$W139,IF(X139&lt;&gt;"",(H139-X139),""))</f>
        <v/>
      </c>
      <c r="Z139" s="95" t="str">
        <f t="shared" si="5"/>
        <v/>
      </c>
      <c r="AA139" s="89" t="str">
        <f>IF(Results!$U139="","",IF(U139&lt;&gt;"",U139,0)/SUM(Results!$U$7:$U$189))</f>
        <v/>
      </c>
      <c r="AB139" s="8"/>
      <c r="AC139" s="8"/>
      <c r="AD139" s="8"/>
      <c r="AE139" s="8"/>
      <c r="AF139" s="8"/>
      <c r="AG139" s="8"/>
      <c r="AH139" s="8"/>
      <c r="AI139" s="8"/>
      <c r="AJ139" s="8"/>
      <c r="AK139" s="8"/>
      <c r="AL139" s="8"/>
      <c r="AM139" s="8"/>
      <c r="AN139" s="8"/>
      <c r="AO139" s="8"/>
      <c r="AP139" s="8"/>
      <c r="AQ139" s="8"/>
      <c r="AR139" s="8"/>
      <c r="AS139" s="8"/>
      <c r="AT139" s="8"/>
    </row>
    <row r="140" spans="1:46" x14ac:dyDescent="0.2">
      <c r="A140" s="55" t="str">
        <f>IF(B140&lt;&gt;"",COUNTA($B$7:B140),"")</f>
        <v/>
      </c>
      <c r="B140" s="83"/>
      <c r="C140" s="83"/>
      <c r="D140" s="83" t="str">
        <f>IF(Table13[[#This Row],[Energy Source]]="","",Table13[[#This Row],[Energy Source]])</f>
        <v/>
      </c>
      <c r="E140" s="83" t="str">
        <f>IF(Table13[[#This Row],[Units]]="", "", Table13[[#This Row],[Units]])</f>
        <v/>
      </c>
      <c r="F140" s="83" t="str">
        <f>IF(Table13[[#This Row],[Annual Consumption (Baseline)]]="", "", Table13[[#This Row],[Annual Consumption (Baseline)]])</f>
        <v/>
      </c>
      <c r="G140" s="83" t="str">
        <f>IF(F140="", "", IF(Results!$C140="Energy", VLOOKUP(Results!$E140,'Emission Inputs (Optional)'!$T$10:$U$27,2,FALSE)*Table13[[#This Row],[Energy Savings]], ""))</f>
        <v/>
      </c>
      <c r="H140" s="13" t="str">
        <f>IFERROR(VLOOKUP(B140,'Emission Inputs (Optional)'!$G$9:$I$191,3,FALSE),"")</f>
        <v/>
      </c>
      <c r="I140" s="13" t="str">
        <f>IF(Results!$C140="Energy", VLOOKUP(Results!$E140,'Emission Inputs (Optional)'!$T$10:$U$27,2,FALSE)*Results!$F140, "")</f>
        <v/>
      </c>
      <c r="J140" s="13" t="str">
        <f>IF(Results!$I140&lt;&gt;"",Results!$I140*0.293071,"")</f>
        <v/>
      </c>
      <c r="K140" s="84" t="str">
        <f>IF(Results!$I140&lt;&gt;"",Results!$I140/SUM($I$7:$I$189),"")</f>
        <v/>
      </c>
      <c r="L140" s="13" t="str">
        <f>IF(Results!$F140&lt;&gt;"",I140-G140,"")</f>
        <v/>
      </c>
      <c r="M140" s="13" t="str">
        <f>IF(Results!$L140&lt;&gt;"",Results!$L140*0.293071,"")</f>
        <v/>
      </c>
      <c r="N140" s="84" t="str">
        <f>IF(Results!$M140&lt;&gt;"",Results!$M140/SUM($M$7:$M$189),"")</f>
        <v/>
      </c>
      <c r="O140" s="85" t="str">
        <f>IF(Results!$C140="Energy", VLOOKUP(Results!$D140,'Energy Costs Inputs (Optional)'!$AS$3:$AU$20,2,FALSE)*Results!$I140, "")</f>
        <v/>
      </c>
      <c r="P140" s="84" t="str">
        <f>IF(Results!$O140&lt;&gt;"",Results!$O140/SUM($O$7:$O$189),"")</f>
        <v/>
      </c>
      <c r="Q140" s="85" t="str">
        <f>IF(Results!$C140="Energy", VLOOKUP(Results!$D140,'Energy Costs Inputs (Optional)'!$AS$3:$AU$20,2,FALSE)*Results!$L140, "")</f>
        <v/>
      </c>
      <c r="R140" s="84" t="str">
        <f>IF(Results!$Q140&lt;&gt;"",Results!$Q140/SUM($Q$7:$Q$189),"")</f>
        <v/>
      </c>
      <c r="S140" s="85" t="str">
        <f t="shared" si="4"/>
        <v/>
      </c>
      <c r="T140" s="13" t="str">
        <f>IF(Results!$I140&lt;&gt;"",(HLOOKUP(Table13[[#This Row],[Units]],'Emission Inputs (Optional)'!$L$10:$R$27,MATCH(Table13[[#This Row],[Energy Source]],'Emission Inputs (Optional)'!$L$10:$L$27,0),FALSE))*Table13[[#This Row],[Annual Consumption (Baseline)]],"")</f>
        <v/>
      </c>
      <c r="U140" s="13" t="str">
        <f>IF(Results!$T140&lt;&gt;"",Results!$T140,H140)</f>
        <v/>
      </c>
      <c r="V140" s="84" t="str">
        <f>IF(Results!$U140="","",IF(U140&lt;&gt;"",U140,0)/SUM(Results!$U$7:$U$189))</f>
        <v/>
      </c>
      <c r="W140" s="101" t="str">
        <f>IF(Results!$I140&lt;&gt;"",(HLOOKUP(Table13[[#This Row],[Units]],'Emission Inputs (Optional)'!$L$10:$R$27,MATCH(Table13[[#This Row],[Energy Source]],'Emission Inputs (Optional)'!$L$10:$L$27,0),FALSE))*(Table13[[#This Row],[Annual Consumption (Baseline)]]-Table13[[#This Row],[Energy Savings]]),"")</f>
        <v/>
      </c>
      <c r="X140" s="13" t="str">
        <f>IFERROR(VLOOKUP(B140,'Emission Inputs (Optional)'!$G$9:$J$191,4,FALSE),"")</f>
        <v/>
      </c>
      <c r="Y140" s="95" t="str">
        <f>IF(Results!$W140&lt;&gt;"",Results!$W140,IF(X140&lt;&gt;"",(H140-X140),""))</f>
        <v/>
      </c>
      <c r="Z140" s="95" t="str">
        <f t="shared" si="5"/>
        <v/>
      </c>
      <c r="AA140" s="89" t="str">
        <f>IF(Results!$U140="","",IF(U140&lt;&gt;"",U140,0)/SUM(Results!$U$7:$U$189))</f>
        <v/>
      </c>
      <c r="AB140" s="8"/>
      <c r="AC140" s="8"/>
      <c r="AD140" s="8"/>
      <c r="AE140" s="8"/>
      <c r="AF140" s="8"/>
      <c r="AG140" s="8"/>
      <c r="AH140" s="8"/>
      <c r="AI140" s="8"/>
      <c r="AJ140" s="8"/>
      <c r="AK140" s="8"/>
      <c r="AL140" s="8"/>
      <c r="AM140" s="8"/>
      <c r="AN140" s="8"/>
      <c r="AO140" s="8"/>
      <c r="AP140" s="8"/>
      <c r="AQ140" s="8"/>
      <c r="AR140" s="8"/>
      <c r="AS140" s="8"/>
      <c r="AT140" s="8"/>
    </row>
    <row r="141" spans="1:46" x14ac:dyDescent="0.2">
      <c r="A141" s="55" t="str">
        <f>IF(B141&lt;&gt;"",COUNTA($B$7:B141),"")</f>
        <v/>
      </c>
      <c r="B141" s="83"/>
      <c r="C141" s="83"/>
      <c r="D141" s="83" t="str">
        <f>IF(Table13[[#This Row],[Energy Source]]="","",Table13[[#This Row],[Energy Source]])</f>
        <v/>
      </c>
      <c r="E141" s="83" t="str">
        <f>IF(Table13[[#This Row],[Units]]="", "", Table13[[#This Row],[Units]])</f>
        <v/>
      </c>
      <c r="F141" s="83" t="str">
        <f>IF(Table13[[#This Row],[Annual Consumption (Baseline)]]="", "", Table13[[#This Row],[Annual Consumption (Baseline)]])</f>
        <v/>
      </c>
      <c r="G141" s="83" t="str">
        <f>IF(F141="", "", IF(Results!$C141="Energy", VLOOKUP(Results!$E141,'Emission Inputs (Optional)'!$T$10:$U$27,2,FALSE)*Table13[[#This Row],[Energy Savings]], ""))</f>
        <v/>
      </c>
      <c r="H141" s="13" t="str">
        <f>IFERROR(VLOOKUP(B141,'Emission Inputs (Optional)'!$G$9:$I$191,3,FALSE),"")</f>
        <v/>
      </c>
      <c r="I141" s="13" t="str">
        <f>IF(Results!$C141="Energy", VLOOKUP(Results!$E141,'Emission Inputs (Optional)'!$T$10:$U$27,2,FALSE)*Results!$F141, "")</f>
        <v/>
      </c>
      <c r="J141" s="13" t="str">
        <f>IF(Results!$I141&lt;&gt;"",Results!$I141*0.293071,"")</f>
        <v/>
      </c>
      <c r="K141" s="84" t="str">
        <f>IF(Results!$I141&lt;&gt;"",Results!$I141/SUM($I$7:$I$189),"")</f>
        <v/>
      </c>
      <c r="L141" s="13" t="str">
        <f>IF(Results!$F141&lt;&gt;"",I141-G141,"")</f>
        <v/>
      </c>
      <c r="M141" s="13" t="str">
        <f>IF(Results!$L141&lt;&gt;"",Results!$L141*0.293071,"")</f>
        <v/>
      </c>
      <c r="N141" s="84" t="str">
        <f>IF(Results!$M141&lt;&gt;"",Results!$M141/SUM($M$7:$M$189),"")</f>
        <v/>
      </c>
      <c r="O141" s="85" t="str">
        <f>IF(Results!$C141="Energy", VLOOKUP(Results!$D141,'Energy Costs Inputs (Optional)'!$AS$3:$AU$20,2,FALSE)*Results!$I141, "")</f>
        <v/>
      </c>
      <c r="P141" s="84" t="str">
        <f>IF(Results!$O141&lt;&gt;"",Results!$O141/SUM($O$7:$O$189),"")</f>
        <v/>
      </c>
      <c r="Q141" s="85" t="str">
        <f>IF(Results!$C141="Energy", VLOOKUP(Results!$D141,'Energy Costs Inputs (Optional)'!$AS$3:$AU$20,2,FALSE)*Results!$L141, "")</f>
        <v/>
      </c>
      <c r="R141" s="84" t="str">
        <f>IF(Results!$Q141&lt;&gt;"",Results!$Q141/SUM($Q$7:$Q$189),"")</f>
        <v/>
      </c>
      <c r="S141" s="85" t="str">
        <f t="shared" si="4"/>
        <v/>
      </c>
      <c r="T141" s="13" t="str">
        <f>IF(Results!$I141&lt;&gt;"",(HLOOKUP(Table13[[#This Row],[Units]],'Emission Inputs (Optional)'!$L$10:$R$27,MATCH(Table13[[#This Row],[Energy Source]],'Emission Inputs (Optional)'!$L$10:$L$27,0),FALSE))*Table13[[#This Row],[Annual Consumption (Baseline)]],"")</f>
        <v/>
      </c>
      <c r="U141" s="13" t="str">
        <f>IF(Results!$T141&lt;&gt;"",Results!$T141,H141)</f>
        <v/>
      </c>
      <c r="V141" s="84" t="str">
        <f>IF(Results!$U141="","",IF(U141&lt;&gt;"",U141,0)/SUM(Results!$U$7:$U$189))</f>
        <v/>
      </c>
      <c r="W141" s="101" t="str">
        <f>IF(Results!$I141&lt;&gt;"",(HLOOKUP(Table13[[#This Row],[Units]],'Emission Inputs (Optional)'!$L$10:$R$27,MATCH(Table13[[#This Row],[Energy Source]],'Emission Inputs (Optional)'!$L$10:$L$27,0),FALSE))*(Table13[[#This Row],[Annual Consumption (Baseline)]]-Table13[[#This Row],[Energy Savings]]),"")</f>
        <v/>
      </c>
      <c r="X141" s="13" t="str">
        <f>IFERROR(VLOOKUP(B141,'Emission Inputs (Optional)'!$G$9:$J$191,4,FALSE),"")</f>
        <v/>
      </c>
      <c r="Y141" s="95" t="str">
        <f>IF(Results!$W141&lt;&gt;"",Results!$W141,IF(X141&lt;&gt;"",(H141-X141),""))</f>
        <v/>
      </c>
      <c r="Z141" s="95" t="str">
        <f t="shared" si="5"/>
        <v/>
      </c>
      <c r="AA141" s="89" t="str">
        <f>IF(Results!$U141="","",IF(U141&lt;&gt;"",U141,0)/SUM(Results!$U$7:$U$189))</f>
        <v/>
      </c>
      <c r="AB141" s="8"/>
      <c r="AC141" s="8"/>
      <c r="AD141" s="8"/>
      <c r="AE141" s="8"/>
      <c r="AF141" s="8"/>
      <c r="AG141" s="8"/>
      <c r="AH141" s="8"/>
      <c r="AI141" s="8"/>
      <c r="AJ141" s="8"/>
      <c r="AK141" s="8"/>
      <c r="AL141" s="8"/>
      <c r="AM141" s="8"/>
      <c r="AN141" s="8"/>
      <c r="AO141" s="8"/>
      <c r="AP141" s="8"/>
      <c r="AQ141" s="8"/>
      <c r="AR141" s="8"/>
      <c r="AS141" s="8"/>
      <c r="AT141" s="8"/>
    </row>
    <row r="142" spans="1:46" x14ac:dyDescent="0.2">
      <c r="A142" s="55" t="str">
        <f>IF(B142&lt;&gt;"",COUNTA($B$7:B142),"")</f>
        <v/>
      </c>
      <c r="B142" s="83"/>
      <c r="C142" s="83"/>
      <c r="D142" s="83" t="str">
        <f>IF(Table13[[#This Row],[Energy Source]]="","",Table13[[#This Row],[Energy Source]])</f>
        <v/>
      </c>
      <c r="E142" s="83" t="str">
        <f>IF(Table13[[#This Row],[Units]]="", "", Table13[[#This Row],[Units]])</f>
        <v/>
      </c>
      <c r="F142" s="83" t="str">
        <f>IF(Table13[[#This Row],[Annual Consumption (Baseline)]]="", "", Table13[[#This Row],[Annual Consumption (Baseline)]])</f>
        <v/>
      </c>
      <c r="G142" s="83" t="str">
        <f>IF(F142="", "", IF(Results!$C142="Energy", VLOOKUP(Results!$E142,'Emission Inputs (Optional)'!$T$10:$U$27,2,FALSE)*Table13[[#This Row],[Energy Savings]], ""))</f>
        <v/>
      </c>
      <c r="H142" s="13" t="str">
        <f>IFERROR(VLOOKUP(B142,'Emission Inputs (Optional)'!$G$9:$I$191,3,FALSE),"")</f>
        <v/>
      </c>
      <c r="I142" s="13" t="str">
        <f>IF(Results!$C142="Energy", VLOOKUP(Results!$E142,'Emission Inputs (Optional)'!$T$10:$U$27,2,FALSE)*Results!$F142, "")</f>
        <v/>
      </c>
      <c r="J142" s="13" t="str">
        <f>IF(Results!$I142&lt;&gt;"",Results!$I142*0.293071,"")</f>
        <v/>
      </c>
      <c r="K142" s="84" t="str">
        <f>IF(Results!$I142&lt;&gt;"",Results!$I142/SUM($I$7:$I$189),"")</f>
        <v/>
      </c>
      <c r="L142" s="13" t="str">
        <f>IF(Results!$F142&lt;&gt;"",I142-G142,"")</f>
        <v/>
      </c>
      <c r="M142" s="13" t="str">
        <f>IF(Results!$L142&lt;&gt;"",Results!$L142*0.293071,"")</f>
        <v/>
      </c>
      <c r="N142" s="84" t="str">
        <f>IF(Results!$M142&lt;&gt;"",Results!$M142/SUM($M$7:$M$189),"")</f>
        <v/>
      </c>
      <c r="O142" s="85" t="str">
        <f>IF(Results!$C142="Energy", VLOOKUP(Results!$D142,'Energy Costs Inputs (Optional)'!$AS$3:$AU$20,2,FALSE)*Results!$I142, "")</f>
        <v/>
      </c>
      <c r="P142" s="84" t="str">
        <f>IF(Results!$O142&lt;&gt;"",Results!$O142/SUM($O$7:$O$189),"")</f>
        <v/>
      </c>
      <c r="Q142" s="85" t="str">
        <f>IF(Results!$C142="Energy", VLOOKUP(Results!$D142,'Energy Costs Inputs (Optional)'!$AS$3:$AU$20,2,FALSE)*Results!$L142, "")</f>
        <v/>
      </c>
      <c r="R142" s="84" t="str">
        <f>IF(Results!$Q142&lt;&gt;"",Results!$Q142/SUM($Q$7:$Q$189),"")</f>
        <v/>
      </c>
      <c r="S142" s="85" t="str">
        <f t="shared" si="4"/>
        <v/>
      </c>
      <c r="T142" s="13" t="str">
        <f>IF(Results!$I142&lt;&gt;"",(HLOOKUP(Table13[[#This Row],[Units]],'Emission Inputs (Optional)'!$L$10:$R$27,MATCH(Table13[[#This Row],[Energy Source]],'Emission Inputs (Optional)'!$L$10:$L$27,0),FALSE))*Table13[[#This Row],[Annual Consumption (Baseline)]],"")</f>
        <v/>
      </c>
      <c r="U142" s="13" t="str">
        <f>IF(Results!$T142&lt;&gt;"",Results!$T142,H142)</f>
        <v/>
      </c>
      <c r="V142" s="84" t="str">
        <f>IF(Results!$U142="","",IF(U142&lt;&gt;"",U142,0)/SUM(Results!$U$7:$U$189))</f>
        <v/>
      </c>
      <c r="W142" s="101" t="str">
        <f>IF(Results!$I142&lt;&gt;"",(HLOOKUP(Table13[[#This Row],[Units]],'Emission Inputs (Optional)'!$L$10:$R$27,MATCH(Table13[[#This Row],[Energy Source]],'Emission Inputs (Optional)'!$L$10:$L$27,0),FALSE))*(Table13[[#This Row],[Annual Consumption (Baseline)]]-Table13[[#This Row],[Energy Savings]]),"")</f>
        <v/>
      </c>
      <c r="X142" s="13" t="str">
        <f>IFERROR(VLOOKUP(B142,'Emission Inputs (Optional)'!$G$9:$J$191,4,FALSE),"")</f>
        <v/>
      </c>
      <c r="Y142" s="95" t="str">
        <f>IF(Results!$W142&lt;&gt;"",Results!$W142,IF(X142&lt;&gt;"",(H142-X142),""))</f>
        <v/>
      </c>
      <c r="Z142" s="95" t="str">
        <f t="shared" si="5"/>
        <v/>
      </c>
      <c r="AA142" s="89" t="str">
        <f>IF(Results!$U142="","",IF(U142&lt;&gt;"",U142,0)/SUM(Results!$U$7:$U$189))</f>
        <v/>
      </c>
      <c r="AB142" s="8"/>
      <c r="AC142" s="8"/>
      <c r="AD142" s="8"/>
      <c r="AE142" s="8"/>
      <c r="AF142" s="8"/>
      <c r="AG142" s="8"/>
      <c r="AH142" s="8"/>
      <c r="AI142" s="8"/>
      <c r="AJ142" s="8"/>
      <c r="AK142" s="8"/>
      <c r="AL142" s="8"/>
      <c r="AM142" s="8"/>
      <c r="AN142" s="8"/>
      <c r="AO142" s="8"/>
      <c r="AP142" s="8"/>
      <c r="AQ142" s="8"/>
      <c r="AR142" s="8"/>
      <c r="AS142" s="8"/>
      <c r="AT142" s="8"/>
    </row>
    <row r="143" spans="1:46" x14ac:dyDescent="0.2">
      <c r="A143" s="55" t="str">
        <f>IF(B143&lt;&gt;"",COUNTA($B$7:B143),"")</f>
        <v/>
      </c>
      <c r="B143" s="83"/>
      <c r="C143" s="83"/>
      <c r="D143" s="83" t="str">
        <f>IF(Table13[[#This Row],[Energy Source]]="","",Table13[[#This Row],[Energy Source]])</f>
        <v/>
      </c>
      <c r="E143" s="83" t="str">
        <f>IF(Table13[[#This Row],[Units]]="", "", Table13[[#This Row],[Units]])</f>
        <v/>
      </c>
      <c r="F143" s="83" t="str">
        <f>IF(Table13[[#This Row],[Annual Consumption (Baseline)]]="", "", Table13[[#This Row],[Annual Consumption (Baseline)]])</f>
        <v/>
      </c>
      <c r="G143" s="83" t="str">
        <f>IF(F143="", "", IF(Results!$C143="Energy", VLOOKUP(Results!$E143,'Emission Inputs (Optional)'!$T$10:$U$27,2,FALSE)*Table13[[#This Row],[Energy Savings]], ""))</f>
        <v/>
      </c>
      <c r="H143" s="13" t="str">
        <f>IFERROR(VLOOKUP(B143,'Emission Inputs (Optional)'!$G$9:$I$191,3,FALSE),"")</f>
        <v/>
      </c>
      <c r="I143" s="13" t="str">
        <f>IF(Results!$C143="Energy", VLOOKUP(Results!$E143,'Emission Inputs (Optional)'!$T$10:$U$27,2,FALSE)*Results!$F143, "")</f>
        <v/>
      </c>
      <c r="J143" s="13" t="str">
        <f>IF(Results!$I143&lt;&gt;"",Results!$I143*0.293071,"")</f>
        <v/>
      </c>
      <c r="K143" s="84" t="str">
        <f>IF(Results!$I143&lt;&gt;"",Results!$I143/SUM($I$7:$I$189),"")</f>
        <v/>
      </c>
      <c r="L143" s="13" t="str">
        <f>IF(Results!$F143&lt;&gt;"",I143-G143,"")</f>
        <v/>
      </c>
      <c r="M143" s="13" t="str">
        <f>IF(Results!$L143&lt;&gt;"",Results!$L143*0.293071,"")</f>
        <v/>
      </c>
      <c r="N143" s="84" t="str">
        <f>IF(Results!$M143&lt;&gt;"",Results!$M143/SUM($M$7:$M$189),"")</f>
        <v/>
      </c>
      <c r="O143" s="85" t="str">
        <f>IF(Results!$C143="Energy", VLOOKUP(Results!$D143,'Energy Costs Inputs (Optional)'!$AS$3:$AU$20,2,FALSE)*Results!$I143, "")</f>
        <v/>
      </c>
      <c r="P143" s="84" t="str">
        <f>IF(Results!$O143&lt;&gt;"",Results!$O143/SUM($O$7:$O$189),"")</f>
        <v/>
      </c>
      <c r="Q143" s="85" t="str">
        <f>IF(Results!$C143="Energy", VLOOKUP(Results!$D143,'Energy Costs Inputs (Optional)'!$AS$3:$AU$20,2,FALSE)*Results!$L143, "")</f>
        <v/>
      </c>
      <c r="R143" s="84" t="str">
        <f>IF(Results!$Q143&lt;&gt;"",Results!$Q143/SUM($Q$7:$Q$189),"")</f>
        <v/>
      </c>
      <c r="S143" s="85" t="str">
        <f t="shared" si="4"/>
        <v/>
      </c>
      <c r="T143" s="13" t="str">
        <f>IF(Results!$I143&lt;&gt;"",(HLOOKUP(Table13[[#This Row],[Units]],'Emission Inputs (Optional)'!$L$10:$R$27,MATCH(Table13[[#This Row],[Energy Source]],'Emission Inputs (Optional)'!$L$10:$L$27,0),FALSE))*Table13[[#This Row],[Annual Consumption (Baseline)]],"")</f>
        <v/>
      </c>
      <c r="U143" s="13" t="str">
        <f>IF(Results!$T143&lt;&gt;"",Results!$T143,H143)</f>
        <v/>
      </c>
      <c r="V143" s="84" t="str">
        <f>IF(Results!$U143="","",IF(U143&lt;&gt;"",U143,0)/SUM(Results!$U$7:$U$189))</f>
        <v/>
      </c>
      <c r="W143" s="101" t="str">
        <f>IF(Results!$I143&lt;&gt;"",(HLOOKUP(Table13[[#This Row],[Units]],'Emission Inputs (Optional)'!$L$10:$R$27,MATCH(Table13[[#This Row],[Energy Source]],'Emission Inputs (Optional)'!$L$10:$L$27,0),FALSE))*(Table13[[#This Row],[Annual Consumption (Baseline)]]-Table13[[#This Row],[Energy Savings]]),"")</f>
        <v/>
      </c>
      <c r="X143" s="13" t="str">
        <f>IFERROR(VLOOKUP(B143,'Emission Inputs (Optional)'!$G$9:$J$191,4,FALSE),"")</f>
        <v/>
      </c>
      <c r="Y143" s="95" t="str">
        <f>IF(Results!$W143&lt;&gt;"",Results!$W143,IF(X143&lt;&gt;"",(H143-X143),""))</f>
        <v/>
      </c>
      <c r="Z143" s="95" t="str">
        <f t="shared" si="5"/>
        <v/>
      </c>
      <c r="AA143" s="89" t="str">
        <f>IF(Results!$U143="","",IF(U143&lt;&gt;"",U143,0)/SUM(Results!$U$7:$U$189))</f>
        <v/>
      </c>
      <c r="AB143" s="8"/>
      <c r="AC143" s="8"/>
      <c r="AD143" s="8"/>
      <c r="AE143" s="8"/>
      <c r="AF143" s="8"/>
      <c r="AG143" s="8"/>
      <c r="AH143" s="8"/>
      <c r="AI143" s="8"/>
      <c r="AJ143" s="8"/>
      <c r="AK143" s="8"/>
      <c r="AL143" s="8"/>
      <c r="AM143" s="8"/>
      <c r="AN143" s="8"/>
      <c r="AO143" s="8"/>
      <c r="AP143" s="8"/>
      <c r="AQ143" s="8"/>
      <c r="AR143" s="8"/>
      <c r="AS143" s="8"/>
      <c r="AT143" s="8"/>
    </row>
    <row r="144" spans="1:46" x14ac:dyDescent="0.2">
      <c r="A144" s="55" t="str">
        <f>IF(B144&lt;&gt;"",COUNTA($B$7:B144),"")</f>
        <v/>
      </c>
      <c r="B144" s="83"/>
      <c r="C144" s="83"/>
      <c r="D144" s="83" t="str">
        <f>IF(Table13[[#This Row],[Energy Source]]="","",Table13[[#This Row],[Energy Source]])</f>
        <v/>
      </c>
      <c r="E144" s="83" t="str">
        <f>IF(Table13[[#This Row],[Units]]="", "", Table13[[#This Row],[Units]])</f>
        <v/>
      </c>
      <c r="F144" s="83" t="str">
        <f>IF(Table13[[#This Row],[Annual Consumption (Baseline)]]="", "", Table13[[#This Row],[Annual Consumption (Baseline)]])</f>
        <v/>
      </c>
      <c r="G144" s="83" t="str">
        <f>IF(F144="", "", IF(Results!$C144="Energy", VLOOKUP(Results!$E144,'Emission Inputs (Optional)'!$T$10:$U$27,2,FALSE)*Table13[[#This Row],[Energy Savings]], ""))</f>
        <v/>
      </c>
      <c r="H144" s="13" t="str">
        <f>IFERROR(VLOOKUP(B144,'Emission Inputs (Optional)'!$G$9:$I$191,3,FALSE),"")</f>
        <v/>
      </c>
      <c r="I144" s="13" t="str">
        <f>IF(Results!$C144="Energy", VLOOKUP(Results!$E144,'Emission Inputs (Optional)'!$T$10:$U$27,2,FALSE)*Results!$F144, "")</f>
        <v/>
      </c>
      <c r="J144" s="13" t="str">
        <f>IF(Results!$I144&lt;&gt;"",Results!$I144*0.293071,"")</f>
        <v/>
      </c>
      <c r="K144" s="84" t="str">
        <f>IF(Results!$I144&lt;&gt;"",Results!$I144/SUM($I$7:$I$189),"")</f>
        <v/>
      </c>
      <c r="L144" s="13" t="str">
        <f>IF(Results!$F144&lt;&gt;"",I144-G144,"")</f>
        <v/>
      </c>
      <c r="M144" s="13" t="str">
        <f>IF(Results!$L144&lt;&gt;"",Results!$L144*0.293071,"")</f>
        <v/>
      </c>
      <c r="N144" s="84" t="str">
        <f>IF(Results!$M144&lt;&gt;"",Results!$M144/SUM($M$7:$M$189),"")</f>
        <v/>
      </c>
      <c r="O144" s="85" t="str">
        <f>IF(Results!$C144="Energy", VLOOKUP(Results!$D144,'Energy Costs Inputs (Optional)'!$AS$3:$AU$20,2,FALSE)*Results!$I144, "")</f>
        <v/>
      </c>
      <c r="P144" s="84" t="str">
        <f>IF(Results!$O144&lt;&gt;"",Results!$O144/SUM($O$7:$O$189),"")</f>
        <v/>
      </c>
      <c r="Q144" s="85" t="str">
        <f>IF(Results!$C144="Energy", VLOOKUP(Results!$D144,'Energy Costs Inputs (Optional)'!$AS$3:$AU$20,2,FALSE)*Results!$L144, "")</f>
        <v/>
      </c>
      <c r="R144" s="84" t="str">
        <f>IF(Results!$Q144&lt;&gt;"",Results!$Q144/SUM($Q$7:$Q$189),"")</f>
        <v/>
      </c>
      <c r="S144" s="85" t="str">
        <f t="shared" si="4"/>
        <v/>
      </c>
      <c r="T144" s="13" t="str">
        <f>IF(Results!$I144&lt;&gt;"",(HLOOKUP(Table13[[#This Row],[Units]],'Emission Inputs (Optional)'!$L$10:$R$27,MATCH(Table13[[#This Row],[Energy Source]],'Emission Inputs (Optional)'!$L$10:$L$27,0),FALSE))*Table13[[#This Row],[Annual Consumption (Baseline)]],"")</f>
        <v/>
      </c>
      <c r="U144" s="13" t="str">
        <f>IF(Results!$T144&lt;&gt;"",Results!$T144,H144)</f>
        <v/>
      </c>
      <c r="V144" s="84" t="str">
        <f>IF(Results!$U144="","",IF(U144&lt;&gt;"",U144,0)/SUM(Results!$U$7:$U$189))</f>
        <v/>
      </c>
      <c r="W144" s="101" t="str">
        <f>IF(Results!$I144&lt;&gt;"",(HLOOKUP(Table13[[#This Row],[Units]],'Emission Inputs (Optional)'!$L$10:$R$27,MATCH(Table13[[#This Row],[Energy Source]],'Emission Inputs (Optional)'!$L$10:$L$27,0),FALSE))*(Table13[[#This Row],[Annual Consumption (Baseline)]]-Table13[[#This Row],[Energy Savings]]),"")</f>
        <v/>
      </c>
      <c r="X144" s="13" t="str">
        <f>IFERROR(VLOOKUP(B144,'Emission Inputs (Optional)'!$G$9:$J$191,4,FALSE),"")</f>
        <v/>
      </c>
      <c r="Y144" s="95" t="str">
        <f>IF(Results!$W144&lt;&gt;"",Results!$W144,IF(X144&lt;&gt;"",(H144-X144),""))</f>
        <v/>
      </c>
      <c r="Z144" s="95" t="str">
        <f t="shared" si="5"/>
        <v/>
      </c>
      <c r="AA144" s="89" t="str">
        <f>IF(Results!$U144="","",IF(U144&lt;&gt;"",U144,0)/SUM(Results!$U$7:$U$189))</f>
        <v/>
      </c>
      <c r="AB144" s="8"/>
      <c r="AC144" s="8"/>
      <c r="AD144" s="8"/>
      <c r="AE144" s="8"/>
      <c r="AF144" s="8"/>
      <c r="AG144" s="8"/>
      <c r="AH144" s="8"/>
      <c r="AI144" s="8"/>
      <c r="AJ144" s="8"/>
      <c r="AK144" s="8"/>
      <c r="AL144" s="8"/>
      <c r="AM144" s="8"/>
      <c r="AN144" s="8"/>
      <c r="AO144" s="8"/>
      <c r="AP144" s="8"/>
      <c r="AQ144" s="8"/>
      <c r="AR144" s="8"/>
      <c r="AS144" s="8"/>
      <c r="AT144" s="8"/>
    </row>
    <row r="145" spans="1:46" x14ac:dyDescent="0.2">
      <c r="A145" s="55" t="str">
        <f>IF(B145&lt;&gt;"",COUNTA($B$7:B145),"")</f>
        <v/>
      </c>
      <c r="B145" s="83"/>
      <c r="C145" s="83"/>
      <c r="D145" s="83" t="str">
        <f>IF(Table13[[#This Row],[Energy Source]]="","",Table13[[#This Row],[Energy Source]])</f>
        <v/>
      </c>
      <c r="E145" s="83" t="str">
        <f>IF(Table13[[#This Row],[Units]]="", "", Table13[[#This Row],[Units]])</f>
        <v/>
      </c>
      <c r="F145" s="83" t="str">
        <f>IF(Table13[[#This Row],[Annual Consumption (Baseline)]]="", "", Table13[[#This Row],[Annual Consumption (Baseline)]])</f>
        <v/>
      </c>
      <c r="G145" s="83" t="str">
        <f>IF(F145="", "", IF(Results!$C145="Energy", VLOOKUP(Results!$E145,'Emission Inputs (Optional)'!$T$10:$U$27,2,FALSE)*Table13[[#This Row],[Energy Savings]], ""))</f>
        <v/>
      </c>
      <c r="H145" s="13" t="str">
        <f>IFERROR(VLOOKUP(B145,'Emission Inputs (Optional)'!$G$9:$I$191,3,FALSE),"")</f>
        <v/>
      </c>
      <c r="I145" s="13" t="str">
        <f>IF(Results!$C145="Energy", VLOOKUP(Results!$E145,'Emission Inputs (Optional)'!$T$10:$U$27,2,FALSE)*Results!$F145, "")</f>
        <v/>
      </c>
      <c r="J145" s="13" t="str">
        <f>IF(Results!$I145&lt;&gt;"",Results!$I145*0.293071,"")</f>
        <v/>
      </c>
      <c r="K145" s="84" t="str">
        <f>IF(Results!$I145&lt;&gt;"",Results!$I145/SUM($I$7:$I$189),"")</f>
        <v/>
      </c>
      <c r="L145" s="13" t="str">
        <f>IF(Results!$F145&lt;&gt;"",I145-G145,"")</f>
        <v/>
      </c>
      <c r="M145" s="13" t="str">
        <f>IF(Results!$L145&lt;&gt;"",Results!$L145*0.293071,"")</f>
        <v/>
      </c>
      <c r="N145" s="84" t="str">
        <f>IF(Results!$M145&lt;&gt;"",Results!$M145/SUM($M$7:$M$189),"")</f>
        <v/>
      </c>
      <c r="O145" s="85" t="str">
        <f>IF(Results!$C145="Energy", VLOOKUP(Results!$D145,'Energy Costs Inputs (Optional)'!$AS$3:$AU$20,2,FALSE)*Results!$I145, "")</f>
        <v/>
      </c>
      <c r="P145" s="84" t="str">
        <f>IF(Results!$O145&lt;&gt;"",Results!$O145/SUM($O$7:$O$189),"")</f>
        <v/>
      </c>
      <c r="Q145" s="85" t="str">
        <f>IF(Results!$C145="Energy", VLOOKUP(Results!$D145,'Energy Costs Inputs (Optional)'!$AS$3:$AU$20,2,FALSE)*Results!$L145, "")</f>
        <v/>
      </c>
      <c r="R145" s="84" t="str">
        <f>IF(Results!$Q145&lt;&gt;"",Results!$Q145/SUM($Q$7:$Q$189),"")</f>
        <v/>
      </c>
      <c r="S145" s="85" t="str">
        <f t="shared" si="4"/>
        <v/>
      </c>
      <c r="T145" s="13" t="str">
        <f>IF(Results!$I145&lt;&gt;"",(HLOOKUP(Table13[[#This Row],[Units]],'Emission Inputs (Optional)'!$L$10:$R$27,MATCH(Table13[[#This Row],[Energy Source]],'Emission Inputs (Optional)'!$L$10:$L$27,0),FALSE))*Table13[[#This Row],[Annual Consumption (Baseline)]],"")</f>
        <v/>
      </c>
      <c r="U145" s="13" t="str">
        <f>IF(Results!$T145&lt;&gt;"",Results!$T145,H145)</f>
        <v/>
      </c>
      <c r="V145" s="84" t="str">
        <f>IF(Results!$U145="","",IF(U145&lt;&gt;"",U145,0)/SUM(Results!$U$7:$U$189))</f>
        <v/>
      </c>
      <c r="W145" s="101" t="str">
        <f>IF(Results!$I145&lt;&gt;"",(HLOOKUP(Table13[[#This Row],[Units]],'Emission Inputs (Optional)'!$L$10:$R$27,MATCH(Table13[[#This Row],[Energy Source]],'Emission Inputs (Optional)'!$L$10:$L$27,0),FALSE))*(Table13[[#This Row],[Annual Consumption (Baseline)]]-Table13[[#This Row],[Energy Savings]]),"")</f>
        <v/>
      </c>
      <c r="X145" s="13" t="str">
        <f>IFERROR(VLOOKUP(B145,'Emission Inputs (Optional)'!$G$9:$J$191,4,FALSE),"")</f>
        <v/>
      </c>
      <c r="Y145" s="95" t="str">
        <f>IF(Results!$W145&lt;&gt;"",Results!$W145,IF(X145&lt;&gt;"",(H145-X145),""))</f>
        <v/>
      </c>
      <c r="Z145" s="95" t="str">
        <f t="shared" si="5"/>
        <v/>
      </c>
      <c r="AA145" s="89" t="str">
        <f>IF(Results!$U145="","",IF(U145&lt;&gt;"",U145,0)/SUM(Results!$U$7:$U$189))</f>
        <v/>
      </c>
      <c r="AB145" s="8"/>
      <c r="AC145" s="8"/>
      <c r="AD145" s="8"/>
      <c r="AE145" s="8"/>
      <c r="AF145" s="8"/>
      <c r="AG145" s="8"/>
      <c r="AH145" s="8"/>
      <c r="AI145" s="8"/>
      <c r="AJ145" s="8"/>
      <c r="AK145" s="8"/>
      <c r="AL145" s="8"/>
      <c r="AM145" s="8"/>
      <c r="AN145" s="8"/>
      <c r="AO145" s="8"/>
      <c r="AP145" s="8"/>
      <c r="AQ145" s="8"/>
      <c r="AR145" s="8"/>
      <c r="AS145" s="8"/>
      <c r="AT145" s="8"/>
    </row>
    <row r="146" spans="1:46" x14ac:dyDescent="0.2">
      <c r="A146" s="55" t="str">
        <f>IF(B146&lt;&gt;"",COUNTA($B$7:B146),"")</f>
        <v/>
      </c>
      <c r="B146" s="83"/>
      <c r="C146" s="83"/>
      <c r="D146" s="83" t="str">
        <f>IF(Table13[[#This Row],[Energy Source]]="","",Table13[[#This Row],[Energy Source]])</f>
        <v/>
      </c>
      <c r="E146" s="83" t="str">
        <f>IF(Table13[[#This Row],[Units]]="", "", Table13[[#This Row],[Units]])</f>
        <v/>
      </c>
      <c r="F146" s="83" t="str">
        <f>IF(Table13[[#This Row],[Annual Consumption (Baseline)]]="", "", Table13[[#This Row],[Annual Consumption (Baseline)]])</f>
        <v/>
      </c>
      <c r="G146" s="83" t="str">
        <f>IF(F146="", "", IF(Results!$C146="Energy", VLOOKUP(Results!$E146,'Emission Inputs (Optional)'!$T$10:$U$27,2,FALSE)*Table13[[#This Row],[Energy Savings]], ""))</f>
        <v/>
      </c>
      <c r="H146" s="13" t="str">
        <f>IFERROR(VLOOKUP(B146,'Emission Inputs (Optional)'!$G$9:$I$191,3,FALSE),"")</f>
        <v/>
      </c>
      <c r="I146" s="13" t="str">
        <f>IF(Results!$C146="Energy", VLOOKUP(Results!$E146,'Emission Inputs (Optional)'!$T$10:$U$27,2,FALSE)*Results!$F146, "")</f>
        <v/>
      </c>
      <c r="J146" s="13" t="str">
        <f>IF(Results!$I146&lt;&gt;"",Results!$I146*0.293071,"")</f>
        <v/>
      </c>
      <c r="K146" s="84" t="str">
        <f>IF(Results!$I146&lt;&gt;"",Results!$I146/SUM($I$7:$I$189),"")</f>
        <v/>
      </c>
      <c r="L146" s="13" t="str">
        <f>IF(Results!$F146&lt;&gt;"",I146-G146,"")</f>
        <v/>
      </c>
      <c r="M146" s="13" t="str">
        <f>IF(Results!$L146&lt;&gt;"",Results!$L146*0.293071,"")</f>
        <v/>
      </c>
      <c r="N146" s="84" t="str">
        <f>IF(Results!$M146&lt;&gt;"",Results!$M146/SUM($M$7:$M$189),"")</f>
        <v/>
      </c>
      <c r="O146" s="85" t="str">
        <f>IF(Results!$C146="Energy", VLOOKUP(Results!$D146,'Energy Costs Inputs (Optional)'!$AS$3:$AU$20,2,FALSE)*Results!$I146, "")</f>
        <v/>
      </c>
      <c r="P146" s="84" t="str">
        <f>IF(Results!$O146&lt;&gt;"",Results!$O146/SUM($O$7:$O$189),"")</f>
        <v/>
      </c>
      <c r="Q146" s="85" t="str">
        <f>IF(Results!$C146="Energy", VLOOKUP(Results!$D146,'Energy Costs Inputs (Optional)'!$AS$3:$AU$20,2,FALSE)*Results!$L146, "")</f>
        <v/>
      </c>
      <c r="R146" s="84" t="str">
        <f>IF(Results!$Q146&lt;&gt;"",Results!$Q146/SUM($Q$7:$Q$189),"")</f>
        <v/>
      </c>
      <c r="S146" s="85" t="str">
        <f t="shared" si="4"/>
        <v/>
      </c>
      <c r="T146" s="13" t="str">
        <f>IF(Results!$I146&lt;&gt;"",(HLOOKUP(Table13[[#This Row],[Units]],'Emission Inputs (Optional)'!$L$10:$R$27,MATCH(Table13[[#This Row],[Energy Source]],'Emission Inputs (Optional)'!$L$10:$L$27,0),FALSE))*Table13[[#This Row],[Annual Consumption (Baseline)]],"")</f>
        <v/>
      </c>
      <c r="U146" s="13" t="str">
        <f>IF(Results!$T146&lt;&gt;"",Results!$T146,H146)</f>
        <v/>
      </c>
      <c r="V146" s="84" t="str">
        <f>IF(Results!$U146="","",IF(U146&lt;&gt;"",U146,0)/SUM(Results!$U$7:$U$189))</f>
        <v/>
      </c>
      <c r="W146" s="101" t="str">
        <f>IF(Results!$I146&lt;&gt;"",(HLOOKUP(Table13[[#This Row],[Units]],'Emission Inputs (Optional)'!$L$10:$R$27,MATCH(Table13[[#This Row],[Energy Source]],'Emission Inputs (Optional)'!$L$10:$L$27,0),FALSE))*(Table13[[#This Row],[Annual Consumption (Baseline)]]-Table13[[#This Row],[Energy Savings]]),"")</f>
        <v/>
      </c>
      <c r="X146" s="13" t="str">
        <f>IFERROR(VLOOKUP(B146,'Emission Inputs (Optional)'!$G$9:$J$191,4,FALSE),"")</f>
        <v/>
      </c>
      <c r="Y146" s="95" t="str">
        <f>IF(Results!$W146&lt;&gt;"",Results!$W146,IF(X146&lt;&gt;"",(H146-X146),""))</f>
        <v/>
      </c>
      <c r="Z146" s="95" t="str">
        <f t="shared" si="5"/>
        <v/>
      </c>
      <c r="AA146" s="89" t="str">
        <f>IF(Results!$U146="","",IF(U146&lt;&gt;"",U146,0)/SUM(Results!$U$7:$U$189))</f>
        <v/>
      </c>
      <c r="AB146" s="8"/>
      <c r="AC146" s="8"/>
      <c r="AD146" s="8"/>
      <c r="AE146" s="8"/>
      <c r="AF146" s="8"/>
      <c r="AG146" s="8"/>
      <c r="AH146" s="8"/>
      <c r="AI146" s="8"/>
      <c r="AJ146" s="8"/>
      <c r="AK146" s="8"/>
      <c r="AL146" s="8"/>
      <c r="AM146" s="8"/>
      <c r="AN146" s="8"/>
      <c r="AO146" s="8"/>
      <c r="AP146" s="8"/>
      <c r="AQ146" s="8"/>
      <c r="AR146" s="8"/>
      <c r="AS146" s="8"/>
      <c r="AT146" s="8"/>
    </row>
    <row r="147" spans="1:46" x14ac:dyDescent="0.2">
      <c r="A147" s="55" t="str">
        <f>IF(B147&lt;&gt;"",COUNTA($B$7:B147),"")</f>
        <v/>
      </c>
      <c r="B147" s="83"/>
      <c r="C147" s="83"/>
      <c r="D147" s="83" t="str">
        <f>IF(Table13[[#This Row],[Energy Source]]="","",Table13[[#This Row],[Energy Source]])</f>
        <v/>
      </c>
      <c r="E147" s="83" t="str">
        <f>IF(Table13[[#This Row],[Units]]="", "", Table13[[#This Row],[Units]])</f>
        <v/>
      </c>
      <c r="F147" s="83" t="str">
        <f>IF(Table13[[#This Row],[Annual Consumption (Baseline)]]="", "", Table13[[#This Row],[Annual Consumption (Baseline)]])</f>
        <v/>
      </c>
      <c r="G147" s="83" t="str">
        <f>IF(F147="", "", IF(Results!$C147="Energy", VLOOKUP(Results!$E147,'Emission Inputs (Optional)'!$T$10:$U$27,2,FALSE)*Table13[[#This Row],[Energy Savings]], ""))</f>
        <v/>
      </c>
      <c r="H147" s="13" t="str">
        <f>IFERROR(VLOOKUP(B147,'Emission Inputs (Optional)'!$G$9:$I$191,3,FALSE),"")</f>
        <v/>
      </c>
      <c r="I147" s="13" t="str">
        <f>IF(Results!$C147="Energy", VLOOKUP(Results!$E147,'Emission Inputs (Optional)'!$T$10:$U$27,2,FALSE)*Results!$F147, "")</f>
        <v/>
      </c>
      <c r="J147" s="13" t="str">
        <f>IF(Results!$I147&lt;&gt;"",Results!$I147*0.293071,"")</f>
        <v/>
      </c>
      <c r="K147" s="84" t="str">
        <f>IF(Results!$I147&lt;&gt;"",Results!$I147/SUM($I$7:$I$189),"")</f>
        <v/>
      </c>
      <c r="L147" s="13" t="str">
        <f>IF(Results!$F147&lt;&gt;"",I147-G147,"")</f>
        <v/>
      </c>
      <c r="M147" s="13" t="str">
        <f>IF(Results!$L147&lt;&gt;"",Results!$L147*0.293071,"")</f>
        <v/>
      </c>
      <c r="N147" s="84" t="str">
        <f>IF(Results!$M147&lt;&gt;"",Results!$M147/SUM($M$7:$M$189),"")</f>
        <v/>
      </c>
      <c r="O147" s="85" t="str">
        <f>IF(Results!$C147="Energy", VLOOKUP(Results!$D147,'Energy Costs Inputs (Optional)'!$AS$3:$AU$20,2,FALSE)*Results!$I147, "")</f>
        <v/>
      </c>
      <c r="P147" s="84" t="str">
        <f>IF(Results!$O147&lt;&gt;"",Results!$O147/SUM($O$7:$O$189),"")</f>
        <v/>
      </c>
      <c r="Q147" s="85" t="str">
        <f>IF(Results!$C147="Energy", VLOOKUP(Results!$D147,'Energy Costs Inputs (Optional)'!$AS$3:$AU$20,2,FALSE)*Results!$L147, "")</f>
        <v/>
      </c>
      <c r="R147" s="84" t="str">
        <f>IF(Results!$Q147&lt;&gt;"",Results!$Q147/SUM($Q$7:$Q$189),"")</f>
        <v/>
      </c>
      <c r="S147" s="85" t="str">
        <f t="shared" si="4"/>
        <v/>
      </c>
      <c r="T147" s="13" t="str">
        <f>IF(Results!$I147&lt;&gt;"",(HLOOKUP(Table13[[#This Row],[Units]],'Emission Inputs (Optional)'!$L$10:$R$27,MATCH(Table13[[#This Row],[Energy Source]],'Emission Inputs (Optional)'!$L$10:$L$27,0),FALSE))*Table13[[#This Row],[Annual Consumption (Baseline)]],"")</f>
        <v/>
      </c>
      <c r="U147" s="13" t="str">
        <f>IF(Results!$T147&lt;&gt;"",Results!$T147,H147)</f>
        <v/>
      </c>
      <c r="V147" s="84" t="str">
        <f>IF(Results!$U147="","",IF(U147&lt;&gt;"",U147,0)/SUM(Results!$U$7:$U$189))</f>
        <v/>
      </c>
      <c r="W147" s="101" t="str">
        <f>IF(Results!$I147&lt;&gt;"",(HLOOKUP(Table13[[#This Row],[Units]],'Emission Inputs (Optional)'!$L$10:$R$27,MATCH(Table13[[#This Row],[Energy Source]],'Emission Inputs (Optional)'!$L$10:$L$27,0),FALSE))*(Table13[[#This Row],[Annual Consumption (Baseline)]]-Table13[[#This Row],[Energy Savings]]),"")</f>
        <v/>
      </c>
      <c r="X147" s="13" t="str">
        <f>IFERROR(VLOOKUP(B147,'Emission Inputs (Optional)'!$G$9:$J$191,4,FALSE),"")</f>
        <v/>
      </c>
      <c r="Y147" s="95" t="str">
        <f>IF(Results!$W147&lt;&gt;"",Results!$W147,IF(X147&lt;&gt;"",(H147-X147),""))</f>
        <v/>
      </c>
      <c r="Z147" s="95" t="str">
        <f t="shared" si="5"/>
        <v/>
      </c>
      <c r="AA147" s="89" t="str">
        <f>IF(Results!$U147="","",IF(U147&lt;&gt;"",U147,0)/SUM(Results!$U$7:$U$189))</f>
        <v/>
      </c>
      <c r="AB147" s="8"/>
      <c r="AC147" s="8"/>
      <c r="AD147" s="8"/>
      <c r="AE147" s="8"/>
      <c r="AF147" s="8"/>
      <c r="AG147" s="8"/>
      <c r="AH147" s="8"/>
      <c r="AI147" s="8"/>
      <c r="AJ147" s="8"/>
      <c r="AK147" s="8"/>
      <c r="AL147" s="8"/>
      <c r="AM147" s="8"/>
      <c r="AN147" s="8"/>
      <c r="AO147" s="8"/>
      <c r="AP147" s="8"/>
      <c r="AQ147" s="8"/>
      <c r="AR147" s="8"/>
      <c r="AS147" s="8"/>
      <c r="AT147" s="8"/>
    </row>
    <row r="148" spans="1:46" x14ac:dyDescent="0.2">
      <c r="A148" s="55" t="str">
        <f>IF(B148&lt;&gt;"",COUNTA($B$7:B148),"")</f>
        <v/>
      </c>
      <c r="B148" s="83"/>
      <c r="C148" s="83"/>
      <c r="D148" s="83" t="str">
        <f>IF(Table13[[#This Row],[Energy Source]]="","",Table13[[#This Row],[Energy Source]])</f>
        <v/>
      </c>
      <c r="E148" s="83" t="str">
        <f>IF(Table13[[#This Row],[Units]]="", "", Table13[[#This Row],[Units]])</f>
        <v/>
      </c>
      <c r="F148" s="83" t="str">
        <f>IF(Table13[[#This Row],[Annual Consumption (Baseline)]]="", "", Table13[[#This Row],[Annual Consumption (Baseline)]])</f>
        <v/>
      </c>
      <c r="G148" s="83" t="str">
        <f>IF(F148="", "", IF(Results!$C148="Energy", VLOOKUP(Results!$E148,'Emission Inputs (Optional)'!$T$10:$U$27,2,FALSE)*Table13[[#This Row],[Energy Savings]], ""))</f>
        <v/>
      </c>
      <c r="H148" s="13" t="str">
        <f>IFERROR(VLOOKUP(B148,'Emission Inputs (Optional)'!$G$9:$I$191,3,FALSE),"")</f>
        <v/>
      </c>
      <c r="I148" s="13" t="str">
        <f>IF(Results!$C148="Energy", VLOOKUP(Results!$E148,'Emission Inputs (Optional)'!$T$10:$U$27,2,FALSE)*Results!$F148, "")</f>
        <v/>
      </c>
      <c r="J148" s="13" t="str">
        <f>IF(Results!$I148&lt;&gt;"",Results!$I148*0.293071,"")</f>
        <v/>
      </c>
      <c r="K148" s="84" t="str">
        <f>IF(Results!$I148&lt;&gt;"",Results!$I148/SUM($I$7:$I$189),"")</f>
        <v/>
      </c>
      <c r="L148" s="13" t="str">
        <f>IF(Results!$F148&lt;&gt;"",I148-G148,"")</f>
        <v/>
      </c>
      <c r="M148" s="13" t="str">
        <f>IF(Results!$L148&lt;&gt;"",Results!$L148*0.293071,"")</f>
        <v/>
      </c>
      <c r="N148" s="84" t="str">
        <f>IF(Results!$M148&lt;&gt;"",Results!$M148/SUM($M$7:$M$189),"")</f>
        <v/>
      </c>
      <c r="O148" s="85" t="str">
        <f>IF(Results!$C148="Energy", VLOOKUP(Results!$D148,'Energy Costs Inputs (Optional)'!$AS$3:$AU$20,2,FALSE)*Results!$I148, "")</f>
        <v/>
      </c>
      <c r="P148" s="84" t="str">
        <f>IF(Results!$O148&lt;&gt;"",Results!$O148/SUM($O$7:$O$189),"")</f>
        <v/>
      </c>
      <c r="Q148" s="85" t="str">
        <f>IF(Results!$C148="Energy", VLOOKUP(Results!$D148,'Energy Costs Inputs (Optional)'!$AS$3:$AU$20,2,FALSE)*Results!$L148, "")</f>
        <v/>
      </c>
      <c r="R148" s="84" t="str">
        <f>IF(Results!$Q148&lt;&gt;"",Results!$Q148/SUM($Q$7:$Q$189),"")</f>
        <v/>
      </c>
      <c r="S148" s="85" t="str">
        <f t="shared" si="4"/>
        <v/>
      </c>
      <c r="T148" s="13" t="str">
        <f>IF(Results!$I148&lt;&gt;"",(HLOOKUP(Table13[[#This Row],[Units]],'Emission Inputs (Optional)'!$L$10:$R$27,MATCH(Table13[[#This Row],[Energy Source]],'Emission Inputs (Optional)'!$L$10:$L$27,0),FALSE))*Table13[[#This Row],[Annual Consumption (Baseline)]],"")</f>
        <v/>
      </c>
      <c r="U148" s="13" t="str">
        <f>IF(Results!$T148&lt;&gt;"",Results!$T148,H148)</f>
        <v/>
      </c>
      <c r="V148" s="84" t="str">
        <f>IF(Results!$U148="","",IF(U148&lt;&gt;"",U148,0)/SUM(Results!$U$7:$U$189))</f>
        <v/>
      </c>
      <c r="W148" s="101" t="str">
        <f>IF(Results!$I148&lt;&gt;"",(HLOOKUP(Table13[[#This Row],[Units]],'Emission Inputs (Optional)'!$L$10:$R$27,MATCH(Table13[[#This Row],[Energy Source]],'Emission Inputs (Optional)'!$L$10:$L$27,0),FALSE))*(Table13[[#This Row],[Annual Consumption (Baseline)]]-Table13[[#This Row],[Energy Savings]]),"")</f>
        <v/>
      </c>
      <c r="X148" s="13" t="str">
        <f>IFERROR(VLOOKUP(B148,'Emission Inputs (Optional)'!$G$9:$J$191,4,FALSE),"")</f>
        <v/>
      </c>
      <c r="Y148" s="95" t="str">
        <f>IF(Results!$W148&lt;&gt;"",Results!$W148,IF(X148&lt;&gt;"",(H148-X148),""))</f>
        <v/>
      </c>
      <c r="Z148" s="95" t="str">
        <f t="shared" si="5"/>
        <v/>
      </c>
      <c r="AA148" s="89" t="str">
        <f>IF(Results!$U148="","",IF(U148&lt;&gt;"",U148,0)/SUM(Results!$U$7:$U$189))</f>
        <v/>
      </c>
      <c r="AB148" s="8"/>
      <c r="AC148" s="8"/>
      <c r="AD148" s="8"/>
      <c r="AE148" s="8"/>
      <c r="AF148" s="8"/>
      <c r="AG148" s="8"/>
      <c r="AH148" s="8"/>
      <c r="AI148" s="8"/>
      <c r="AJ148" s="8"/>
      <c r="AK148" s="8"/>
      <c r="AL148" s="8"/>
      <c r="AM148" s="8"/>
      <c r="AN148" s="8"/>
      <c r="AO148" s="8"/>
      <c r="AP148" s="8"/>
      <c r="AQ148" s="8"/>
      <c r="AR148" s="8"/>
      <c r="AS148" s="8"/>
      <c r="AT148" s="8"/>
    </row>
    <row r="149" spans="1:46" x14ac:dyDescent="0.2">
      <c r="A149" s="55" t="str">
        <f>IF(B149&lt;&gt;"",COUNTA($B$7:B149),"")</f>
        <v/>
      </c>
      <c r="B149" s="83"/>
      <c r="C149" s="83"/>
      <c r="D149" s="83" t="str">
        <f>IF(Table13[[#This Row],[Energy Source]]="","",Table13[[#This Row],[Energy Source]])</f>
        <v/>
      </c>
      <c r="E149" s="83" t="str">
        <f>IF(Table13[[#This Row],[Units]]="", "", Table13[[#This Row],[Units]])</f>
        <v/>
      </c>
      <c r="F149" s="83" t="str">
        <f>IF(Table13[[#This Row],[Annual Consumption (Baseline)]]="", "", Table13[[#This Row],[Annual Consumption (Baseline)]])</f>
        <v/>
      </c>
      <c r="G149" s="83" t="str">
        <f>IF(F149="", "", IF(Results!$C149="Energy", VLOOKUP(Results!$E149,'Emission Inputs (Optional)'!$T$10:$U$27,2,FALSE)*Table13[[#This Row],[Energy Savings]], ""))</f>
        <v/>
      </c>
      <c r="H149" s="13" t="str">
        <f>IFERROR(VLOOKUP(B149,'Emission Inputs (Optional)'!$G$9:$I$191,3,FALSE),"")</f>
        <v/>
      </c>
      <c r="I149" s="13" t="str">
        <f>IF(Results!$C149="Energy", VLOOKUP(Results!$E149,'Emission Inputs (Optional)'!$T$10:$U$27,2,FALSE)*Results!$F149, "")</f>
        <v/>
      </c>
      <c r="J149" s="13" t="str">
        <f>IF(Results!$I149&lt;&gt;"",Results!$I149*0.293071,"")</f>
        <v/>
      </c>
      <c r="K149" s="84" t="str">
        <f>IF(Results!$I149&lt;&gt;"",Results!$I149/SUM($I$7:$I$189),"")</f>
        <v/>
      </c>
      <c r="L149" s="13" t="str">
        <f>IF(Results!$F149&lt;&gt;"",I149-G149,"")</f>
        <v/>
      </c>
      <c r="M149" s="13" t="str">
        <f>IF(Results!$L149&lt;&gt;"",Results!$L149*0.293071,"")</f>
        <v/>
      </c>
      <c r="N149" s="84" t="str">
        <f>IF(Results!$M149&lt;&gt;"",Results!$M149/SUM($M$7:$M$189),"")</f>
        <v/>
      </c>
      <c r="O149" s="85" t="str">
        <f>IF(Results!$C149="Energy", VLOOKUP(Results!$D149,'Energy Costs Inputs (Optional)'!$AS$3:$AU$20,2,FALSE)*Results!$I149, "")</f>
        <v/>
      </c>
      <c r="P149" s="84" t="str">
        <f>IF(Results!$O149&lt;&gt;"",Results!$O149/SUM($O$7:$O$189),"")</f>
        <v/>
      </c>
      <c r="Q149" s="85" t="str">
        <f>IF(Results!$C149="Energy", VLOOKUP(Results!$D149,'Energy Costs Inputs (Optional)'!$AS$3:$AU$20,2,FALSE)*Results!$L149, "")</f>
        <v/>
      </c>
      <c r="R149" s="84" t="str">
        <f>IF(Results!$Q149&lt;&gt;"",Results!$Q149/SUM($Q$7:$Q$189),"")</f>
        <v/>
      </c>
      <c r="S149" s="85" t="str">
        <f t="shared" si="4"/>
        <v/>
      </c>
      <c r="T149" s="13" t="str">
        <f>IF(Results!$I149&lt;&gt;"",(HLOOKUP(Table13[[#This Row],[Units]],'Emission Inputs (Optional)'!$L$10:$R$27,MATCH(Table13[[#This Row],[Energy Source]],'Emission Inputs (Optional)'!$L$10:$L$27,0),FALSE))*Table13[[#This Row],[Annual Consumption (Baseline)]],"")</f>
        <v/>
      </c>
      <c r="U149" s="13" t="str">
        <f>IF(Results!$T149&lt;&gt;"",Results!$T149,H149)</f>
        <v/>
      </c>
      <c r="V149" s="84" t="str">
        <f>IF(Results!$U149="","",IF(U149&lt;&gt;"",U149,0)/SUM(Results!$U$7:$U$189))</f>
        <v/>
      </c>
      <c r="W149" s="101" t="str">
        <f>IF(Results!$I149&lt;&gt;"",(HLOOKUP(Table13[[#This Row],[Units]],'Emission Inputs (Optional)'!$L$10:$R$27,MATCH(Table13[[#This Row],[Energy Source]],'Emission Inputs (Optional)'!$L$10:$L$27,0),FALSE))*(Table13[[#This Row],[Annual Consumption (Baseline)]]-Table13[[#This Row],[Energy Savings]]),"")</f>
        <v/>
      </c>
      <c r="X149" s="13" t="str">
        <f>IFERROR(VLOOKUP(B149,'Emission Inputs (Optional)'!$G$9:$J$191,4,FALSE),"")</f>
        <v/>
      </c>
      <c r="Y149" s="95" t="str">
        <f>IF(Results!$W149&lt;&gt;"",Results!$W149,IF(X149&lt;&gt;"",(H149-X149),""))</f>
        <v/>
      </c>
      <c r="Z149" s="95" t="str">
        <f t="shared" si="5"/>
        <v/>
      </c>
      <c r="AA149" s="89" t="str">
        <f>IF(Results!$U149="","",IF(U149&lt;&gt;"",U149,0)/SUM(Results!$U$7:$U$189))</f>
        <v/>
      </c>
      <c r="AB149" s="8"/>
      <c r="AC149" s="8"/>
      <c r="AD149" s="8"/>
      <c r="AE149" s="8"/>
      <c r="AF149" s="8"/>
      <c r="AG149" s="8"/>
      <c r="AH149" s="8"/>
      <c r="AI149" s="8"/>
      <c r="AJ149" s="8"/>
      <c r="AK149" s="8"/>
      <c r="AL149" s="8"/>
      <c r="AM149" s="8"/>
      <c r="AN149" s="8"/>
      <c r="AO149" s="8"/>
      <c r="AP149" s="8"/>
      <c r="AQ149" s="8"/>
      <c r="AR149" s="8"/>
      <c r="AS149" s="8"/>
      <c r="AT149" s="8"/>
    </row>
    <row r="150" spans="1:46" x14ac:dyDescent="0.2">
      <c r="A150" s="55" t="str">
        <f>IF(B150&lt;&gt;"",COUNTA($B$7:B150),"")</f>
        <v/>
      </c>
      <c r="B150" s="83"/>
      <c r="C150" s="83"/>
      <c r="D150" s="83" t="str">
        <f>IF(Table13[[#This Row],[Energy Source]]="","",Table13[[#This Row],[Energy Source]])</f>
        <v/>
      </c>
      <c r="E150" s="83" t="str">
        <f>IF(Table13[[#This Row],[Units]]="", "", Table13[[#This Row],[Units]])</f>
        <v/>
      </c>
      <c r="F150" s="83" t="str">
        <f>IF(Table13[[#This Row],[Annual Consumption (Baseline)]]="", "", Table13[[#This Row],[Annual Consumption (Baseline)]])</f>
        <v/>
      </c>
      <c r="G150" s="83" t="str">
        <f>IF(F150="", "", IF(Results!$C150="Energy", VLOOKUP(Results!$E150,'Emission Inputs (Optional)'!$T$10:$U$27,2,FALSE)*Table13[[#This Row],[Energy Savings]], ""))</f>
        <v/>
      </c>
      <c r="H150" s="13" t="str">
        <f>IFERROR(VLOOKUP(B150,'Emission Inputs (Optional)'!$G$9:$I$191,3,FALSE),"")</f>
        <v/>
      </c>
      <c r="I150" s="13" t="str">
        <f>IF(Results!$C150="Energy", VLOOKUP(Results!$E150,'Emission Inputs (Optional)'!$T$10:$U$27,2,FALSE)*Results!$F150, "")</f>
        <v/>
      </c>
      <c r="J150" s="13" t="str">
        <f>IF(Results!$I150&lt;&gt;"",Results!$I150*0.293071,"")</f>
        <v/>
      </c>
      <c r="K150" s="84" t="str">
        <f>IF(Results!$I150&lt;&gt;"",Results!$I150/SUM($I$7:$I$189),"")</f>
        <v/>
      </c>
      <c r="L150" s="13" t="str">
        <f>IF(Results!$F150&lt;&gt;"",I150-G150,"")</f>
        <v/>
      </c>
      <c r="M150" s="13" t="str">
        <f>IF(Results!$L150&lt;&gt;"",Results!$L150*0.293071,"")</f>
        <v/>
      </c>
      <c r="N150" s="84" t="str">
        <f>IF(Results!$M150&lt;&gt;"",Results!$M150/SUM($M$7:$M$189),"")</f>
        <v/>
      </c>
      <c r="O150" s="85" t="str">
        <f>IF(Results!$C150="Energy", VLOOKUP(Results!$D150,'Energy Costs Inputs (Optional)'!$AS$3:$AU$20,2,FALSE)*Results!$I150, "")</f>
        <v/>
      </c>
      <c r="P150" s="84" t="str">
        <f>IF(Results!$O150&lt;&gt;"",Results!$O150/SUM($O$7:$O$189),"")</f>
        <v/>
      </c>
      <c r="Q150" s="85" t="str">
        <f>IF(Results!$C150="Energy", VLOOKUP(Results!$D150,'Energy Costs Inputs (Optional)'!$AS$3:$AU$20,2,FALSE)*Results!$L150, "")</f>
        <v/>
      </c>
      <c r="R150" s="84" t="str">
        <f>IF(Results!$Q150&lt;&gt;"",Results!$Q150/SUM($Q$7:$Q$189),"")</f>
        <v/>
      </c>
      <c r="S150" s="85" t="str">
        <f t="shared" si="4"/>
        <v/>
      </c>
      <c r="T150" s="13" t="str">
        <f>IF(Results!$I150&lt;&gt;"",(HLOOKUP(Table13[[#This Row],[Units]],'Emission Inputs (Optional)'!$L$10:$R$27,MATCH(Table13[[#This Row],[Energy Source]],'Emission Inputs (Optional)'!$L$10:$L$27,0),FALSE))*Table13[[#This Row],[Annual Consumption (Baseline)]],"")</f>
        <v/>
      </c>
      <c r="U150" s="13" t="str">
        <f>IF(Results!$T150&lt;&gt;"",Results!$T150,H150)</f>
        <v/>
      </c>
      <c r="V150" s="84" t="str">
        <f>IF(Results!$U150="","",IF(U150&lt;&gt;"",U150,0)/SUM(Results!$U$7:$U$189))</f>
        <v/>
      </c>
      <c r="W150" s="101" t="str">
        <f>IF(Results!$I150&lt;&gt;"",(HLOOKUP(Table13[[#This Row],[Units]],'Emission Inputs (Optional)'!$L$10:$R$27,MATCH(Table13[[#This Row],[Energy Source]],'Emission Inputs (Optional)'!$L$10:$L$27,0),FALSE))*(Table13[[#This Row],[Annual Consumption (Baseline)]]-Table13[[#This Row],[Energy Savings]]),"")</f>
        <v/>
      </c>
      <c r="X150" s="13" t="str">
        <f>IFERROR(VLOOKUP(B150,'Emission Inputs (Optional)'!$G$9:$J$191,4,FALSE),"")</f>
        <v/>
      </c>
      <c r="Y150" s="95" t="str">
        <f>IF(Results!$W150&lt;&gt;"",Results!$W150,IF(X150&lt;&gt;"",(H150-X150),""))</f>
        <v/>
      </c>
      <c r="Z150" s="95" t="str">
        <f t="shared" si="5"/>
        <v/>
      </c>
      <c r="AA150" s="89" t="str">
        <f>IF(Results!$U150="","",IF(U150&lt;&gt;"",U150,0)/SUM(Results!$U$7:$U$189))</f>
        <v/>
      </c>
      <c r="AB150" s="8"/>
      <c r="AC150" s="8"/>
      <c r="AD150" s="8"/>
      <c r="AE150" s="8"/>
      <c r="AF150" s="8"/>
      <c r="AG150" s="8"/>
      <c r="AH150" s="8"/>
      <c r="AI150" s="8"/>
      <c r="AJ150" s="8"/>
      <c r="AK150" s="8"/>
      <c r="AL150" s="8"/>
      <c r="AM150" s="8"/>
      <c r="AN150" s="8"/>
      <c r="AO150" s="8"/>
      <c r="AP150" s="8"/>
      <c r="AQ150" s="8"/>
      <c r="AR150" s="8"/>
      <c r="AS150" s="8"/>
      <c r="AT150" s="8"/>
    </row>
    <row r="151" spans="1:46" x14ac:dyDescent="0.2">
      <c r="A151" s="55" t="str">
        <f>IF(B151&lt;&gt;"",COUNTA($B$7:B151),"")</f>
        <v/>
      </c>
      <c r="B151" s="83"/>
      <c r="C151" s="83"/>
      <c r="D151" s="83" t="str">
        <f>IF(Table13[[#This Row],[Energy Source]]="","",Table13[[#This Row],[Energy Source]])</f>
        <v/>
      </c>
      <c r="E151" s="83" t="str">
        <f>IF(Table13[[#This Row],[Units]]="", "", Table13[[#This Row],[Units]])</f>
        <v/>
      </c>
      <c r="F151" s="83" t="str">
        <f>IF(Table13[[#This Row],[Annual Consumption (Baseline)]]="", "", Table13[[#This Row],[Annual Consumption (Baseline)]])</f>
        <v/>
      </c>
      <c r="G151" s="83" t="str">
        <f>IF(F151="", "", IF(Results!$C151="Energy", VLOOKUP(Results!$E151,'Emission Inputs (Optional)'!$T$10:$U$27,2,FALSE)*Table13[[#This Row],[Energy Savings]], ""))</f>
        <v/>
      </c>
      <c r="H151" s="13" t="str">
        <f>IFERROR(VLOOKUP(B151,'Emission Inputs (Optional)'!$G$9:$I$191,3,FALSE),"")</f>
        <v/>
      </c>
      <c r="I151" s="13" t="str">
        <f>IF(Results!$C151="Energy", VLOOKUP(Results!$E151,'Emission Inputs (Optional)'!$T$10:$U$27,2,FALSE)*Results!$F151, "")</f>
        <v/>
      </c>
      <c r="J151" s="13" t="str">
        <f>IF(Results!$I151&lt;&gt;"",Results!$I151*0.293071,"")</f>
        <v/>
      </c>
      <c r="K151" s="84" t="str">
        <f>IF(Results!$I151&lt;&gt;"",Results!$I151/SUM($I$7:$I$189),"")</f>
        <v/>
      </c>
      <c r="L151" s="13" t="str">
        <f>IF(Results!$F151&lt;&gt;"",I151-G151,"")</f>
        <v/>
      </c>
      <c r="M151" s="13" t="str">
        <f>IF(Results!$L151&lt;&gt;"",Results!$L151*0.293071,"")</f>
        <v/>
      </c>
      <c r="N151" s="84" t="str">
        <f>IF(Results!$M151&lt;&gt;"",Results!$M151/SUM($M$7:$M$189),"")</f>
        <v/>
      </c>
      <c r="O151" s="85" t="str">
        <f>IF(Results!$C151="Energy", VLOOKUP(Results!$D151,'Energy Costs Inputs (Optional)'!$AS$3:$AU$20,2,FALSE)*Results!$I151, "")</f>
        <v/>
      </c>
      <c r="P151" s="84" t="str">
        <f>IF(Results!$O151&lt;&gt;"",Results!$O151/SUM($O$7:$O$189),"")</f>
        <v/>
      </c>
      <c r="Q151" s="85" t="str">
        <f>IF(Results!$C151="Energy", VLOOKUP(Results!$D151,'Energy Costs Inputs (Optional)'!$AS$3:$AU$20,2,FALSE)*Results!$L151, "")</f>
        <v/>
      </c>
      <c r="R151" s="84" t="str">
        <f>IF(Results!$Q151&lt;&gt;"",Results!$Q151/SUM($Q$7:$Q$189),"")</f>
        <v/>
      </c>
      <c r="S151" s="85" t="str">
        <f t="shared" si="4"/>
        <v/>
      </c>
      <c r="T151" s="13" t="str">
        <f>IF(Results!$I151&lt;&gt;"",(HLOOKUP(Table13[[#This Row],[Units]],'Emission Inputs (Optional)'!$L$10:$R$27,MATCH(Table13[[#This Row],[Energy Source]],'Emission Inputs (Optional)'!$L$10:$L$27,0),FALSE))*Table13[[#This Row],[Annual Consumption (Baseline)]],"")</f>
        <v/>
      </c>
      <c r="U151" s="13" t="str">
        <f>IF(Results!$T151&lt;&gt;"",Results!$T151,H151)</f>
        <v/>
      </c>
      <c r="V151" s="84" t="str">
        <f>IF(Results!$U151="","",IF(U151&lt;&gt;"",U151,0)/SUM(Results!$U$7:$U$189))</f>
        <v/>
      </c>
      <c r="W151" s="101" t="str">
        <f>IF(Results!$I151&lt;&gt;"",(HLOOKUP(Table13[[#This Row],[Units]],'Emission Inputs (Optional)'!$L$10:$R$27,MATCH(Table13[[#This Row],[Energy Source]],'Emission Inputs (Optional)'!$L$10:$L$27,0),FALSE))*(Table13[[#This Row],[Annual Consumption (Baseline)]]-Table13[[#This Row],[Energy Savings]]),"")</f>
        <v/>
      </c>
      <c r="X151" s="13" t="str">
        <f>IFERROR(VLOOKUP(B151,'Emission Inputs (Optional)'!$G$9:$J$191,4,FALSE),"")</f>
        <v/>
      </c>
      <c r="Y151" s="95" t="str">
        <f>IF(Results!$W151&lt;&gt;"",Results!$W151,IF(X151&lt;&gt;"",(H151-X151),""))</f>
        <v/>
      </c>
      <c r="Z151" s="95" t="str">
        <f t="shared" si="5"/>
        <v/>
      </c>
      <c r="AA151" s="89" t="str">
        <f>IF(Results!$U151="","",IF(U151&lt;&gt;"",U151,0)/SUM(Results!$U$7:$U$189))</f>
        <v/>
      </c>
      <c r="AB151" s="8"/>
      <c r="AC151" s="8"/>
      <c r="AD151" s="8"/>
      <c r="AE151" s="8"/>
      <c r="AF151" s="8"/>
      <c r="AG151" s="8"/>
      <c r="AH151" s="8"/>
      <c r="AI151" s="8"/>
      <c r="AJ151" s="8"/>
      <c r="AK151" s="8"/>
      <c r="AL151" s="8"/>
      <c r="AM151" s="8"/>
      <c r="AN151" s="8"/>
      <c r="AO151" s="8"/>
      <c r="AP151" s="8"/>
      <c r="AQ151" s="8"/>
      <c r="AR151" s="8"/>
      <c r="AS151" s="8"/>
      <c r="AT151" s="8"/>
    </row>
    <row r="152" spans="1:46" x14ac:dyDescent="0.2">
      <c r="A152" s="55" t="str">
        <f>IF(B152&lt;&gt;"",COUNTA($B$7:B152),"")</f>
        <v/>
      </c>
      <c r="B152" s="83"/>
      <c r="C152" s="83"/>
      <c r="D152" s="83" t="str">
        <f>IF(Table13[[#This Row],[Energy Source]]="","",Table13[[#This Row],[Energy Source]])</f>
        <v/>
      </c>
      <c r="E152" s="83" t="str">
        <f>IF(Table13[[#This Row],[Units]]="", "", Table13[[#This Row],[Units]])</f>
        <v/>
      </c>
      <c r="F152" s="83" t="str">
        <f>IF(Table13[[#This Row],[Annual Consumption (Baseline)]]="", "", Table13[[#This Row],[Annual Consumption (Baseline)]])</f>
        <v/>
      </c>
      <c r="G152" s="83" t="str">
        <f>IF(F152="", "", IF(Results!$C152="Energy", VLOOKUP(Results!$E152,'Emission Inputs (Optional)'!$T$10:$U$27,2,FALSE)*Table13[[#This Row],[Energy Savings]], ""))</f>
        <v/>
      </c>
      <c r="H152" s="13" t="str">
        <f>IFERROR(VLOOKUP(B152,'Emission Inputs (Optional)'!$G$9:$I$191,3,FALSE),"")</f>
        <v/>
      </c>
      <c r="I152" s="13" t="str">
        <f>IF(Results!$C152="Energy", VLOOKUP(Results!$E152,'Emission Inputs (Optional)'!$T$10:$U$27,2,FALSE)*Results!$F152, "")</f>
        <v/>
      </c>
      <c r="J152" s="13" t="str">
        <f>IF(Results!$I152&lt;&gt;"",Results!$I152*0.293071,"")</f>
        <v/>
      </c>
      <c r="K152" s="84" t="str">
        <f>IF(Results!$I152&lt;&gt;"",Results!$I152/SUM($I$7:$I$189),"")</f>
        <v/>
      </c>
      <c r="L152" s="13" t="str">
        <f>IF(Results!$F152&lt;&gt;"",I152-G152,"")</f>
        <v/>
      </c>
      <c r="M152" s="13" t="str">
        <f>IF(Results!$L152&lt;&gt;"",Results!$L152*0.293071,"")</f>
        <v/>
      </c>
      <c r="N152" s="84" t="str">
        <f>IF(Results!$M152&lt;&gt;"",Results!$M152/SUM($M$7:$M$189),"")</f>
        <v/>
      </c>
      <c r="O152" s="85" t="str">
        <f>IF(Results!$C152="Energy", VLOOKUP(Results!$D152,'Energy Costs Inputs (Optional)'!$AS$3:$AU$20,2,FALSE)*Results!$I152, "")</f>
        <v/>
      </c>
      <c r="P152" s="84" t="str">
        <f>IF(Results!$O152&lt;&gt;"",Results!$O152/SUM($O$7:$O$189),"")</f>
        <v/>
      </c>
      <c r="Q152" s="85" t="str">
        <f>IF(Results!$C152="Energy", VLOOKUP(Results!$D152,'Energy Costs Inputs (Optional)'!$AS$3:$AU$20,2,FALSE)*Results!$L152, "")</f>
        <v/>
      </c>
      <c r="R152" s="84" t="str">
        <f>IF(Results!$Q152&lt;&gt;"",Results!$Q152/SUM($Q$7:$Q$189),"")</f>
        <v/>
      </c>
      <c r="S152" s="85" t="str">
        <f t="shared" si="4"/>
        <v/>
      </c>
      <c r="T152" s="13" t="str">
        <f>IF(Results!$I152&lt;&gt;"",(HLOOKUP(Table13[[#This Row],[Units]],'Emission Inputs (Optional)'!$L$10:$R$27,MATCH(Table13[[#This Row],[Energy Source]],'Emission Inputs (Optional)'!$L$10:$L$27,0),FALSE))*Table13[[#This Row],[Annual Consumption (Baseline)]],"")</f>
        <v/>
      </c>
      <c r="U152" s="13" t="str">
        <f>IF(Results!$T152&lt;&gt;"",Results!$T152,H152)</f>
        <v/>
      </c>
      <c r="V152" s="84" t="str">
        <f>IF(Results!$U152="","",IF(U152&lt;&gt;"",U152,0)/SUM(Results!$U$7:$U$189))</f>
        <v/>
      </c>
      <c r="W152" s="101" t="str">
        <f>IF(Results!$I152&lt;&gt;"",(HLOOKUP(Table13[[#This Row],[Units]],'Emission Inputs (Optional)'!$L$10:$R$27,MATCH(Table13[[#This Row],[Energy Source]],'Emission Inputs (Optional)'!$L$10:$L$27,0),FALSE))*(Table13[[#This Row],[Annual Consumption (Baseline)]]-Table13[[#This Row],[Energy Savings]]),"")</f>
        <v/>
      </c>
      <c r="X152" s="13" t="str">
        <f>IFERROR(VLOOKUP(B152,'Emission Inputs (Optional)'!$G$9:$J$191,4,FALSE),"")</f>
        <v/>
      </c>
      <c r="Y152" s="95" t="str">
        <f>IF(Results!$W152&lt;&gt;"",Results!$W152,IF(X152&lt;&gt;"",(H152-X152),""))</f>
        <v/>
      </c>
      <c r="Z152" s="95" t="str">
        <f t="shared" si="5"/>
        <v/>
      </c>
      <c r="AA152" s="89" t="str">
        <f>IF(Results!$U152="","",IF(U152&lt;&gt;"",U152,0)/SUM(Results!$U$7:$U$189))</f>
        <v/>
      </c>
      <c r="AB152" s="8"/>
      <c r="AC152" s="8"/>
      <c r="AD152" s="8"/>
      <c r="AE152" s="8"/>
      <c r="AF152" s="8"/>
      <c r="AG152" s="8"/>
      <c r="AH152" s="8"/>
      <c r="AI152" s="8"/>
      <c r="AJ152" s="8"/>
      <c r="AK152" s="8"/>
      <c r="AL152" s="8"/>
      <c r="AM152" s="8"/>
      <c r="AN152" s="8"/>
      <c r="AO152" s="8"/>
      <c r="AP152" s="8"/>
      <c r="AQ152" s="8"/>
      <c r="AR152" s="8"/>
      <c r="AS152" s="8"/>
      <c r="AT152" s="8"/>
    </row>
    <row r="153" spans="1:46" x14ac:dyDescent="0.2">
      <c r="A153" s="55" t="str">
        <f>IF(B153&lt;&gt;"",COUNTA($B$7:B153),"")</f>
        <v/>
      </c>
      <c r="B153" s="83"/>
      <c r="C153" s="83"/>
      <c r="D153" s="83" t="str">
        <f>IF(Table13[[#This Row],[Energy Source]]="","",Table13[[#This Row],[Energy Source]])</f>
        <v/>
      </c>
      <c r="E153" s="83" t="str">
        <f>IF(Table13[[#This Row],[Units]]="", "", Table13[[#This Row],[Units]])</f>
        <v/>
      </c>
      <c r="F153" s="83" t="str">
        <f>IF(Table13[[#This Row],[Annual Consumption (Baseline)]]="", "", Table13[[#This Row],[Annual Consumption (Baseline)]])</f>
        <v/>
      </c>
      <c r="G153" s="83" t="str">
        <f>IF(F153="", "", IF(Results!$C153="Energy", VLOOKUP(Results!$E153,'Emission Inputs (Optional)'!$T$10:$U$27,2,FALSE)*Table13[[#This Row],[Energy Savings]], ""))</f>
        <v/>
      </c>
      <c r="H153" s="13" t="str">
        <f>IFERROR(VLOOKUP(B153,'Emission Inputs (Optional)'!$G$9:$I$191,3,FALSE),"")</f>
        <v/>
      </c>
      <c r="I153" s="13" t="str">
        <f>IF(Results!$C153="Energy", VLOOKUP(Results!$E153,'Emission Inputs (Optional)'!$T$10:$U$27,2,FALSE)*Results!$F153, "")</f>
        <v/>
      </c>
      <c r="J153" s="13" t="str">
        <f>IF(Results!$I153&lt;&gt;"",Results!$I153*0.293071,"")</f>
        <v/>
      </c>
      <c r="K153" s="84" t="str">
        <f>IF(Results!$I153&lt;&gt;"",Results!$I153/SUM($I$7:$I$189),"")</f>
        <v/>
      </c>
      <c r="L153" s="13" t="str">
        <f>IF(Results!$F153&lt;&gt;"",I153-G153,"")</f>
        <v/>
      </c>
      <c r="M153" s="13" t="str">
        <f>IF(Results!$L153&lt;&gt;"",Results!$L153*0.293071,"")</f>
        <v/>
      </c>
      <c r="N153" s="84" t="str">
        <f>IF(Results!$M153&lt;&gt;"",Results!$M153/SUM($M$7:$M$189),"")</f>
        <v/>
      </c>
      <c r="O153" s="85" t="str">
        <f>IF(Results!$C153="Energy", VLOOKUP(Results!$D153,'Energy Costs Inputs (Optional)'!$AS$3:$AU$20,2,FALSE)*Results!$I153, "")</f>
        <v/>
      </c>
      <c r="P153" s="84" t="str">
        <f>IF(Results!$O153&lt;&gt;"",Results!$O153/SUM($O$7:$O$189),"")</f>
        <v/>
      </c>
      <c r="Q153" s="85" t="str">
        <f>IF(Results!$C153="Energy", VLOOKUP(Results!$D153,'Energy Costs Inputs (Optional)'!$AS$3:$AU$20,2,FALSE)*Results!$L153, "")</f>
        <v/>
      </c>
      <c r="R153" s="84" t="str">
        <f>IF(Results!$Q153&lt;&gt;"",Results!$Q153/SUM($Q$7:$Q$189),"")</f>
        <v/>
      </c>
      <c r="S153" s="85" t="str">
        <f t="shared" si="4"/>
        <v/>
      </c>
      <c r="T153" s="13" t="str">
        <f>IF(Results!$I153&lt;&gt;"",(HLOOKUP(Table13[[#This Row],[Units]],'Emission Inputs (Optional)'!$L$10:$R$27,MATCH(Table13[[#This Row],[Energy Source]],'Emission Inputs (Optional)'!$L$10:$L$27,0),FALSE))*Table13[[#This Row],[Annual Consumption (Baseline)]],"")</f>
        <v/>
      </c>
      <c r="U153" s="13" t="str">
        <f>IF(Results!$T153&lt;&gt;"",Results!$T153,H153)</f>
        <v/>
      </c>
      <c r="V153" s="84" t="str">
        <f>IF(Results!$U153="","",IF(U153&lt;&gt;"",U153,0)/SUM(Results!$U$7:$U$189))</f>
        <v/>
      </c>
      <c r="W153" s="101" t="str">
        <f>IF(Results!$I153&lt;&gt;"",(HLOOKUP(Table13[[#This Row],[Units]],'Emission Inputs (Optional)'!$L$10:$R$27,MATCH(Table13[[#This Row],[Energy Source]],'Emission Inputs (Optional)'!$L$10:$L$27,0),FALSE))*(Table13[[#This Row],[Annual Consumption (Baseline)]]-Table13[[#This Row],[Energy Savings]]),"")</f>
        <v/>
      </c>
      <c r="X153" s="13" t="str">
        <f>IFERROR(VLOOKUP(B153,'Emission Inputs (Optional)'!$G$9:$J$191,4,FALSE),"")</f>
        <v/>
      </c>
      <c r="Y153" s="95" t="str">
        <f>IF(Results!$W153&lt;&gt;"",Results!$W153,IF(X153&lt;&gt;"",(H153-X153),""))</f>
        <v/>
      </c>
      <c r="Z153" s="95" t="str">
        <f t="shared" si="5"/>
        <v/>
      </c>
      <c r="AA153" s="89" t="str">
        <f>IF(Results!$U153="","",IF(U153&lt;&gt;"",U153,0)/SUM(Results!$U$7:$U$189))</f>
        <v/>
      </c>
      <c r="AB153" s="8"/>
      <c r="AC153" s="8"/>
      <c r="AD153" s="8"/>
      <c r="AE153" s="8"/>
      <c r="AF153" s="8"/>
      <c r="AG153" s="8"/>
      <c r="AH153" s="8"/>
      <c r="AI153" s="8"/>
      <c r="AJ153" s="8"/>
      <c r="AK153" s="8"/>
      <c r="AL153" s="8"/>
      <c r="AM153" s="8"/>
      <c r="AN153" s="8"/>
      <c r="AO153" s="8"/>
      <c r="AP153" s="8"/>
      <c r="AQ153" s="8"/>
      <c r="AR153" s="8"/>
      <c r="AS153" s="8"/>
      <c r="AT153" s="8"/>
    </row>
    <row r="154" spans="1:46" x14ac:dyDescent="0.2">
      <c r="A154" s="55" t="str">
        <f>IF(B154&lt;&gt;"",COUNTA($B$7:B154),"")</f>
        <v/>
      </c>
      <c r="B154" s="83"/>
      <c r="C154" s="83"/>
      <c r="D154" s="83" t="str">
        <f>IF(Table13[[#This Row],[Energy Source]]="","",Table13[[#This Row],[Energy Source]])</f>
        <v/>
      </c>
      <c r="E154" s="83" t="str">
        <f>IF(Table13[[#This Row],[Units]]="", "", Table13[[#This Row],[Units]])</f>
        <v/>
      </c>
      <c r="F154" s="83" t="str">
        <f>IF(Table13[[#This Row],[Annual Consumption (Baseline)]]="", "", Table13[[#This Row],[Annual Consumption (Baseline)]])</f>
        <v/>
      </c>
      <c r="G154" s="83" t="str">
        <f>IF(F154="", "", IF(Results!$C154="Energy", VLOOKUP(Results!$E154,'Emission Inputs (Optional)'!$T$10:$U$27,2,FALSE)*Table13[[#This Row],[Energy Savings]], ""))</f>
        <v/>
      </c>
      <c r="H154" s="13" t="str">
        <f>IFERROR(VLOOKUP(B154,'Emission Inputs (Optional)'!$G$9:$I$191,3,FALSE),"")</f>
        <v/>
      </c>
      <c r="I154" s="13" t="str">
        <f>IF(Results!$C154="Energy", VLOOKUP(Results!$E154,'Emission Inputs (Optional)'!$T$10:$U$27,2,FALSE)*Results!$F154, "")</f>
        <v/>
      </c>
      <c r="J154" s="13" t="str">
        <f>IF(Results!$I154&lt;&gt;"",Results!$I154*0.293071,"")</f>
        <v/>
      </c>
      <c r="K154" s="84" t="str">
        <f>IF(Results!$I154&lt;&gt;"",Results!$I154/SUM($I$7:$I$189),"")</f>
        <v/>
      </c>
      <c r="L154" s="13" t="str">
        <f>IF(Results!$F154&lt;&gt;"",I154-G154,"")</f>
        <v/>
      </c>
      <c r="M154" s="13" t="str">
        <f>IF(Results!$L154&lt;&gt;"",Results!$L154*0.293071,"")</f>
        <v/>
      </c>
      <c r="N154" s="84" t="str">
        <f>IF(Results!$M154&lt;&gt;"",Results!$M154/SUM($M$7:$M$189),"")</f>
        <v/>
      </c>
      <c r="O154" s="85" t="str">
        <f>IF(Results!$C154="Energy", VLOOKUP(Results!$D154,'Energy Costs Inputs (Optional)'!$AS$3:$AU$20,2,FALSE)*Results!$I154, "")</f>
        <v/>
      </c>
      <c r="P154" s="84" t="str">
        <f>IF(Results!$O154&lt;&gt;"",Results!$O154/SUM($O$7:$O$189),"")</f>
        <v/>
      </c>
      <c r="Q154" s="85" t="str">
        <f>IF(Results!$C154="Energy", VLOOKUP(Results!$D154,'Energy Costs Inputs (Optional)'!$AS$3:$AU$20,2,FALSE)*Results!$L154, "")</f>
        <v/>
      </c>
      <c r="R154" s="84" t="str">
        <f>IF(Results!$Q154&lt;&gt;"",Results!$Q154/SUM($Q$7:$Q$189),"")</f>
        <v/>
      </c>
      <c r="S154" s="85" t="str">
        <f t="shared" si="4"/>
        <v/>
      </c>
      <c r="T154" s="13" t="str">
        <f>IF(Results!$I154&lt;&gt;"",(HLOOKUP(Table13[[#This Row],[Units]],'Emission Inputs (Optional)'!$L$10:$R$27,MATCH(Table13[[#This Row],[Energy Source]],'Emission Inputs (Optional)'!$L$10:$L$27,0),FALSE))*Table13[[#This Row],[Annual Consumption (Baseline)]],"")</f>
        <v/>
      </c>
      <c r="U154" s="13" t="str">
        <f>IF(Results!$T154&lt;&gt;"",Results!$T154,H154)</f>
        <v/>
      </c>
      <c r="V154" s="84" t="str">
        <f>IF(Results!$U154="","",IF(U154&lt;&gt;"",U154,0)/SUM(Results!$U$7:$U$189))</f>
        <v/>
      </c>
      <c r="W154" s="101" t="str">
        <f>IF(Results!$I154&lt;&gt;"",(HLOOKUP(Table13[[#This Row],[Units]],'Emission Inputs (Optional)'!$L$10:$R$27,MATCH(Table13[[#This Row],[Energy Source]],'Emission Inputs (Optional)'!$L$10:$L$27,0),FALSE))*(Table13[[#This Row],[Annual Consumption (Baseline)]]-Table13[[#This Row],[Energy Savings]]),"")</f>
        <v/>
      </c>
      <c r="X154" s="13" t="str">
        <f>IFERROR(VLOOKUP(B154,'Emission Inputs (Optional)'!$G$9:$J$191,4,FALSE),"")</f>
        <v/>
      </c>
      <c r="Y154" s="95" t="str">
        <f>IF(Results!$W154&lt;&gt;"",Results!$W154,IF(X154&lt;&gt;"",(H154-X154),""))</f>
        <v/>
      </c>
      <c r="Z154" s="95" t="str">
        <f t="shared" si="5"/>
        <v/>
      </c>
      <c r="AA154" s="89" t="str">
        <f>IF(Results!$U154="","",IF(U154&lt;&gt;"",U154,0)/SUM(Results!$U$7:$U$189))</f>
        <v/>
      </c>
      <c r="AB154" s="8"/>
      <c r="AC154" s="8"/>
      <c r="AD154" s="8"/>
      <c r="AE154" s="8"/>
      <c r="AF154" s="8"/>
      <c r="AG154" s="8"/>
      <c r="AH154" s="8"/>
      <c r="AI154" s="8"/>
      <c r="AJ154" s="8"/>
      <c r="AK154" s="8"/>
      <c r="AL154" s="8"/>
      <c r="AM154" s="8"/>
      <c r="AN154" s="8"/>
      <c r="AO154" s="8"/>
      <c r="AP154" s="8"/>
      <c r="AQ154" s="8"/>
      <c r="AR154" s="8"/>
      <c r="AS154" s="8"/>
      <c r="AT154" s="8"/>
    </row>
    <row r="155" spans="1:46" x14ac:dyDescent="0.2">
      <c r="A155" s="55" t="str">
        <f>IF(B155&lt;&gt;"",COUNTA($B$7:B155),"")</f>
        <v/>
      </c>
      <c r="B155" s="83"/>
      <c r="C155" s="83"/>
      <c r="D155" s="83" t="str">
        <f>IF(Table13[[#This Row],[Energy Source]]="","",Table13[[#This Row],[Energy Source]])</f>
        <v/>
      </c>
      <c r="E155" s="83" t="str">
        <f>IF(Table13[[#This Row],[Units]]="", "", Table13[[#This Row],[Units]])</f>
        <v/>
      </c>
      <c r="F155" s="83" t="str">
        <f>IF(Table13[[#This Row],[Annual Consumption (Baseline)]]="", "", Table13[[#This Row],[Annual Consumption (Baseline)]])</f>
        <v/>
      </c>
      <c r="G155" s="83" t="str">
        <f>IF(F155="", "", IF(Results!$C155="Energy", VLOOKUP(Results!$E155,'Emission Inputs (Optional)'!$T$10:$U$27,2,FALSE)*Table13[[#This Row],[Energy Savings]], ""))</f>
        <v/>
      </c>
      <c r="H155" s="13" t="str">
        <f>IFERROR(VLOOKUP(B155,'Emission Inputs (Optional)'!$G$9:$I$191,3,FALSE),"")</f>
        <v/>
      </c>
      <c r="I155" s="13" t="str">
        <f>IF(Results!$C155="Energy", VLOOKUP(Results!$E155,'Emission Inputs (Optional)'!$T$10:$U$27,2,FALSE)*Results!$F155, "")</f>
        <v/>
      </c>
      <c r="J155" s="13" t="str">
        <f>IF(Results!$I155&lt;&gt;"",Results!$I155*0.293071,"")</f>
        <v/>
      </c>
      <c r="K155" s="84" t="str">
        <f>IF(Results!$I155&lt;&gt;"",Results!$I155/SUM($I$7:$I$189),"")</f>
        <v/>
      </c>
      <c r="L155" s="13" t="str">
        <f>IF(Results!$F155&lt;&gt;"",I155-G155,"")</f>
        <v/>
      </c>
      <c r="M155" s="13" t="str">
        <f>IF(Results!$L155&lt;&gt;"",Results!$L155*0.293071,"")</f>
        <v/>
      </c>
      <c r="N155" s="84" t="str">
        <f>IF(Results!$M155&lt;&gt;"",Results!$M155/SUM($M$7:$M$189),"")</f>
        <v/>
      </c>
      <c r="O155" s="85" t="str">
        <f>IF(Results!$C155="Energy", VLOOKUP(Results!$D155,'Energy Costs Inputs (Optional)'!$AS$3:$AU$20,2,FALSE)*Results!$I155, "")</f>
        <v/>
      </c>
      <c r="P155" s="84" t="str">
        <f>IF(Results!$O155&lt;&gt;"",Results!$O155/SUM($O$7:$O$189),"")</f>
        <v/>
      </c>
      <c r="Q155" s="85" t="str">
        <f>IF(Results!$C155="Energy", VLOOKUP(Results!$D155,'Energy Costs Inputs (Optional)'!$AS$3:$AU$20,2,FALSE)*Results!$L155, "")</f>
        <v/>
      </c>
      <c r="R155" s="84" t="str">
        <f>IF(Results!$Q155&lt;&gt;"",Results!$Q155/SUM($Q$7:$Q$189),"")</f>
        <v/>
      </c>
      <c r="S155" s="85" t="str">
        <f t="shared" si="4"/>
        <v/>
      </c>
      <c r="T155" s="13" t="str">
        <f>IF(Results!$I155&lt;&gt;"",(HLOOKUP(Table13[[#This Row],[Units]],'Emission Inputs (Optional)'!$L$10:$R$27,MATCH(Table13[[#This Row],[Energy Source]],'Emission Inputs (Optional)'!$L$10:$L$27,0),FALSE))*Table13[[#This Row],[Annual Consumption (Baseline)]],"")</f>
        <v/>
      </c>
      <c r="U155" s="13" t="str">
        <f>IF(Results!$T155&lt;&gt;"",Results!$T155,H155)</f>
        <v/>
      </c>
      <c r="V155" s="84" t="str">
        <f>IF(Results!$U155="","",IF(U155&lt;&gt;"",U155,0)/SUM(Results!$U$7:$U$189))</f>
        <v/>
      </c>
      <c r="W155" s="101" t="str">
        <f>IF(Results!$I155&lt;&gt;"",(HLOOKUP(Table13[[#This Row],[Units]],'Emission Inputs (Optional)'!$L$10:$R$27,MATCH(Table13[[#This Row],[Energy Source]],'Emission Inputs (Optional)'!$L$10:$L$27,0),FALSE))*(Table13[[#This Row],[Annual Consumption (Baseline)]]-Table13[[#This Row],[Energy Savings]]),"")</f>
        <v/>
      </c>
      <c r="X155" s="13" t="str">
        <f>IFERROR(VLOOKUP(B155,'Emission Inputs (Optional)'!$G$9:$J$191,4,FALSE),"")</f>
        <v/>
      </c>
      <c r="Y155" s="95" t="str">
        <f>IF(Results!$W155&lt;&gt;"",Results!$W155,IF(X155&lt;&gt;"",(H155-X155),""))</f>
        <v/>
      </c>
      <c r="Z155" s="95" t="str">
        <f t="shared" si="5"/>
        <v/>
      </c>
      <c r="AA155" s="89" t="str">
        <f>IF(Results!$U155="","",IF(U155&lt;&gt;"",U155,0)/SUM(Results!$U$7:$U$189))</f>
        <v/>
      </c>
      <c r="AB155" s="8"/>
      <c r="AC155" s="8"/>
      <c r="AD155" s="8"/>
      <c r="AE155" s="8"/>
      <c r="AF155" s="8"/>
      <c r="AG155" s="8"/>
      <c r="AH155" s="8"/>
      <c r="AI155" s="8"/>
      <c r="AJ155" s="8"/>
      <c r="AK155" s="8"/>
      <c r="AL155" s="8"/>
      <c r="AM155" s="8"/>
      <c r="AN155" s="8"/>
      <c r="AO155" s="8"/>
      <c r="AP155" s="8"/>
      <c r="AQ155" s="8"/>
      <c r="AR155" s="8"/>
      <c r="AS155" s="8"/>
      <c r="AT155" s="8"/>
    </row>
    <row r="156" spans="1:46" x14ac:dyDescent="0.2">
      <c r="A156" s="55" t="str">
        <f>IF(B156&lt;&gt;"",COUNTA($B$7:B156),"")</f>
        <v/>
      </c>
      <c r="B156" s="83"/>
      <c r="C156" s="83"/>
      <c r="D156" s="83" t="str">
        <f>IF(Table13[[#This Row],[Energy Source]]="","",Table13[[#This Row],[Energy Source]])</f>
        <v/>
      </c>
      <c r="E156" s="83" t="str">
        <f>IF(Table13[[#This Row],[Units]]="", "", Table13[[#This Row],[Units]])</f>
        <v/>
      </c>
      <c r="F156" s="83" t="str">
        <f>IF(Table13[[#This Row],[Annual Consumption (Baseline)]]="", "", Table13[[#This Row],[Annual Consumption (Baseline)]])</f>
        <v/>
      </c>
      <c r="G156" s="83" t="str">
        <f>IF(F156="", "", IF(Results!$C156="Energy", VLOOKUP(Results!$E156,'Emission Inputs (Optional)'!$T$10:$U$27,2,FALSE)*Table13[[#This Row],[Energy Savings]], ""))</f>
        <v/>
      </c>
      <c r="H156" s="13" t="str">
        <f>IFERROR(VLOOKUP(B156,'Emission Inputs (Optional)'!$G$9:$I$191,3,FALSE),"")</f>
        <v/>
      </c>
      <c r="I156" s="13" t="str">
        <f>IF(Results!$C156="Energy", VLOOKUP(Results!$E156,'Emission Inputs (Optional)'!$T$10:$U$27,2,FALSE)*Results!$F156, "")</f>
        <v/>
      </c>
      <c r="J156" s="13" t="str">
        <f>IF(Results!$I156&lt;&gt;"",Results!$I156*0.293071,"")</f>
        <v/>
      </c>
      <c r="K156" s="84" t="str">
        <f>IF(Results!$I156&lt;&gt;"",Results!$I156/SUM($I$7:$I$189),"")</f>
        <v/>
      </c>
      <c r="L156" s="13" t="str">
        <f>IF(Results!$F156&lt;&gt;"",I156-G156,"")</f>
        <v/>
      </c>
      <c r="M156" s="13" t="str">
        <f>IF(Results!$L156&lt;&gt;"",Results!$L156*0.293071,"")</f>
        <v/>
      </c>
      <c r="N156" s="84" t="str">
        <f>IF(Results!$M156&lt;&gt;"",Results!$M156/SUM($M$7:$M$189),"")</f>
        <v/>
      </c>
      <c r="O156" s="85" t="str">
        <f>IF(Results!$C156="Energy", VLOOKUP(Results!$D156,'Energy Costs Inputs (Optional)'!$AS$3:$AU$20,2,FALSE)*Results!$I156, "")</f>
        <v/>
      </c>
      <c r="P156" s="84" t="str">
        <f>IF(Results!$O156&lt;&gt;"",Results!$O156/SUM($O$7:$O$189),"")</f>
        <v/>
      </c>
      <c r="Q156" s="85" t="str">
        <f>IF(Results!$C156="Energy", VLOOKUP(Results!$D156,'Energy Costs Inputs (Optional)'!$AS$3:$AU$20,2,FALSE)*Results!$L156, "")</f>
        <v/>
      </c>
      <c r="R156" s="84" t="str">
        <f>IF(Results!$Q156&lt;&gt;"",Results!$Q156/SUM($Q$7:$Q$189),"")</f>
        <v/>
      </c>
      <c r="S156" s="85" t="str">
        <f t="shared" si="4"/>
        <v/>
      </c>
      <c r="T156" s="13" t="str">
        <f>IF(Results!$I156&lt;&gt;"",(HLOOKUP(Table13[[#This Row],[Units]],'Emission Inputs (Optional)'!$L$10:$R$27,MATCH(Table13[[#This Row],[Energy Source]],'Emission Inputs (Optional)'!$L$10:$L$27,0),FALSE))*Table13[[#This Row],[Annual Consumption (Baseline)]],"")</f>
        <v/>
      </c>
      <c r="U156" s="13" t="str">
        <f>IF(Results!$T156&lt;&gt;"",Results!$T156,H156)</f>
        <v/>
      </c>
      <c r="V156" s="84" t="str">
        <f>IF(Results!$U156="","",IF(U156&lt;&gt;"",U156,0)/SUM(Results!$U$7:$U$189))</f>
        <v/>
      </c>
      <c r="W156" s="101" t="str">
        <f>IF(Results!$I156&lt;&gt;"",(HLOOKUP(Table13[[#This Row],[Units]],'Emission Inputs (Optional)'!$L$10:$R$27,MATCH(Table13[[#This Row],[Energy Source]],'Emission Inputs (Optional)'!$L$10:$L$27,0),FALSE))*(Table13[[#This Row],[Annual Consumption (Baseline)]]-Table13[[#This Row],[Energy Savings]]),"")</f>
        <v/>
      </c>
      <c r="X156" s="13" t="str">
        <f>IFERROR(VLOOKUP(B156,'Emission Inputs (Optional)'!$G$9:$J$191,4,FALSE),"")</f>
        <v/>
      </c>
      <c r="Y156" s="95" t="str">
        <f>IF(Results!$W156&lt;&gt;"",Results!$W156,IF(X156&lt;&gt;"",(H156-X156),""))</f>
        <v/>
      </c>
      <c r="Z156" s="95" t="str">
        <f t="shared" si="5"/>
        <v/>
      </c>
      <c r="AA156" s="89" t="str">
        <f>IF(Results!$U156="","",IF(U156&lt;&gt;"",U156,0)/SUM(Results!$U$7:$U$189))</f>
        <v/>
      </c>
      <c r="AB156" s="8"/>
      <c r="AC156" s="8"/>
      <c r="AD156" s="8"/>
      <c r="AE156" s="8"/>
      <c r="AF156" s="8"/>
      <c r="AG156" s="8"/>
      <c r="AH156" s="8"/>
      <c r="AI156" s="8"/>
      <c r="AJ156" s="8"/>
      <c r="AK156" s="8"/>
      <c r="AL156" s="8"/>
      <c r="AM156" s="8"/>
      <c r="AN156" s="8"/>
      <c r="AO156" s="8"/>
      <c r="AP156" s="8"/>
      <c r="AQ156" s="8"/>
      <c r="AR156" s="8"/>
      <c r="AS156" s="8"/>
      <c r="AT156" s="8"/>
    </row>
    <row r="157" spans="1:46" x14ac:dyDescent="0.2">
      <c r="A157" s="55" t="str">
        <f>IF(B157&lt;&gt;"",COUNTA($B$7:B157),"")</f>
        <v/>
      </c>
      <c r="B157" s="83"/>
      <c r="C157" s="83"/>
      <c r="D157" s="83" t="str">
        <f>IF(Table13[[#This Row],[Energy Source]]="","",Table13[[#This Row],[Energy Source]])</f>
        <v/>
      </c>
      <c r="E157" s="83" t="str">
        <f>IF(Table13[[#This Row],[Units]]="", "", Table13[[#This Row],[Units]])</f>
        <v/>
      </c>
      <c r="F157" s="83" t="str">
        <f>IF(Table13[[#This Row],[Annual Consumption (Baseline)]]="", "", Table13[[#This Row],[Annual Consumption (Baseline)]])</f>
        <v/>
      </c>
      <c r="G157" s="83" t="str">
        <f>IF(F157="", "", IF(Results!$C157="Energy", VLOOKUP(Results!$E157,'Emission Inputs (Optional)'!$T$10:$U$27,2,FALSE)*Table13[[#This Row],[Energy Savings]], ""))</f>
        <v/>
      </c>
      <c r="H157" s="13" t="str">
        <f>IFERROR(VLOOKUP(B157,'Emission Inputs (Optional)'!$G$9:$I$191,3,FALSE),"")</f>
        <v/>
      </c>
      <c r="I157" s="13" t="str">
        <f>IF(Results!$C157="Energy", VLOOKUP(Results!$E157,'Emission Inputs (Optional)'!$T$10:$U$27,2,FALSE)*Results!$F157, "")</f>
        <v/>
      </c>
      <c r="J157" s="13" t="str">
        <f>IF(Results!$I157&lt;&gt;"",Results!$I157*0.293071,"")</f>
        <v/>
      </c>
      <c r="K157" s="84" t="str">
        <f>IF(Results!$I157&lt;&gt;"",Results!$I157/SUM($I$7:$I$189),"")</f>
        <v/>
      </c>
      <c r="L157" s="13" t="str">
        <f>IF(Results!$F157&lt;&gt;"",I157-G157,"")</f>
        <v/>
      </c>
      <c r="M157" s="13" t="str">
        <f>IF(Results!$L157&lt;&gt;"",Results!$L157*0.293071,"")</f>
        <v/>
      </c>
      <c r="N157" s="84" t="str">
        <f>IF(Results!$M157&lt;&gt;"",Results!$M157/SUM($M$7:$M$189),"")</f>
        <v/>
      </c>
      <c r="O157" s="85" t="str">
        <f>IF(Results!$C157="Energy", VLOOKUP(Results!$D157,'Energy Costs Inputs (Optional)'!$AS$3:$AU$20,2,FALSE)*Results!$I157, "")</f>
        <v/>
      </c>
      <c r="P157" s="84" t="str">
        <f>IF(Results!$O157&lt;&gt;"",Results!$O157/SUM($O$7:$O$189),"")</f>
        <v/>
      </c>
      <c r="Q157" s="85" t="str">
        <f>IF(Results!$C157="Energy", VLOOKUP(Results!$D157,'Energy Costs Inputs (Optional)'!$AS$3:$AU$20,2,FALSE)*Results!$L157, "")</f>
        <v/>
      </c>
      <c r="R157" s="84" t="str">
        <f>IF(Results!$Q157&lt;&gt;"",Results!$Q157/SUM($Q$7:$Q$189),"")</f>
        <v/>
      </c>
      <c r="S157" s="85" t="str">
        <f t="shared" si="4"/>
        <v/>
      </c>
      <c r="T157" s="13" t="str">
        <f>IF(Results!$I157&lt;&gt;"",(HLOOKUP(Table13[[#This Row],[Units]],'Emission Inputs (Optional)'!$L$10:$R$27,MATCH(Table13[[#This Row],[Energy Source]],'Emission Inputs (Optional)'!$L$10:$L$27,0),FALSE))*Table13[[#This Row],[Annual Consumption (Baseline)]],"")</f>
        <v/>
      </c>
      <c r="U157" s="13" t="str">
        <f>IF(Results!$T157&lt;&gt;"",Results!$T157,H157)</f>
        <v/>
      </c>
      <c r="V157" s="84" t="str">
        <f>IF(Results!$U157="","",IF(U157&lt;&gt;"",U157,0)/SUM(Results!$U$7:$U$189))</f>
        <v/>
      </c>
      <c r="W157" s="101" t="str">
        <f>IF(Results!$I157&lt;&gt;"",(HLOOKUP(Table13[[#This Row],[Units]],'Emission Inputs (Optional)'!$L$10:$R$27,MATCH(Table13[[#This Row],[Energy Source]],'Emission Inputs (Optional)'!$L$10:$L$27,0),FALSE))*(Table13[[#This Row],[Annual Consumption (Baseline)]]-Table13[[#This Row],[Energy Savings]]),"")</f>
        <v/>
      </c>
      <c r="X157" s="13" t="str">
        <f>IFERROR(VLOOKUP(B157,'Emission Inputs (Optional)'!$G$9:$J$191,4,FALSE),"")</f>
        <v/>
      </c>
      <c r="Y157" s="95" t="str">
        <f>IF(Results!$W157&lt;&gt;"",Results!$W157,IF(X157&lt;&gt;"",(H157-X157),""))</f>
        <v/>
      </c>
      <c r="Z157" s="95" t="str">
        <f t="shared" si="5"/>
        <v/>
      </c>
      <c r="AA157" s="89" t="str">
        <f>IF(Results!$U157="","",IF(U157&lt;&gt;"",U157,0)/SUM(Results!$U$7:$U$189))</f>
        <v/>
      </c>
      <c r="AB157" s="8"/>
      <c r="AC157" s="8"/>
      <c r="AD157" s="8"/>
      <c r="AE157" s="8"/>
      <c r="AF157" s="8"/>
      <c r="AG157" s="8"/>
      <c r="AH157" s="8"/>
      <c r="AI157" s="8"/>
      <c r="AJ157" s="8"/>
      <c r="AK157" s="8"/>
      <c r="AL157" s="8"/>
      <c r="AM157" s="8"/>
      <c r="AN157" s="8"/>
      <c r="AO157" s="8"/>
      <c r="AP157" s="8"/>
      <c r="AQ157" s="8"/>
      <c r="AR157" s="8"/>
      <c r="AS157" s="8"/>
      <c r="AT157" s="8"/>
    </row>
    <row r="158" spans="1:46" x14ac:dyDescent="0.2">
      <c r="A158" s="55" t="str">
        <f>IF(B158&lt;&gt;"",COUNTA($B$7:B158),"")</f>
        <v/>
      </c>
      <c r="B158" s="83"/>
      <c r="C158" s="83"/>
      <c r="D158" s="83" t="str">
        <f>IF(Table13[[#This Row],[Energy Source]]="","",Table13[[#This Row],[Energy Source]])</f>
        <v/>
      </c>
      <c r="E158" s="83" t="str">
        <f>IF(Table13[[#This Row],[Units]]="", "", Table13[[#This Row],[Units]])</f>
        <v/>
      </c>
      <c r="F158" s="83" t="str">
        <f>IF(Table13[[#This Row],[Annual Consumption (Baseline)]]="", "", Table13[[#This Row],[Annual Consumption (Baseline)]])</f>
        <v/>
      </c>
      <c r="G158" s="83" t="str">
        <f>IF(F158="", "", IF(Results!$C158="Energy", VLOOKUP(Results!$E158,'Emission Inputs (Optional)'!$T$10:$U$27,2,FALSE)*Table13[[#This Row],[Energy Savings]], ""))</f>
        <v/>
      </c>
      <c r="H158" s="13" t="str">
        <f>IFERROR(VLOOKUP(B158,'Emission Inputs (Optional)'!$G$9:$I$191,3,FALSE),"")</f>
        <v/>
      </c>
      <c r="I158" s="13" t="str">
        <f>IF(Results!$C158="Energy", VLOOKUP(Results!$E158,'Emission Inputs (Optional)'!$T$10:$U$27,2,FALSE)*Results!$F158, "")</f>
        <v/>
      </c>
      <c r="J158" s="13" t="str">
        <f>IF(Results!$I158&lt;&gt;"",Results!$I158*0.293071,"")</f>
        <v/>
      </c>
      <c r="K158" s="84" t="str">
        <f>IF(Results!$I158&lt;&gt;"",Results!$I158/SUM($I$7:$I$189),"")</f>
        <v/>
      </c>
      <c r="L158" s="13" t="str">
        <f>IF(Results!$F158&lt;&gt;"",I158-G158,"")</f>
        <v/>
      </c>
      <c r="M158" s="13" t="str">
        <f>IF(Results!$L158&lt;&gt;"",Results!$L158*0.293071,"")</f>
        <v/>
      </c>
      <c r="N158" s="84" t="str">
        <f>IF(Results!$M158&lt;&gt;"",Results!$M158/SUM($M$7:$M$189),"")</f>
        <v/>
      </c>
      <c r="O158" s="85" t="str">
        <f>IF(Results!$C158="Energy", VLOOKUP(Results!$D158,'Energy Costs Inputs (Optional)'!$AS$3:$AU$20,2,FALSE)*Results!$I158, "")</f>
        <v/>
      </c>
      <c r="P158" s="84" t="str">
        <f>IF(Results!$O158&lt;&gt;"",Results!$O158/SUM($O$7:$O$189),"")</f>
        <v/>
      </c>
      <c r="Q158" s="85" t="str">
        <f>IF(Results!$C158="Energy", VLOOKUP(Results!$D158,'Energy Costs Inputs (Optional)'!$AS$3:$AU$20,2,FALSE)*Results!$L158, "")</f>
        <v/>
      </c>
      <c r="R158" s="84" t="str">
        <f>IF(Results!$Q158&lt;&gt;"",Results!$Q158/SUM($Q$7:$Q$189),"")</f>
        <v/>
      </c>
      <c r="S158" s="85" t="str">
        <f t="shared" si="4"/>
        <v/>
      </c>
      <c r="T158" s="13" t="str">
        <f>IF(Results!$I158&lt;&gt;"",(HLOOKUP(Table13[[#This Row],[Units]],'Emission Inputs (Optional)'!$L$10:$R$27,MATCH(Table13[[#This Row],[Energy Source]],'Emission Inputs (Optional)'!$L$10:$L$27,0),FALSE))*Table13[[#This Row],[Annual Consumption (Baseline)]],"")</f>
        <v/>
      </c>
      <c r="U158" s="13" t="str">
        <f>IF(Results!$T158&lt;&gt;"",Results!$T158,H158)</f>
        <v/>
      </c>
      <c r="V158" s="84" t="str">
        <f>IF(Results!$U158="","",IF(U158&lt;&gt;"",U158,0)/SUM(Results!$U$7:$U$189))</f>
        <v/>
      </c>
      <c r="W158" s="101" t="str">
        <f>IF(Results!$I158&lt;&gt;"",(HLOOKUP(Table13[[#This Row],[Units]],'Emission Inputs (Optional)'!$L$10:$R$27,MATCH(Table13[[#This Row],[Energy Source]],'Emission Inputs (Optional)'!$L$10:$L$27,0),FALSE))*(Table13[[#This Row],[Annual Consumption (Baseline)]]-Table13[[#This Row],[Energy Savings]]),"")</f>
        <v/>
      </c>
      <c r="X158" s="13" t="str">
        <f>IFERROR(VLOOKUP(B158,'Emission Inputs (Optional)'!$G$9:$J$191,4,FALSE),"")</f>
        <v/>
      </c>
      <c r="Y158" s="95" t="str">
        <f>IF(Results!$W158&lt;&gt;"",Results!$W158,IF(X158&lt;&gt;"",(H158-X158),""))</f>
        <v/>
      </c>
      <c r="Z158" s="95" t="str">
        <f t="shared" si="5"/>
        <v/>
      </c>
      <c r="AA158" s="89" t="str">
        <f>IF(Results!$U158="","",IF(U158&lt;&gt;"",U158,0)/SUM(Results!$U$7:$U$189))</f>
        <v/>
      </c>
      <c r="AB158" s="8"/>
      <c r="AC158" s="8"/>
      <c r="AD158" s="8"/>
      <c r="AE158" s="8"/>
      <c r="AF158" s="8"/>
      <c r="AG158" s="8"/>
      <c r="AH158" s="8"/>
      <c r="AI158" s="8"/>
      <c r="AJ158" s="8"/>
      <c r="AK158" s="8"/>
      <c r="AL158" s="8"/>
      <c r="AM158" s="8"/>
      <c r="AN158" s="8"/>
      <c r="AO158" s="8"/>
      <c r="AP158" s="8"/>
      <c r="AQ158" s="8"/>
      <c r="AR158" s="8"/>
      <c r="AS158" s="8"/>
      <c r="AT158" s="8"/>
    </row>
    <row r="159" spans="1:46" x14ac:dyDescent="0.2">
      <c r="A159" s="55" t="str">
        <f>IF(B159&lt;&gt;"",COUNTA($B$7:B159),"")</f>
        <v/>
      </c>
      <c r="B159" s="83"/>
      <c r="C159" s="83"/>
      <c r="D159" s="83" t="str">
        <f>IF(Table13[[#This Row],[Energy Source]]="","",Table13[[#This Row],[Energy Source]])</f>
        <v/>
      </c>
      <c r="E159" s="83" t="str">
        <f>IF(Table13[[#This Row],[Units]]="", "", Table13[[#This Row],[Units]])</f>
        <v/>
      </c>
      <c r="F159" s="83" t="str">
        <f>IF(Table13[[#This Row],[Annual Consumption (Baseline)]]="", "", Table13[[#This Row],[Annual Consumption (Baseline)]])</f>
        <v/>
      </c>
      <c r="G159" s="83" t="str">
        <f>IF(F159="", "", IF(Results!$C159="Energy", VLOOKUP(Results!$E159,'Emission Inputs (Optional)'!$T$10:$U$27,2,FALSE)*Table13[[#This Row],[Energy Savings]], ""))</f>
        <v/>
      </c>
      <c r="H159" s="13" t="str">
        <f>IFERROR(VLOOKUP(B159,'Emission Inputs (Optional)'!$G$9:$I$191,3,FALSE),"")</f>
        <v/>
      </c>
      <c r="I159" s="13" t="str">
        <f>IF(Results!$C159="Energy", VLOOKUP(Results!$E159,'Emission Inputs (Optional)'!$T$10:$U$27,2,FALSE)*Results!$F159, "")</f>
        <v/>
      </c>
      <c r="J159" s="13" t="str">
        <f>IF(Results!$I159&lt;&gt;"",Results!$I159*0.293071,"")</f>
        <v/>
      </c>
      <c r="K159" s="84" t="str">
        <f>IF(Results!$I159&lt;&gt;"",Results!$I159/SUM($I$7:$I$189),"")</f>
        <v/>
      </c>
      <c r="L159" s="13" t="str">
        <f>IF(Results!$F159&lt;&gt;"",I159-G159,"")</f>
        <v/>
      </c>
      <c r="M159" s="13" t="str">
        <f>IF(Results!$L159&lt;&gt;"",Results!$L159*0.293071,"")</f>
        <v/>
      </c>
      <c r="N159" s="84" t="str">
        <f>IF(Results!$M159&lt;&gt;"",Results!$M159/SUM($M$7:$M$189),"")</f>
        <v/>
      </c>
      <c r="O159" s="85" t="str">
        <f>IF(Results!$C159="Energy", VLOOKUP(Results!$D159,'Energy Costs Inputs (Optional)'!$AS$3:$AU$20,2,FALSE)*Results!$I159, "")</f>
        <v/>
      </c>
      <c r="P159" s="84" t="str">
        <f>IF(Results!$O159&lt;&gt;"",Results!$O159/SUM($O$7:$O$189),"")</f>
        <v/>
      </c>
      <c r="Q159" s="85" t="str">
        <f>IF(Results!$C159="Energy", VLOOKUP(Results!$D159,'Energy Costs Inputs (Optional)'!$AS$3:$AU$20,2,FALSE)*Results!$L159, "")</f>
        <v/>
      </c>
      <c r="R159" s="84" t="str">
        <f>IF(Results!$Q159&lt;&gt;"",Results!$Q159/SUM($Q$7:$Q$189),"")</f>
        <v/>
      </c>
      <c r="S159" s="85" t="str">
        <f t="shared" si="4"/>
        <v/>
      </c>
      <c r="T159" s="13" t="str">
        <f>IF(Results!$I159&lt;&gt;"",(HLOOKUP(Table13[[#This Row],[Units]],'Emission Inputs (Optional)'!$L$10:$R$27,MATCH(Table13[[#This Row],[Energy Source]],'Emission Inputs (Optional)'!$L$10:$L$27,0),FALSE))*Table13[[#This Row],[Annual Consumption (Baseline)]],"")</f>
        <v/>
      </c>
      <c r="U159" s="13" t="str">
        <f>IF(Results!$T159&lt;&gt;"",Results!$T159,H159)</f>
        <v/>
      </c>
      <c r="V159" s="84" t="str">
        <f>IF(Results!$U159="","",IF(U159&lt;&gt;"",U159,0)/SUM(Results!$U$7:$U$189))</f>
        <v/>
      </c>
      <c r="W159" s="101" t="str">
        <f>IF(Results!$I159&lt;&gt;"",(HLOOKUP(Table13[[#This Row],[Units]],'Emission Inputs (Optional)'!$L$10:$R$27,MATCH(Table13[[#This Row],[Energy Source]],'Emission Inputs (Optional)'!$L$10:$L$27,0),FALSE))*(Table13[[#This Row],[Annual Consumption (Baseline)]]-Table13[[#This Row],[Energy Savings]]),"")</f>
        <v/>
      </c>
      <c r="X159" s="13" t="str">
        <f>IFERROR(VLOOKUP(B159,'Emission Inputs (Optional)'!$G$9:$J$191,4,FALSE),"")</f>
        <v/>
      </c>
      <c r="Y159" s="95" t="str">
        <f>IF(Results!$W159&lt;&gt;"",Results!$W159,IF(X159&lt;&gt;"",(H159-X159),""))</f>
        <v/>
      </c>
      <c r="Z159" s="95" t="str">
        <f t="shared" si="5"/>
        <v/>
      </c>
      <c r="AA159" s="89" t="str">
        <f>IF(Results!$U159="","",IF(U159&lt;&gt;"",U159,0)/SUM(Results!$U$7:$U$189))</f>
        <v/>
      </c>
      <c r="AB159" s="8"/>
      <c r="AC159" s="8"/>
      <c r="AD159" s="8"/>
      <c r="AE159" s="8"/>
      <c r="AF159" s="8"/>
      <c r="AG159" s="8"/>
      <c r="AH159" s="8"/>
      <c r="AI159" s="8"/>
      <c r="AJ159" s="8"/>
      <c r="AK159" s="8"/>
      <c r="AL159" s="8"/>
      <c r="AM159" s="8"/>
      <c r="AN159" s="8"/>
      <c r="AO159" s="8"/>
      <c r="AP159" s="8"/>
      <c r="AQ159" s="8"/>
      <c r="AR159" s="8"/>
      <c r="AS159" s="8"/>
      <c r="AT159" s="8"/>
    </row>
    <row r="160" spans="1:46" x14ac:dyDescent="0.2">
      <c r="A160" s="55" t="str">
        <f>IF(B160&lt;&gt;"",COUNTA($B$7:B160),"")</f>
        <v/>
      </c>
      <c r="B160" s="83"/>
      <c r="C160" s="83"/>
      <c r="D160" s="83" t="str">
        <f>IF(Table13[[#This Row],[Energy Source]]="","",Table13[[#This Row],[Energy Source]])</f>
        <v/>
      </c>
      <c r="E160" s="83" t="str">
        <f>IF(Table13[[#This Row],[Units]]="", "", Table13[[#This Row],[Units]])</f>
        <v/>
      </c>
      <c r="F160" s="83" t="str">
        <f>IF(Table13[[#This Row],[Annual Consumption (Baseline)]]="", "", Table13[[#This Row],[Annual Consumption (Baseline)]])</f>
        <v/>
      </c>
      <c r="G160" s="83" t="str">
        <f>IF(F160="", "", IF(Results!$C160="Energy", VLOOKUP(Results!$E160,'Emission Inputs (Optional)'!$T$10:$U$27,2,FALSE)*Table13[[#This Row],[Energy Savings]], ""))</f>
        <v/>
      </c>
      <c r="H160" s="13" t="str">
        <f>IFERROR(VLOOKUP(B160,'Emission Inputs (Optional)'!$G$9:$I$191,3,FALSE),"")</f>
        <v/>
      </c>
      <c r="I160" s="13" t="str">
        <f>IF(Results!$C160="Energy", VLOOKUP(Results!$E160,'Emission Inputs (Optional)'!$T$10:$U$27,2,FALSE)*Results!$F160, "")</f>
        <v/>
      </c>
      <c r="J160" s="13" t="str">
        <f>IF(Results!$I160&lt;&gt;"",Results!$I160*0.293071,"")</f>
        <v/>
      </c>
      <c r="K160" s="84" t="str">
        <f>IF(Results!$I160&lt;&gt;"",Results!$I160/SUM($I$7:$I$189),"")</f>
        <v/>
      </c>
      <c r="L160" s="13" t="str">
        <f>IF(Results!$F160&lt;&gt;"",I160-G160,"")</f>
        <v/>
      </c>
      <c r="M160" s="13" t="str">
        <f>IF(Results!$L160&lt;&gt;"",Results!$L160*0.293071,"")</f>
        <v/>
      </c>
      <c r="N160" s="84" t="str">
        <f>IF(Results!$M160&lt;&gt;"",Results!$M160/SUM($M$7:$M$189),"")</f>
        <v/>
      </c>
      <c r="O160" s="85" t="str">
        <f>IF(Results!$C160="Energy", VLOOKUP(Results!$D160,'Energy Costs Inputs (Optional)'!$AS$3:$AU$20,2,FALSE)*Results!$I160, "")</f>
        <v/>
      </c>
      <c r="P160" s="84" t="str">
        <f>IF(Results!$O160&lt;&gt;"",Results!$O160/SUM($O$7:$O$189),"")</f>
        <v/>
      </c>
      <c r="Q160" s="85" t="str">
        <f>IF(Results!$C160="Energy", VLOOKUP(Results!$D160,'Energy Costs Inputs (Optional)'!$AS$3:$AU$20,2,FALSE)*Results!$L160, "")</f>
        <v/>
      </c>
      <c r="R160" s="84" t="str">
        <f>IF(Results!$Q160&lt;&gt;"",Results!$Q160/SUM($Q$7:$Q$189),"")</f>
        <v/>
      </c>
      <c r="S160" s="85" t="str">
        <f t="shared" si="4"/>
        <v/>
      </c>
      <c r="T160" s="13" t="str">
        <f>IF(Results!$I160&lt;&gt;"",(HLOOKUP(Table13[[#This Row],[Units]],'Emission Inputs (Optional)'!$L$10:$R$27,MATCH(Table13[[#This Row],[Energy Source]],'Emission Inputs (Optional)'!$L$10:$L$27,0),FALSE))*Table13[[#This Row],[Annual Consumption (Baseline)]],"")</f>
        <v/>
      </c>
      <c r="U160" s="13" t="str">
        <f>IF(Results!$T160&lt;&gt;"",Results!$T160,H160)</f>
        <v/>
      </c>
      <c r="V160" s="84" t="str">
        <f>IF(Results!$U160="","",IF(U160&lt;&gt;"",U160,0)/SUM(Results!$U$7:$U$189))</f>
        <v/>
      </c>
      <c r="W160" s="101" t="str">
        <f>IF(Results!$I160&lt;&gt;"",(HLOOKUP(Table13[[#This Row],[Units]],'Emission Inputs (Optional)'!$L$10:$R$27,MATCH(Table13[[#This Row],[Energy Source]],'Emission Inputs (Optional)'!$L$10:$L$27,0),FALSE))*(Table13[[#This Row],[Annual Consumption (Baseline)]]-Table13[[#This Row],[Energy Savings]]),"")</f>
        <v/>
      </c>
      <c r="X160" s="13" t="str">
        <f>IFERROR(VLOOKUP(B160,'Emission Inputs (Optional)'!$G$9:$J$191,4,FALSE),"")</f>
        <v/>
      </c>
      <c r="Y160" s="95" t="str">
        <f>IF(Results!$W160&lt;&gt;"",Results!$W160,IF(X160&lt;&gt;"",(H160-X160),""))</f>
        <v/>
      </c>
      <c r="Z160" s="95" t="str">
        <f t="shared" si="5"/>
        <v/>
      </c>
      <c r="AA160" s="89" t="str">
        <f>IF(Results!$U160="","",IF(U160&lt;&gt;"",U160,0)/SUM(Results!$U$7:$U$189))</f>
        <v/>
      </c>
      <c r="AB160" s="8"/>
      <c r="AC160" s="8"/>
      <c r="AD160" s="8"/>
      <c r="AE160" s="8"/>
      <c r="AF160" s="8"/>
      <c r="AG160" s="8"/>
      <c r="AH160" s="8"/>
      <c r="AI160" s="8"/>
      <c r="AJ160" s="8"/>
      <c r="AK160" s="8"/>
      <c r="AL160" s="8"/>
      <c r="AM160" s="8"/>
      <c r="AN160" s="8"/>
      <c r="AO160" s="8"/>
      <c r="AP160" s="8"/>
      <c r="AQ160" s="8"/>
      <c r="AR160" s="8"/>
      <c r="AS160" s="8"/>
      <c r="AT160" s="8"/>
    </row>
    <row r="161" spans="1:46" x14ac:dyDescent="0.2">
      <c r="A161" s="55" t="str">
        <f>IF(B161&lt;&gt;"",COUNTA($B$7:B161),"")</f>
        <v/>
      </c>
      <c r="B161" s="83"/>
      <c r="C161" s="83"/>
      <c r="D161" s="83" t="str">
        <f>IF(Table13[[#This Row],[Energy Source]]="","",Table13[[#This Row],[Energy Source]])</f>
        <v/>
      </c>
      <c r="E161" s="83" t="str">
        <f>IF(Table13[[#This Row],[Units]]="", "", Table13[[#This Row],[Units]])</f>
        <v/>
      </c>
      <c r="F161" s="83" t="str">
        <f>IF(Table13[[#This Row],[Annual Consumption (Baseline)]]="", "", Table13[[#This Row],[Annual Consumption (Baseline)]])</f>
        <v/>
      </c>
      <c r="G161" s="83" t="str">
        <f>IF(F161="", "", IF(Results!$C161="Energy", VLOOKUP(Results!$E161,'Emission Inputs (Optional)'!$T$10:$U$27,2,FALSE)*Table13[[#This Row],[Energy Savings]], ""))</f>
        <v/>
      </c>
      <c r="H161" s="13" t="str">
        <f>IFERROR(VLOOKUP(B161,'Emission Inputs (Optional)'!$G$9:$I$191,3,FALSE),"")</f>
        <v/>
      </c>
      <c r="I161" s="13" t="str">
        <f>IF(Results!$C161="Energy", VLOOKUP(Results!$E161,'Emission Inputs (Optional)'!$T$10:$U$27,2,FALSE)*Results!$F161, "")</f>
        <v/>
      </c>
      <c r="J161" s="13" t="str">
        <f>IF(Results!$I161&lt;&gt;"",Results!$I161*0.293071,"")</f>
        <v/>
      </c>
      <c r="K161" s="84" t="str">
        <f>IF(Results!$I161&lt;&gt;"",Results!$I161/SUM($I$7:$I$189),"")</f>
        <v/>
      </c>
      <c r="L161" s="13" t="str">
        <f>IF(Results!$F161&lt;&gt;"",I161-G161,"")</f>
        <v/>
      </c>
      <c r="M161" s="13" t="str">
        <f>IF(Results!$L161&lt;&gt;"",Results!$L161*0.293071,"")</f>
        <v/>
      </c>
      <c r="N161" s="84" t="str">
        <f>IF(Results!$M161&lt;&gt;"",Results!$M161/SUM($M$7:$M$189),"")</f>
        <v/>
      </c>
      <c r="O161" s="85" t="str">
        <f>IF(Results!$C161="Energy", VLOOKUP(Results!$D161,'Energy Costs Inputs (Optional)'!$AS$3:$AU$20,2,FALSE)*Results!$I161, "")</f>
        <v/>
      </c>
      <c r="P161" s="84" t="str">
        <f>IF(Results!$O161&lt;&gt;"",Results!$O161/SUM($O$7:$O$189),"")</f>
        <v/>
      </c>
      <c r="Q161" s="85" t="str">
        <f>IF(Results!$C161="Energy", VLOOKUP(Results!$D161,'Energy Costs Inputs (Optional)'!$AS$3:$AU$20,2,FALSE)*Results!$L161, "")</f>
        <v/>
      </c>
      <c r="R161" s="84" t="str">
        <f>IF(Results!$Q161&lt;&gt;"",Results!$Q161/SUM($Q$7:$Q$189),"")</f>
        <v/>
      </c>
      <c r="S161" s="85" t="str">
        <f t="shared" si="4"/>
        <v/>
      </c>
      <c r="T161" s="13" t="str">
        <f>IF(Results!$I161&lt;&gt;"",(HLOOKUP(Table13[[#This Row],[Units]],'Emission Inputs (Optional)'!$L$10:$R$27,MATCH(Table13[[#This Row],[Energy Source]],'Emission Inputs (Optional)'!$L$10:$L$27,0),FALSE))*Table13[[#This Row],[Annual Consumption (Baseline)]],"")</f>
        <v/>
      </c>
      <c r="U161" s="13" t="str">
        <f>IF(Results!$T161&lt;&gt;"",Results!$T161,H161)</f>
        <v/>
      </c>
      <c r="V161" s="84" t="str">
        <f>IF(Results!$U161="","",IF(U161&lt;&gt;"",U161,0)/SUM(Results!$U$7:$U$189))</f>
        <v/>
      </c>
      <c r="W161" s="101" t="str">
        <f>IF(Results!$I161&lt;&gt;"",(HLOOKUP(Table13[[#This Row],[Units]],'Emission Inputs (Optional)'!$L$10:$R$27,MATCH(Table13[[#This Row],[Energy Source]],'Emission Inputs (Optional)'!$L$10:$L$27,0),FALSE))*(Table13[[#This Row],[Annual Consumption (Baseline)]]-Table13[[#This Row],[Energy Savings]]),"")</f>
        <v/>
      </c>
      <c r="X161" s="13" t="str">
        <f>IFERROR(VLOOKUP(B161,'Emission Inputs (Optional)'!$G$9:$J$191,4,FALSE),"")</f>
        <v/>
      </c>
      <c r="Y161" s="95" t="str">
        <f>IF(Results!$W161&lt;&gt;"",Results!$W161,IF(X161&lt;&gt;"",(H161-X161),""))</f>
        <v/>
      </c>
      <c r="Z161" s="95" t="str">
        <f t="shared" si="5"/>
        <v/>
      </c>
      <c r="AA161" s="89" t="str">
        <f>IF(Results!$U161="","",IF(U161&lt;&gt;"",U161,0)/SUM(Results!$U$7:$U$189))</f>
        <v/>
      </c>
      <c r="AB161" s="8"/>
      <c r="AC161" s="8"/>
      <c r="AD161" s="8"/>
      <c r="AE161" s="8"/>
      <c r="AF161" s="8"/>
      <c r="AG161" s="8"/>
      <c r="AH161" s="8"/>
      <c r="AI161" s="8"/>
      <c r="AJ161" s="8"/>
      <c r="AK161" s="8"/>
      <c r="AL161" s="8"/>
      <c r="AM161" s="8"/>
      <c r="AN161" s="8"/>
      <c r="AO161" s="8"/>
      <c r="AP161" s="8"/>
      <c r="AQ161" s="8"/>
      <c r="AR161" s="8"/>
      <c r="AS161" s="8"/>
      <c r="AT161" s="8"/>
    </row>
    <row r="162" spans="1:46" x14ac:dyDescent="0.2">
      <c r="A162" s="55" t="str">
        <f>IF(B162&lt;&gt;"",COUNTA($B$7:B162),"")</f>
        <v/>
      </c>
      <c r="B162" s="83"/>
      <c r="C162" s="83"/>
      <c r="D162" s="83" t="str">
        <f>IF(Table13[[#This Row],[Energy Source]]="","",Table13[[#This Row],[Energy Source]])</f>
        <v/>
      </c>
      <c r="E162" s="83" t="str">
        <f>IF(Table13[[#This Row],[Units]]="", "", Table13[[#This Row],[Units]])</f>
        <v/>
      </c>
      <c r="F162" s="83" t="str">
        <f>IF(Table13[[#This Row],[Annual Consumption (Baseline)]]="", "", Table13[[#This Row],[Annual Consumption (Baseline)]])</f>
        <v/>
      </c>
      <c r="G162" s="83" t="str">
        <f>IF(F162="", "", IF(Results!$C162="Energy", VLOOKUP(Results!$E162,'Emission Inputs (Optional)'!$T$10:$U$27,2,FALSE)*Table13[[#This Row],[Energy Savings]], ""))</f>
        <v/>
      </c>
      <c r="H162" s="13" t="str">
        <f>IFERROR(VLOOKUP(B162,'Emission Inputs (Optional)'!$G$9:$I$191,3,FALSE),"")</f>
        <v/>
      </c>
      <c r="I162" s="13" t="str">
        <f>IF(Results!$C162="Energy", VLOOKUP(Results!$E162,'Emission Inputs (Optional)'!$T$10:$U$27,2,FALSE)*Results!$F162, "")</f>
        <v/>
      </c>
      <c r="J162" s="13" t="str">
        <f>IF(Results!$I162&lt;&gt;"",Results!$I162*0.293071,"")</f>
        <v/>
      </c>
      <c r="K162" s="84" t="str">
        <f>IF(Results!$I162&lt;&gt;"",Results!$I162/SUM($I$7:$I$189),"")</f>
        <v/>
      </c>
      <c r="L162" s="13" t="str">
        <f>IF(Results!$F162&lt;&gt;"",I162-G162,"")</f>
        <v/>
      </c>
      <c r="M162" s="13" t="str">
        <f>IF(Results!$L162&lt;&gt;"",Results!$L162*0.293071,"")</f>
        <v/>
      </c>
      <c r="N162" s="84" t="str">
        <f>IF(Results!$M162&lt;&gt;"",Results!$M162/SUM($M$7:$M$189),"")</f>
        <v/>
      </c>
      <c r="O162" s="85" t="str">
        <f>IF(Results!$C162="Energy", VLOOKUP(Results!$D162,'Energy Costs Inputs (Optional)'!$AS$3:$AU$20,2,FALSE)*Results!$I162, "")</f>
        <v/>
      </c>
      <c r="P162" s="84" t="str">
        <f>IF(Results!$O162&lt;&gt;"",Results!$O162/SUM($O$7:$O$189),"")</f>
        <v/>
      </c>
      <c r="Q162" s="85" t="str">
        <f>IF(Results!$C162="Energy", VLOOKUP(Results!$D162,'Energy Costs Inputs (Optional)'!$AS$3:$AU$20,2,FALSE)*Results!$L162, "")</f>
        <v/>
      </c>
      <c r="R162" s="84" t="str">
        <f>IF(Results!$Q162&lt;&gt;"",Results!$Q162/SUM($Q$7:$Q$189),"")</f>
        <v/>
      </c>
      <c r="S162" s="85" t="str">
        <f t="shared" si="4"/>
        <v/>
      </c>
      <c r="T162" s="13" t="str">
        <f>IF(Results!$I162&lt;&gt;"",(HLOOKUP(Table13[[#This Row],[Units]],'Emission Inputs (Optional)'!$L$10:$R$27,MATCH(Table13[[#This Row],[Energy Source]],'Emission Inputs (Optional)'!$L$10:$L$27,0),FALSE))*Table13[[#This Row],[Annual Consumption (Baseline)]],"")</f>
        <v/>
      </c>
      <c r="U162" s="13" t="str">
        <f>IF(Results!$T162&lt;&gt;"",Results!$T162,H162)</f>
        <v/>
      </c>
      <c r="V162" s="84" t="str">
        <f>IF(Results!$U162="","",IF(U162&lt;&gt;"",U162,0)/SUM(Results!$U$7:$U$189))</f>
        <v/>
      </c>
      <c r="W162" s="101" t="str">
        <f>IF(Results!$I162&lt;&gt;"",(HLOOKUP(Table13[[#This Row],[Units]],'Emission Inputs (Optional)'!$L$10:$R$27,MATCH(Table13[[#This Row],[Energy Source]],'Emission Inputs (Optional)'!$L$10:$L$27,0),FALSE))*(Table13[[#This Row],[Annual Consumption (Baseline)]]-Table13[[#This Row],[Energy Savings]]),"")</f>
        <v/>
      </c>
      <c r="X162" s="13" t="str">
        <f>IFERROR(VLOOKUP(B162,'Emission Inputs (Optional)'!$G$9:$J$191,4,FALSE),"")</f>
        <v/>
      </c>
      <c r="Y162" s="95" t="str">
        <f>IF(Results!$W162&lt;&gt;"",Results!$W162,IF(X162&lt;&gt;"",(H162-X162),""))</f>
        <v/>
      </c>
      <c r="Z162" s="95" t="str">
        <f t="shared" si="5"/>
        <v/>
      </c>
      <c r="AA162" s="89" t="str">
        <f>IF(Results!$U162="","",IF(U162&lt;&gt;"",U162,0)/SUM(Results!$U$7:$U$189))</f>
        <v/>
      </c>
      <c r="AB162" s="8"/>
      <c r="AC162" s="8"/>
      <c r="AD162" s="8"/>
      <c r="AE162" s="8"/>
      <c r="AF162" s="8"/>
      <c r="AG162" s="8"/>
      <c r="AH162" s="8"/>
      <c r="AI162" s="8"/>
      <c r="AJ162" s="8"/>
      <c r="AK162" s="8"/>
      <c r="AL162" s="8"/>
      <c r="AM162" s="8"/>
      <c r="AN162" s="8"/>
      <c r="AO162" s="8"/>
      <c r="AP162" s="8"/>
      <c r="AQ162" s="8"/>
      <c r="AR162" s="8"/>
      <c r="AS162" s="8"/>
      <c r="AT162" s="8"/>
    </row>
    <row r="163" spans="1:46" x14ac:dyDescent="0.2">
      <c r="A163" s="55" t="str">
        <f>IF(B163&lt;&gt;"",COUNTA($B$7:B163),"")</f>
        <v/>
      </c>
      <c r="B163" s="83"/>
      <c r="C163" s="83"/>
      <c r="D163" s="83" t="str">
        <f>IF(Table13[[#This Row],[Energy Source]]="","",Table13[[#This Row],[Energy Source]])</f>
        <v/>
      </c>
      <c r="E163" s="83" t="str">
        <f>IF(Table13[[#This Row],[Units]]="", "", Table13[[#This Row],[Units]])</f>
        <v/>
      </c>
      <c r="F163" s="83" t="str">
        <f>IF(Table13[[#This Row],[Annual Consumption (Baseline)]]="", "", Table13[[#This Row],[Annual Consumption (Baseline)]])</f>
        <v/>
      </c>
      <c r="G163" s="83" t="str">
        <f>IF(F163="", "", IF(Results!$C163="Energy", VLOOKUP(Results!$E163,'Emission Inputs (Optional)'!$T$10:$U$27,2,FALSE)*Table13[[#This Row],[Energy Savings]], ""))</f>
        <v/>
      </c>
      <c r="H163" s="13" t="str">
        <f>IFERROR(VLOOKUP(B163,'Emission Inputs (Optional)'!$G$9:$I$191,3,FALSE),"")</f>
        <v/>
      </c>
      <c r="I163" s="13" t="str">
        <f>IF(Results!$C163="Energy", VLOOKUP(Results!$E163,'Emission Inputs (Optional)'!$T$10:$U$27,2,FALSE)*Results!$F163, "")</f>
        <v/>
      </c>
      <c r="J163" s="13" t="str">
        <f>IF(Results!$I163&lt;&gt;"",Results!$I163*0.293071,"")</f>
        <v/>
      </c>
      <c r="K163" s="84" t="str">
        <f>IF(Results!$I163&lt;&gt;"",Results!$I163/SUM($I$7:$I$189),"")</f>
        <v/>
      </c>
      <c r="L163" s="13" t="str">
        <f>IF(Results!$F163&lt;&gt;"",I163-G163,"")</f>
        <v/>
      </c>
      <c r="M163" s="13" t="str">
        <f>IF(Results!$L163&lt;&gt;"",Results!$L163*0.293071,"")</f>
        <v/>
      </c>
      <c r="N163" s="84" t="str">
        <f>IF(Results!$M163&lt;&gt;"",Results!$M163/SUM($M$7:$M$189),"")</f>
        <v/>
      </c>
      <c r="O163" s="85" t="str">
        <f>IF(Results!$C163="Energy", VLOOKUP(Results!$D163,'Energy Costs Inputs (Optional)'!$AS$3:$AU$20,2,FALSE)*Results!$I163, "")</f>
        <v/>
      </c>
      <c r="P163" s="84" t="str">
        <f>IF(Results!$O163&lt;&gt;"",Results!$O163/SUM($O$7:$O$189),"")</f>
        <v/>
      </c>
      <c r="Q163" s="85" t="str">
        <f>IF(Results!$C163="Energy", VLOOKUP(Results!$D163,'Energy Costs Inputs (Optional)'!$AS$3:$AU$20,2,FALSE)*Results!$L163, "")</f>
        <v/>
      </c>
      <c r="R163" s="84" t="str">
        <f>IF(Results!$Q163&lt;&gt;"",Results!$Q163/SUM($Q$7:$Q$189),"")</f>
        <v/>
      </c>
      <c r="S163" s="85" t="str">
        <f t="shared" si="4"/>
        <v/>
      </c>
      <c r="T163" s="13" t="str">
        <f>IF(Results!$I163&lt;&gt;"",(HLOOKUP(Table13[[#This Row],[Units]],'Emission Inputs (Optional)'!$L$10:$R$27,MATCH(Table13[[#This Row],[Energy Source]],'Emission Inputs (Optional)'!$L$10:$L$27,0),FALSE))*Table13[[#This Row],[Annual Consumption (Baseline)]],"")</f>
        <v/>
      </c>
      <c r="U163" s="13" t="str">
        <f>IF(Results!$T163&lt;&gt;"",Results!$T163,H163)</f>
        <v/>
      </c>
      <c r="V163" s="84" t="str">
        <f>IF(Results!$U163="","",IF(U163&lt;&gt;"",U163,0)/SUM(Results!$U$7:$U$189))</f>
        <v/>
      </c>
      <c r="W163" s="101" t="str">
        <f>IF(Results!$I163&lt;&gt;"",(HLOOKUP(Table13[[#This Row],[Units]],'Emission Inputs (Optional)'!$L$10:$R$27,MATCH(Table13[[#This Row],[Energy Source]],'Emission Inputs (Optional)'!$L$10:$L$27,0),FALSE))*(Table13[[#This Row],[Annual Consumption (Baseline)]]-Table13[[#This Row],[Energy Savings]]),"")</f>
        <v/>
      </c>
      <c r="X163" s="13" t="str">
        <f>IFERROR(VLOOKUP(B163,'Emission Inputs (Optional)'!$G$9:$J$191,4,FALSE),"")</f>
        <v/>
      </c>
      <c r="Y163" s="95" t="str">
        <f>IF(Results!$W163&lt;&gt;"",Results!$W163,IF(X163&lt;&gt;"",(H163-X163),""))</f>
        <v/>
      </c>
      <c r="Z163" s="95" t="str">
        <f t="shared" si="5"/>
        <v/>
      </c>
      <c r="AA163" s="89" t="str">
        <f>IF(Results!$U163="","",IF(U163&lt;&gt;"",U163,0)/SUM(Results!$U$7:$U$189))</f>
        <v/>
      </c>
      <c r="AB163" s="8"/>
      <c r="AC163" s="8"/>
      <c r="AD163" s="8"/>
      <c r="AE163" s="8"/>
      <c r="AF163" s="8"/>
      <c r="AG163" s="8"/>
      <c r="AH163" s="8"/>
      <c r="AI163" s="8"/>
      <c r="AJ163" s="8"/>
      <c r="AK163" s="8"/>
      <c r="AL163" s="8"/>
      <c r="AM163" s="8"/>
      <c r="AN163" s="8"/>
      <c r="AO163" s="8"/>
      <c r="AP163" s="8"/>
      <c r="AQ163" s="8"/>
      <c r="AR163" s="8"/>
      <c r="AS163" s="8"/>
      <c r="AT163" s="8"/>
    </row>
    <row r="164" spans="1:46" x14ac:dyDescent="0.2">
      <c r="A164" s="55" t="str">
        <f>IF(B164&lt;&gt;"",COUNTA($B$7:B164),"")</f>
        <v/>
      </c>
      <c r="B164" s="83"/>
      <c r="C164" s="83"/>
      <c r="D164" s="83" t="str">
        <f>IF(Table13[[#This Row],[Energy Source]]="","",Table13[[#This Row],[Energy Source]])</f>
        <v/>
      </c>
      <c r="E164" s="83" t="str">
        <f>IF(Table13[[#This Row],[Units]]="", "", Table13[[#This Row],[Units]])</f>
        <v/>
      </c>
      <c r="F164" s="83" t="str">
        <f>IF(Table13[[#This Row],[Annual Consumption (Baseline)]]="", "", Table13[[#This Row],[Annual Consumption (Baseline)]])</f>
        <v/>
      </c>
      <c r="G164" s="83" t="str">
        <f>IF(F164="", "", IF(Results!$C164="Energy", VLOOKUP(Results!$E164,'Emission Inputs (Optional)'!$T$10:$U$27,2,FALSE)*Table13[[#This Row],[Energy Savings]], ""))</f>
        <v/>
      </c>
      <c r="H164" s="13" t="str">
        <f>IFERROR(VLOOKUP(B164,'Emission Inputs (Optional)'!$G$9:$I$191,3,FALSE),"")</f>
        <v/>
      </c>
      <c r="I164" s="13" t="str">
        <f>IF(Results!$C164="Energy", VLOOKUP(Results!$E164,'Emission Inputs (Optional)'!$T$10:$U$27,2,FALSE)*Results!$F164, "")</f>
        <v/>
      </c>
      <c r="J164" s="13" t="str">
        <f>IF(Results!$I164&lt;&gt;"",Results!$I164*0.293071,"")</f>
        <v/>
      </c>
      <c r="K164" s="84" t="str">
        <f>IF(Results!$I164&lt;&gt;"",Results!$I164/SUM($I$7:$I$189),"")</f>
        <v/>
      </c>
      <c r="L164" s="13" t="str">
        <f>IF(Results!$F164&lt;&gt;"",I164-G164,"")</f>
        <v/>
      </c>
      <c r="M164" s="13" t="str">
        <f>IF(Results!$L164&lt;&gt;"",Results!$L164*0.293071,"")</f>
        <v/>
      </c>
      <c r="N164" s="84" t="str">
        <f>IF(Results!$M164&lt;&gt;"",Results!$M164/SUM($M$7:$M$189),"")</f>
        <v/>
      </c>
      <c r="O164" s="85" t="str">
        <f>IF(Results!$C164="Energy", VLOOKUP(Results!$D164,'Energy Costs Inputs (Optional)'!$AS$3:$AU$20,2,FALSE)*Results!$I164, "")</f>
        <v/>
      </c>
      <c r="P164" s="84" t="str">
        <f>IF(Results!$O164&lt;&gt;"",Results!$O164/SUM($O$7:$O$189),"")</f>
        <v/>
      </c>
      <c r="Q164" s="85" t="str">
        <f>IF(Results!$C164="Energy", VLOOKUP(Results!$D164,'Energy Costs Inputs (Optional)'!$AS$3:$AU$20,2,FALSE)*Results!$L164, "")</f>
        <v/>
      </c>
      <c r="R164" s="84" t="str">
        <f>IF(Results!$Q164&lt;&gt;"",Results!$Q164/SUM($Q$7:$Q$189),"")</f>
        <v/>
      </c>
      <c r="S164" s="85" t="str">
        <f t="shared" si="4"/>
        <v/>
      </c>
      <c r="T164" s="13" t="str">
        <f>IF(Results!$I164&lt;&gt;"",(HLOOKUP(Table13[[#This Row],[Units]],'Emission Inputs (Optional)'!$L$10:$R$27,MATCH(Table13[[#This Row],[Energy Source]],'Emission Inputs (Optional)'!$L$10:$L$27,0),FALSE))*Table13[[#This Row],[Annual Consumption (Baseline)]],"")</f>
        <v/>
      </c>
      <c r="U164" s="13" t="str">
        <f>IF(Results!$T164&lt;&gt;"",Results!$T164,H164)</f>
        <v/>
      </c>
      <c r="V164" s="84" t="str">
        <f>IF(Results!$U164="","",IF(U164&lt;&gt;"",U164,0)/SUM(Results!$U$7:$U$189))</f>
        <v/>
      </c>
      <c r="W164" s="101" t="str">
        <f>IF(Results!$I164&lt;&gt;"",(HLOOKUP(Table13[[#This Row],[Units]],'Emission Inputs (Optional)'!$L$10:$R$27,MATCH(Table13[[#This Row],[Energy Source]],'Emission Inputs (Optional)'!$L$10:$L$27,0),FALSE))*(Table13[[#This Row],[Annual Consumption (Baseline)]]-Table13[[#This Row],[Energy Savings]]),"")</f>
        <v/>
      </c>
      <c r="X164" s="13" t="str">
        <f>IFERROR(VLOOKUP(B164,'Emission Inputs (Optional)'!$G$9:$J$191,4,FALSE),"")</f>
        <v/>
      </c>
      <c r="Y164" s="95" t="str">
        <f>IF(Results!$W164&lt;&gt;"",Results!$W164,IF(X164&lt;&gt;"",(H164-X164),""))</f>
        <v/>
      </c>
      <c r="Z164" s="95" t="str">
        <f t="shared" si="5"/>
        <v/>
      </c>
      <c r="AA164" s="89" t="str">
        <f>IF(Results!$U164="","",IF(U164&lt;&gt;"",U164,0)/SUM(Results!$U$7:$U$189))</f>
        <v/>
      </c>
      <c r="AB164" s="8"/>
      <c r="AC164" s="8"/>
      <c r="AD164" s="8"/>
      <c r="AE164" s="8"/>
      <c r="AF164" s="8"/>
      <c r="AG164" s="8"/>
      <c r="AH164" s="8"/>
      <c r="AI164" s="8"/>
      <c r="AJ164" s="8"/>
      <c r="AK164" s="8"/>
      <c r="AL164" s="8"/>
      <c r="AM164" s="8"/>
      <c r="AN164" s="8"/>
      <c r="AO164" s="8"/>
      <c r="AP164" s="8"/>
      <c r="AQ164" s="8"/>
      <c r="AR164" s="8"/>
      <c r="AS164" s="8"/>
      <c r="AT164" s="8"/>
    </row>
    <row r="165" spans="1:46" x14ac:dyDescent="0.2">
      <c r="A165" s="55" t="str">
        <f>IF(B165&lt;&gt;"",COUNTA($B$7:B165),"")</f>
        <v/>
      </c>
      <c r="B165" s="83"/>
      <c r="C165" s="83"/>
      <c r="D165" s="83" t="str">
        <f>IF(Table13[[#This Row],[Energy Source]]="","",Table13[[#This Row],[Energy Source]])</f>
        <v/>
      </c>
      <c r="E165" s="83" t="str">
        <f>IF(Table13[[#This Row],[Units]]="", "", Table13[[#This Row],[Units]])</f>
        <v/>
      </c>
      <c r="F165" s="83" t="str">
        <f>IF(Table13[[#This Row],[Annual Consumption (Baseline)]]="", "", Table13[[#This Row],[Annual Consumption (Baseline)]])</f>
        <v/>
      </c>
      <c r="G165" s="83" t="str">
        <f>IF(F165="", "", IF(Results!$C165="Energy", VLOOKUP(Results!$E165,'Emission Inputs (Optional)'!$T$10:$U$27,2,FALSE)*Table13[[#This Row],[Energy Savings]], ""))</f>
        <v/>
      </c>
      <c r="H165" s="13" t="str">
        <f>IFERROR(VLOOKUP(B165,'Emission Inputs (Optional)'!$G$9:$I$191,3,FALSE),"")</f>
        <v/>
      </c>
      <c r="I165" s="13" t="str">
        <f>IF(Results!$C165="Energy", VLOOKUP(Results!$E165,'Emission Inputs (Optional)'!$T$10:$U$27,2,FALSE)*Results!$F165, "")</f>
        <v/>
      </c>
      <c r="J165" s="13" t="str">
        <f>IF(Results!$I165&lt;&gt;"",Results!$I165*0.293071,"")</f>
        <v/>
      </c>
      <c r="K165" s="84" t="str">
        <f>IF(Results!$I165&lt;&gt;"",Results!$I165/SUM($I$7:$I$189),"")</f>
        <v/>
      </c>
      <c r="L165" s="13" t="str">
        <f>IF(Results!$F165&lt;&gt;"",I165-G165,"")</f>
        <v/>
      </c>
      <c r="M165" s="13" t="str">
        <f>IF(Results!$L165&lt;&gt;"",Results!$L165*0.293071,"")</f>
        <v/>
      </c>
      <c r="N165" s="84" t="str">
        <f>IF(Results!$M165&lt;&gt;"",Results!$M165/SUM($M$7:$M$189),"")</f>
        <v/>
      </c>
      <c r="O165" s="85" t="str">
        <f>IF(Results!$C165="Energy", VLOOKUP(Results!$D165,'Energy Costs Inputs (Optional)'!$AS$3:$AU$20,2,FALSE)*Results!$I165, "")</f>
        <v/>
      </c>
      <c r="P165" s="84" t="str">
        <f>IF(Results!$O165&lt;&gt;"",Results!$O165/SUM($O$7:$O$189),"")</f>
        <v/>
      </c>
      <c r="Q165" s="85" t="str">
        <f>IF(Results!$C165="Energy", VLOOKUP(Results!$D165,'Energy Costs Inputs (Optional)'!$AS$3:$AU$20,2,FALSE)*Results!$L165, "")</f>
        <v/>
      </c>
      <c r="R165" s="84" t="str">
        <f>IF(Results!$Q165&lt;&gt;"",Results!$Q165/SUM($Q$7:$Q$189),"")</f>
        <v/>
      </c>
      <c r="S165" s="85" t="str">
        <f t="shared" si="4"/>
        <v/>
      </c>
      <c r="T165" s="13" t="str">
        <f>IF(Results!$I165&lt;&gt;"",(HLOOKUP(Table13[[#This Row],[Units]],'Emission Inputs (Optional)'!$L$10:$R$27,MATCH(Table13[[#This Row],[Energy Source]],'Emission Inputs (Optional)'!$L$10:$L$27,0),FALSE))*Table13[[#This Row],[Annual Consumption (Baseline)]],"")</f>
        <v/>
      </c>
      <c r="U165" s="13" t="str">
        <f>IF(Results!$T165&lt;&gt;"",Results!$T165,H165)</f>
        <v/>
      </c>
      <c r="V165" s="84" t="str">
        <f>IF(Results!$U165="","",IF(U165&lt;&gt;"",U165,0)/SUM(Results!$U$7:$U$189))</f>
        <v/>
      </c>
      <c r="W165" s="101" t="str">
        <f>IF(Results!$I165&lt;&gt;"",(HLOOKUP(Table13[[#This Row],[Units]],'Emission Inputs (Optional)'!$L$10:$R$27,MATCH(Table13[[#This Row],[Energy Source]],'Emission Inputs (Optional)'!$L$10:$L$27,0),FALSE))*(Table13[[#This Row],[Annual Consumption (Baseline)]]-Table13[[#This Row],[Energy Savings]]),"")</f>
        <v/>
      </c>
      <c r="X165" s="13" t="str">
        <f>IFERROR(VLOOKUP(B165,'Emission Inputs (Optional)'!$G$9:$J$191,4,FALSE),"")</f>
        <v/>
      </c>
      <c r="Y165" s="95" t="str">
        <f>IF(Results!$W165&lt;&gt;"",Results!$W165,IF(X165&lt;&gt;"",(H165-X165),""))</f>
        <v/>
      </c>
      <c r="Z165" s="95" t="str">
        <f t="shared" si="5"/>
        <v/>
      </c>
      <c r="AA165" s="89" t="str">
        <f>IF(Results!$U165="","",IF(U165&lt;&gt;"",U165,0)/SUM(Results!$U$7:$U$189))</f>
        <v/>
      </c>
      <c r="AB165" s="8"/>
      <c r="AC165" s="8"/>
      <c r="AD165" s="8"/>
      <c r="AE165" s="8"/>
      <c r="AF165" s="8"/>
      <c r="AG165" s="8"/>
      <c r="AH165" s="8"/>
      <c r="AI165" s="8"/>
      <c r="AJ165" s="8"/>
      <c r="AK165" s="8"/>
      <c r="AL165" s="8"/>
      <c r="AM165" s="8"/>
      <c r="AN165" s="8"/>
      <c r="AO165" s="8"/>
      <c r="AP165" s="8"/>
      <c r="AQ165" s="8"/>
      <c r="AR165" s="8"/>
      <c r="AS165" s="8"/>
      <c r="AT165" s="8"/>
    </row>
    <row r="166" spans="1:46" x14ac:dyDescent="0.2">
      <c r="A166" s="55" t="str">
        <f>IF(B166&lt;&gt;"",COUNTA($B$7:B166),"")</f>
        <v/>
      </c>
      <c r="B166" s="83"/>
      <c r="C166" s="83"/>
      <c r="D166" s="83" t="str">
        <f>IF(Table13[[#This Row],[Energy Source]]="","",Table13[[#This Row],[Energy Source]])</f>
        <v/>
      </c>
      <c r="E166" s="83" t="str">
        <f>IF(Table13[[#This Row],[Units]]="", "", Table13[[#This Row],[Units]])</f>
        <v/>
      </c>
      <c r="F166" s="83" t="str">
        <f>IF(Table13[[#This Row],[Annual Consumption (Baseline)]]="", "", Table13[[#This Row],[Annual Consumption (Baseline)]])</f>
        <v/>
      </c>
      <c r="G166" s="83" t="str">
        <f>IF(F166="", "", IF(Results!$C166="Energy", VLOOKUP(Results!$E166,'Emission Inputs (Optional)'!$T$10:$U$27,2,FALSE)*Table13[[#This Row],[Energy Savings]], ""))</f>
        <v/>
      </c>
      <c r="H166" s="13" t="str">
        <f>IFERROR(VLOOKUP(B166,'Emission Inputs (Optional)'!$G$9:$I$191,3,FALSE),"")</f>
        <v/>
      </c>
      <c r="I166" s="13" t="str">
        <f>IF(Results!$C166="Energy", VLOOKUP(Results!$E166,'Emission Inputs (Optional)'!$T$10:$U$27,2,FALSE)*Results!$F166, "")</f>
        <v/>
      </c>
      <c r="J166" s="13" t="str">
        <f>IF(Results!$I166&lt;&gt;"",Results!$I166*0.293071,"")</f>
        <v/>
      </c>
      <c r="K166" s="84" t="str">
        <f>IF(Results!$I166&lt;&gt;"",Results!$I166/SUM($I$7:$I$189),"")</f>
        <v/>
      </c>
      <c r="L166" s="13" t="str">
        <f>IF(Results!$F166&lt;&gt;"",I166-G166,"")</f>
        <v/>
      </c>
      <c r="M166" s="13" t="str">
        <f>IF(Results!$L166&lt;&gt;"",Results!$L166*0.293071,"")</f>
        <v/>
      </c>
      <c r="N166" s="84" t="str">
        <f>IF(Results!$M166&lt;&gt;"",Results!$M166/SUM($M$7:$M$189),"")</f>
        <v/>
      </c>
      <c r="O166" s="85" t="str">
        <f>IF(Results!$C166="Energy", VLOOKUP(Results!$D166,'Energy Costs Inputs (Optional)'!$AS$3:$AU$20,2,FALSE)*Results!$I166, "")</f>
        <v/>
      </c>
      <c r="P166" s="84" t="str">
        <f>IF(Results!$O166&lt;&gt;"",Results!$O166/SUM($O$7:$O$189),"")</f>
        <v/>
      </c>
      <c r="Q166" s="85" t="str">
        <f>IF(Results!$C166="Energy", VLOOKUP(Results!$D166,'Energy Costs Inputs (Optional)'!$AS$3:$AU$20,2,FALSE)*Results!$L166, "")</f>
        <v/>
      </c>
      <c r="R166" s="84" t="str">
        <f>IF(Results!$Q166&lt;&gt;"",Results!$Q166/SUM($Q$7:$Q$189),"")</f>
        <v/>
      </c>
      <c r="S166" s="85" t="str">
        <f t="shared" si="4"/>
        <v/>
      </c>
      <c r="T166" s="13" t="str">
        <f>IF(Results!$I166&lt;&gt;"",(HLOOKUP(Table13[[#This Row],[Units]],'Emission Inputs (Optional)'!$L$10:$R$27,MATCH(Table13[[#This Row],[Energy Source]],'Emission Inputs (Optional)'!$L$10:$L$27,0),FALSE))*Table13[[#This Row],[Annual Consumption (Baseline)]],"")</f>
        <v/>
      </c>
      <c r="U166" s="13" t="str">
        <f>IF(Results!$T166&lt;&gt;"",Results!$T166,H166)</f>
        <v/>
      </c>
      <c r="V166" s="84" t="str">
        <f>IF(Results!$U166="","",IF(U166&lt;&gt;"",U166,0)/SUM(Results!$U$7:$U$189))</f>
        <v/>
      </c>
      <c r="W166" s="101" t="str">
        <f>IF(Results!$I166&lt;&gt;"",(HLOOKUP(Table13[[#This Row],[Units]],'Emission Inputs (Optional)'!$L$10:$R$27,MATCH(Table13[[#This Row],[Energy Source]],'Emission Inputs (Optional)'!$L$10:$L$27,0),FALSE))*(Table13[[#This Row],[Annual Consumption (Baseline)]]-Table13[[#This Row],[Energy Savings]]),"")</f>
        <v/>
      </c>
      <c r="X166" s="13" t="str">
        <f>IFERROR(VLOOKUP(B166,'Emission Inputs (Optional)'!$G$9:$J$191,4,FALSE),"")</f>
        <v/>
      </c>
      <c r="Y166" s="95" t="str">
        <f>IF(Results!$W166&lt;&gt;"",Results!$W166,IF(X166&lt;&gt;"",(H166-X166),""))</f>
        <v/>
      </c>
      <c r="Z166" s="95" t="str">
        <f t="shared" si="5"/>
        <v/>
      </c>
      <c r="AA166" s="89" t="str">
        <f>IF(Results!$U166="","",IF(U166&lt;&gt;"",U166,0)/SUM(Results!$U$7:$U$189))</f>
        <v/>
      </c>
      <c r="AB166" s="8"/>
      <c r="AC166" s="8"/>
      <c r="AD166" s="8"/>
      <c r="AE166" s="8"/>
      <c r="AF166" s="8"/>
      <c r="AG166" s="8"/>
      <c r="AH166" s="8"/>
      <c r="AI166" s="8"/>
      <c r="AJ166" s="8"/>
      <c r="AK166" s="8"/>
      <c r="AL166" s="8"/>
      <c r="AM166" s="8"/>
      <c r="AN166" s="8"/>
      <c r="AO166" s="8"/>
      <c r="AP166" s="8"/>
      <c r="AQ166" s="8"/>
      <c r="AR166" s="8"/>
      <c r="AS166" s="8"/>
      <c r="AT166" s="8"/>
    </row>
    <row r="167" spans="1:46" x14ac:dyDescent="0.2">
      <c r="A167" s="55" t="str">
        <f>IF(B167&lt;&gt;"",COUNTA($B$7:B167),"")</f>
        <v/>
      </c>
      <c r="B167" s="83"/>
      <c r="C167" s="83"/>
      <c r="D167" s="83" t="str">
        <f>IF(Table13[[#This Row],[Energy Source]]="","",Table13[[#This Row],[Energy Source]])</f>
        <v/>
      </c>
      <c r="E167" s="83" t="str">
        <f>IF(Table13[[#This Row],[Units]]="", "", Table13[[#This Row],[Units]])</f>
        <v/>
      </c>
      <c r="F167" s="83" t="str">
        <f>IF(Table13[[#This Row],[Annual Consumption (Baseline)]]="", "", Table13[[#This Row],[Annual Consumption (Baseline)]])</f>
        <v/>
      </c>
      <c r="G167" s="83" t="str">
        <f>IF(F167="", "", IF(Results!$C167="Energy", VLOOKUP(Results!$E167,'Emission Inputs (Optional)'!$T$10:$U$27,2,FALSE)*Table13[[#This Row],[Energy Savings]], ""))</f>
        <v/>
      </c>
      <c r="H167" s="13" t="str">
        <f>IFERROR(VLOOKUP(B167,'Emission Inputs (Optional)'!$G$9:$I$191,3,FALSE),"")</f>
        <v/>
      </c>
      <c r="I167" s="13" t="str">
        <f>IF(Results!$C167="Energy", VLOOKUP(Results!$E167,'Emission Inputs (Optional)'!$T$10:$U$27,2,FALSE)*Results!$F167, "")</f>
        <v/>
      </c>
      <c r="J167" s="13" t="str">
        <f>IF(Results!$I167&lt;&gt;"",Results!$I167*0.293071,"")</f>
        <v/>
      </c>
      <c r="K167" s="84" t="str">
        <f>IF(Results!$I167&lt;&gt;"",Results!$I167/SUM($I$7:$I$189),"")</f>
        <v/>
      </c>
      <c r="L167" s="13" t="str">
        <f>IF(Results!$F167&lt;&gt;"",I167-G167,"")</f>
        <v/>
      </c>
      <c r="M167" s="13" t="str">
        <f>IF(Results!$L167&lt;&gt;"",Results!$L167*0.293071,"")</f>
        <v/>
      </c>
      <c r="N167" s="84" t="str">
        <f>IF(Results!$M167&lt;&gt;"",Results!$M167/SUM($M$7:$M$189),"")</f>
        <v/>
      </c>
      <c r="O167" s="85" t="str">
        <f>IF(Results!$C167="Energy", VLOOKUP(Results!$D167,'Energy Costs Inputs (Optional)'!$AS$3:$AU$20,2,FALSE)*Results!$I167, "")</f>
        <v/>
      </c>
      <c r="P167" s="84" t="str">
        <f>IF(Results!$O167&lt;&gt;"",Results!$O167/SUM($O$7:$O$189),"")</f>
        <v/>
      </c>
      <c r="Q167" s="85" t="str">
        <f>IF(Results!$C167="Energy", VLOOKUP(Results!$D167,'Energy Costs Inputs (Optional)'!$AS$3:$AU$20,2,FALSE)*Results!$L167, "")</f>
        <v/>
      </c>
      <c r="R167" s="84" t="str">
        <f>IF(Results!$Q167&lt;&gt;"",Results!$Q167/SUM($Q$7:$Q$189),"")</f>
        <v/>
      </c>
      <c r="S167" s="85" t="str">
        <f t="shared" si="4"/>
        <v/>
      </c>
      <c r="T167" s="13" t="str">
        <f>IF(Results!$I167&lt;&gt;"",(HLOOKUP(Table13[[#This Row],[Units]],'Emission Inputs (Optional)'!$L$10:$R$27,MATCH(Table13[[#This Row],[Energy Source]],'Emission Inputs (Optional)'!$L$10:$L$27,0),FALSE))*Table13[[#This Row],[Annual Consumption (Baseline)]],"")</f>
        <v/>
      </c>
      <c r="U167" s="13" t="str">
        <f>IF(Results!$T167&lt;&gt;"",Results!$T167,H167)</f>
        <v/>
      </c>
      <c r="V167" s="84" t="str">
        <f>IF(Results!$U167="","",IF(U167&lt;&gt;"",U167,0)/SUM(Results!$U$7:$U$189))</f>
        <v/>
      </c>
      <c r="W167" s="101" t="str">
        <f>IF(Results!$I167&lt;&gt;"",(HLOOKUP(Table13[[#This Row],[Units]],'Emission Inputs (Optional)'!$L$10:$R$27,MATCH(Table13[[#This Row],[Energy Source]],'Emission Inputs (Optional)'!$L$10:$L$27,0),FALSE))*(Table13[[#This Row],[Annual Consumption (Baseline)]]-Table13[[#This Row],[Energy Savings]]),"")</f>
        <v/>
      </c>
      <c r="X167" s="13" t="str">
        <f>IFERROR(VLOOKUP(B167,'Emission Inputs (Optional)'!$G$9:$J$191,4,FALSE),"")</f>
        <v/>
      </c>
      <c r="Y167" s="95" t="str">
        <f>IF(Results!$W167&lt;&gt;"",Results!$W167,IF(X167&lt;&gt;"",(H167-X167),""))</f>
        <v/>
      </c>
      <c r="Z167" s="95" t="str">
        <f t="shared" si="5"/>
        <v/>
      </c>
      <c r="AA167" s="89" t="str">
        <f>IF(Results!$U167="","",IF(U167&lt;&gt;"",U167,0)/SUM(Results!$U$7:$U$189))</f>
        <v/>
      </c>
      <c r="AB167" s="8"/>
      <c r="AC167" s="8"/>
      <c r="AD167" s="8"/>
      <c r="AE167" s="8"/>
      <c r="AF167" s="8"/>
      <c r="AG167" s="8"/>
      <c r="AH167" s="8"/>
      <c r="AI167" s="8"/>
      <c r="AJ167" s="8"/>
      <c r="AK167" s="8"/>
      <c r="AL167" s="8"/>
      <c r="AM167" s="8"/>
      <c r="AN167" s="8"/>
      <c r="AO167" s="8"/>
      <c r="AP167" s="8"/>
      <c r="AQ167" s="8"/>
      <c r="AR167" s="8"/>
      <c r="AS167" s="8"/>
      <c r="AT167" s="8"/>
    </row>
    <row r="168" spans="1:46" x14ac:dyDescent="0.2">
      <c r="A168" s="55" t="str">
        <f>IF(B168&lt;&gt;"",COUNTA($B$7:B168),"")</f>
        <v/>
      </c>
      <c r="B168" s="83"/>
      <c r="C168" s="83"/>
      <c r="D168" s="83" t="str">
        <f>IF(Table13[[#This Row],[Energy Source]]="","",Table13[[#This Row],[Energy Source]])</f>
        <v/>
      </c>
      <c r="E168" s="83" t="str">
        <f>IF(Table13[[#This Row],[Units]]="", "", Table13[[#This Row],[Units]])</f>
        <v/>
      </c>
      <c r="F168" s="83" t="str">
        <f>IF(Table13[[#This Row],[Annual Consumption (Baseline)]]="", "", Table13[[#This Row],[Annual Consumption (Baseline)]])</f>
        <v/>
      </c>
      <c r="G168" s="83" t="str">
        <f>IF(F168="", "", IF(Results!$C168="Energy", VLOOKUP(Results!$E168,'Emission Inputs (Optional)'!$T$10:$U$27,2,FALSE)*Table13[[#This Row],[Energy Savings]], ""))</f>
        <v/>
      </c>
      <c r="H168" s="13" t="str">
        <f>IFERROR(VLOOKUP(B168,'Emission Inputs (Optional)'!$G$9:$I$191,3,FALSE),"")</f>
        <v/>
      </c>
      <c r="I168" s="13" t="str">
        <f>IF(Results!$C168="Energy", VLOOKUP(Results!$E168,'Emission Inputs (Optional)'!$T$10:$U$27,2,FALSE)*Results!$F168, "")</f>
        <v/>
      </c>
      <c r="J168" s="13" t="str">
        <f>IF(Results!$I168&lt;&gt;"",Results!$I168*0.293071,"")</f>
        <v/>
      </c>
      <c r="K168" s="84" t="str">
        <f>IF(Results!$I168&lt;&gt;"",Results!$I168/SUM($I$7:$I$189),"")</f>
        <v/>
      </c>
      <c r="L168" s="13" t="str">
        <f>IF(Results!$F168&lt;&gt;"",I168-G168,"")</f>
        <v/>
      </c>
      <c r="M168" s="13" t="str">
        <f>IF(Results!$L168&lt;&gt;"",Results!$L168*0.293071,"")</f>
        <v/>
      </c>
      <c r="N168" s="84" t="str">
        <f>IF(Results!$M168&lt;&gt;"",Results!$M168/SUM($M$7:$M$189),"")</f>
        <v/>
      </c>
      <c r="O168" s="85" t="str">
        <f>IF(Results!$C168="Energy", VLOOKUP(Results!$D168,'Energy Costs Inputs (Optional)'!$AS$3:$AU$20,2,FALSE)*Results!$I168, "")</f>
        <v/>
      </c>
      <c r="P168" s="84" t="str">
        <f>IF(Results!$O168&lt;&gt;"",Results!$O168/SUM($O$7:$O$189),"")</f>
        <v/>
      </c>
      <c r="Q168" s="85" t="str">
        <f>IF(Results!$C168="Energy", VLOOKUP(Results!$D168,'Energy Costs Inputs (Optional)'!$AS$3:$AU$20,2,FALSE)*Results!$L168, "")</f>
        <v/>
      </c>
      <c r="R168" s="84" t="str">
        <f>IF(Results!$Q168&lt;&gt;"",Results!$Q168/SUM($Q$7:$Q$189),"")</f>
        <v/>
      </c>
      <c r="S168" s="85" t="str">
        <f t="shared" si="4"/>
        <v/>
      </c>
      <c r="T168" s="13" t="str">
        <f>IF(Results!$I168&lt;&gt;"",(HLOOKUP(Table13[[#This Row],[Units]],'Emission Inputs (Optional)'!$L$10:$R$27,MATCH(Table13[[#This Row],[Energy Source]],'Emission Inputs (Optional)'!$L$10:$L$27,0),FALSE))*Table13[[#This Row],[Annual Consumption (Baseline)]],"")</f>
        <v/>
      </c>
      <c r="U168" s="13" t="str">
        <f>IF(Results!$T168&lt;&gt;"",Results!$T168,H168)</f>
        <v/>
      </c>
      <c r="V168" s="84" t="str">
        <f>IF(Results!$U168="","",IF(U168&lt;&gt;"",U168,0)/SUM(Results!$U$7:$U$189))</f>
        <v/>
      </c>
      <c r="W168" s="101" t="str">
        <f>IF(Results!$I168&lt;&gt;"",(HLOOKUP(Table13[[#This Row],[Units]],'Emission Inputs (Optional)'!$L$10:$R$27,MATCH(Table13[[#This Row],[Energy Source]],'Emission Inputs (Optional)'!$L$10:$L$27,0),FALSE))*(Table13[[#This Row],[Annual Consumption (Baseline)]]-Table13[[#This Row],[Energy Savings]]),"")</f>
        <v/>
      </c>
      <c r="X168" s="13" t="str">
        <f>IFERROR(VLOOKUP(B168,'Emission Inputs (Optional)'!$G$9:$J$191,4,FALSE),"")</f>
        <v/>
      </c>
      <c r="Y168" s="95" t="str">
        <f>IF(Results!$W168&lt;&gt;"",Results!$W168,IF(X168&lt;&gt;"",(H168-X168),""))</f>
        <v/>
      </c>
      <c r="Z168" s="95" t="str">
        <f t="shared" si="5"/>
        <v/>
      </c>
      <c r="AA168" s="89" t="str">
        <f>IF(Results!$U168="","",IF(U168&lt;&gt;"",U168,0)/SUM(Results!$U$7:$U$189))</f>
        <v/>
      </c>
      <c r="AB168" s="8"/>
      <c r="AC168" s="8"/>
      <c r="AD168" s="8"/>
      <c r="AE168" s="8"/>
      <c r="AF168" s="8"/>
      <c r="AG168" s="8"/>
      <c r="AH168" s="8"/>
      <c r="AI168" s="8"/>
      <c r="AJ168" s="8"/>
      <c r="AK168" s="8"/>
      <c r="AL168" s="8"/>
      <c r="AM168" s="8"/>
      <c r="AN168" s="8"/>
      <c r="AO168" s="8"/>
      <c r="AP168" s="8"/>
      <c r="AQ168" s="8"/>
      <c r="AR168" s="8"/>
      <c r="AS168" s="8"/>
      <c r="AT168" s="8"/>
    </row>
    <row r="169" spans="1:46" x14ac:dyDescent="0.2">
      <c r="A169" s="55" t="str">
        <f>IF(B169&lt;&gt;"",COUNTA($B$7:B169),"")</f>
        <v/>
      </c>
      <c r="B169" s="83"/>
      <c r="C169" s="83"/>
      <c r="D169" s="83" t="str">
        <f>IF(Table13[[#This Row],[Energy Source]]="","",Table13[[#This Row],[Energy Source]])</f>
        <v/>
      </c>
      <c r="E169" s="83" t="str">
        <f>IF(Table13[[#This Row],[Units]]="", "", Table13[[#This Row],[Units]])</f>
        <v/>
      </c>
      <c r="F169" s="83" t="str">
        <f>IF(Table13[[#This Row],[Annual Consumption (Baseline)]]="", "", Table13[[#This Row],[Annual Consumption (Baseline)]])</f>
        <v/>
      </c>
      <c r="G169" s="83" t="str">
        <f>IF(F169="", "", IF(Results!$C169="Energy", VLOOKUP(Results!$E169,'Emission Inputs (Optional)'!$T$10:$U$27,2,FALSE)*Table13[[#This Row],[Energy Savings]], ""))</f>
        <v/>
      </c>
      <c r="H169" s="13" t="str">
        <f>IFERROR(VLOOKUP(B169,'Emission Inputs (Optional)'!$G$9:$I$191,3,FALSE),"")</f>
        <v/>
      </c>
      <c r="I169" s="13" t="str">
        <f>IF(Results!$C169="Energy", VLOOKUP(Results!$E169,'Emission Inputs (Optional)'!$T$10:$U$27,2,FALSE)*Results!$F169, "")</f>
        <v/>
      </c>
      <c r="J169" s="13" t="str">
        <f>IF(Results!$I169&lt;&gt;"",Results!$I169*0.293071,"")</f>
        <v/>
      </c>
      <c r="K169" s="84" t="str">
        <f>IF(Results!$I169&lt;&gt;"",Results!$I169/SUM($I$7:$I$189),"")</f>
        <v/>
      </c>
      <c r="L169" s="13" t="str">
        <f>IF(Results!$F169&lt;&gt;"",I169-G169,"")</f>
        <v/>
      </c>
      <c r="M169" s="13" t="str">
        <f>IF(Results!$L169&lt;&gt;"",Results!$L169*0.293071,"")</f>
        <v/>
      </c>
      <c r="N169" s="84" t="str">
        <f>IF(Results!$M169&lt;&gt;"",Results!$M169/SUM($M$7:$M$189),"")</f>
        <v/>
      </c>
      <c r="O169" s="85" t="str">
        <f>IF(Results!$C169="Energy", VLOOKUP(Results!$D169,'Energy Costs Inputs (Optional)'!$AS$3:$AU$20,2,FALSE)*Results!$I169, "")</f>
        <v/>
      </c>
      <c r="P169" s="84" t="str">
        <f>IF(Results!$O169&lt;&gt;"",Results!$O169/SUM($O$7:$O$189),"")</f>
        <v/>
      </c>
      <c r="Q169" s="85" t="str">
        <f>IF(Results!$C169="Energy", VLOOKUP(Results!$D169,'Energy Costs Inputs (Optional)'!$AS$3:$AU$20,2,FALSE)*Results!$L169, "")</f>
        <v/>
      </c>
      <c r="R169" s="84" t="str">
        <f>IF(Results!$Q169&lt;&gt;"",Results!$Q169/SUM($Q$7:$Q$189),"")</f>
        <v/>
      </c>
      <c r="S169" s="85" t="str">
        <f t="shared" si="4"/>
        <v/>
      </c>
      <c r="T169" s="13" t="str">
        <f>IF(Results!$I169&lt;&gt;"",(HLOOKUP(Table13[[#This Row],[Units]],'Emission Inputs (Optional)'!$L$10:$R$27,MATCH(Table13[[#This Row],[Energy Source]],'Emission Inputs (Optional)'!$L$10:$L$27,0),FALSE))*Table13[[#This Row],[Annual Consumption (Baseline)]],"")</f>
        <v/>
      </c>
      <c r="U169" s="13" t="str">
        <f>IF(Results!$T169&lt;&gt;"",Results!$T169,H169)</f>
        <v/>
      </c>
      <c r="V169" s="84" t="str">
        <f>IF(Results!$U169="","",IF(U169&lt;&gt;"",U169,0)/SUM(Results!$U$7:$U$189))</f>
        <v/>
      </c>
      <c r="W169" s="101" t="str">
        <f>IF(Results!$I169&lt;&gt;"",(HLOOKUP(Table13[[#This Row],[Units]],'Emission Inputs (Optional)'!$L$10:$R$27,MATCH(Table13[[#This Row],[Energy Source]],'Emission Inputs (Optional)'!$L$10:$L$27,0),FALSE))*(Table13[[#This Row],[Annual Consumption (Baseline)]]-Table13[[#This Row],[Energy Savings]]),"")</f>
        <v/>
      </c>
      <c r="X169" s="13" t="str">
        <f>IFERROR(VLOOKUP(B169,'Emission Inputs (Optional)'!$G$9:$J$191,4,FALSE),"")</f>
        <v/>
      </c>
      <c r="Y169" s="95" t="str">
        <f>IF(Results!$W169&lt;&gt;"",Results!$W169,IF(X169&lt;&gt;"",(H169-X169),""))</f>
        <v/>
      </c>
      <c r="Z169" s="95" t="str">
        <f t="shared" si="5"/>
        <v/>
      </c>
      <c r="AA169" s="89" t="str">
        <f>IF(Results!$U169="","",IF(U169&lt;&gt;"",U169,0)/SUM(Results!$U$7:$U$189))</f>
        <v/>
      </c>
      <c r="AB169" s="8"/>
      <c r="AC169" s="8"/>
      <c r="AD169" s="8"/>
      <c r="AE169" s="8"/>
      <c r="AF169" s="8"/>
      <c r="AG169" s="8"/>
      <c r="AH169" s="8"/>
      <c r="AI169" s="8"/>
      <c r="AJ169" s="8"/>
      <c r="AK169" s="8"/>
      <c r="AL169" s="8"/>
      <c r="AM169" s="8"/>
      <c r="AN169" s="8"/>
      <c r="AO169" s="8"/>
      <c r="AP169" s="8"/>
      <c r="AQ169" s="8"/>
      <c r="AR169" s="8"/>
      <c r="AS169" s="8"/>
      <c r="AT169" s="8"/>
    </row>
    <row r="170" spans="1:46" x14ac:dyDescent="0.2">
      <c r="A170" s="55" t="str">
        <f>IF(B170&lt;&gt;"",COUNTA($B$7:B170),"")</f>
        <v/>
      </c>
      <c r="B170" s="83"/>
      <c r="C170" s="83"/>
      <c r="D170" s="83" t="str">
        <f>IF(Table13[[#This Row],[Energy Source]]="","",Table13[[#This Row],[Energy Source]])</f>
        <v/>
      </c>
      <c r="E170" s="83" t="str">
        <f>IF(Table13[[#This Row],[Units]]="", "", Table13[[#This Row],[Units]])</f>
        <v/>
      </c>
      <c r="F170" s="83" t="str">
        <f>IF(Table13[[#This Row],[Annual Consumption (Baseline)]]="", "", Table13[[#This Row],[Annual Consumption (Baseline)]])</f>
        <v/>
      </c>
      <c r="G170" s="83" t="str">
        <f>IF(F170="", "", IF(Results!$C170="Energy", VLOOKUP(Results!$E170,'Emission Inputs (Optional)'!$T$10:$U$27,2,FALSE)*Table13[[#This Row],[Energy Savings]], ""))</f>
        <v/>
      </c>
      <c r="H170" s="13" t="str">
        <f>IFERROR(VLOOKUP(B170,'Emission Inputs (Optional)'!$G$9:$I$191,3,FALSE),"")</f>
        <v/>
      </c>
      <c r="I170" s="13" t="str">
        <f>IF(Results!$C170="Energy", VLOOKUP(Results!$E170,'Emission Inputs (Optional)'!$T$10:$U$27,2,FALSE)*Results!$F170, "")</f>
        <v/>
      </c>
      <c r="J170" s="13" t="str">
        <f>IF(Results!$I170&lt;&gt;"",Results!$I170*0.293071,"")</f>
        <v/>
      </c>
      <c r="K170" s="84" t="str">
        <f>IF(Results!$I170&lt;&gt;"",Results!$I170/SUM($I$7:$I$189),"")</f>
        <v/>
      </c>
      <c r="L170" s="13" t="str">
        <f>IF(Results!$F170&lt;&gt;"",I170-G170,"")</f>
        <v/>
      </c>
      <c r="M170" s="13" t="str">
        <f>IF(Results!$L170&lt;&gt;"",Results!$L170*0.293071,"")</f>
        <v/>
      </c>
      <c r="N170" s="84" t="str">
        <f>IF(Results!$M170&lt;&gt;"",Results!$M170/SUM($M$7:$M$189),"")</f>
        <v/>
      </c>
      <c r="O170" s="85" t="str">
        <f>IF(Results!$C170="Energy", VLOOKUP(Results!$D170,'Energy Costs Inputs (Optional)'!$AS$3:$AU$20,2,FALSE)*Results!$I170, "")</f>
        <v/>
      </c>
      <c r="P170" s="84" t="str">
        <f>IF(Results!$O170&lt;&gt;"",Results!$O170/SUM($O$7:$O$189),"")</f>
        <v/>
      </c>
      <c r="Q170" s="85" t="str">
        <f>IF(Results!$C170="Energy", VLOOKUP(Results!$D170,'Energy Costs Inputs (Optional)'!$AS$3:$AU$20,2,FALSE)*Results!$L170, "")</f>
        <v/>
      </c>
      <c r="R170" s="84" t="str">
        <f>IF(Results!$Q170&lt;&gt;"",Results!$Q170/SUM($Q$7:$Q$189),"")</f>
        <v/>
      </c>
      <c r="S170" s="85" t="str">
        <f t="shared" si="4"/>
        <v/>
      </c>
      <c r="T170" s="13" t="str">
        <f>IF(Results!$I170&lt;&gt;"",(HLOOKUP(Table13[[#This Row],[Units]],'Emission Inputs (Optional)'!$L$10:$R$27,MATCH(Table13[[#This Row],[Energy Source]],'Emission Inputs (Optional)'!$L$10:$L$27,0),FALSE))*Table13[[#This Row],[Annual Consumption (Baseline)]],"")</f>
        <v/>
      </c>
      <c r="U170" s="13" t="str">
        <f>IF(Results!$T170&lt;&gt;"",Results!$T170,H170)</f>
        <v/>
      </c>
      <c r="V170" s="84" t="str">
        <f>IF(Results!$U170="","",IF(U170&lt;&gt;"",U170,0)/SUM(Results!$U$7:$U$189))</f>
        <v/>
      </c>
      <c r="W170" s="101" t="str">
        <f>IF(Results!$I170&lt;&gt;"",(HLOOKUP(Table13[[#This Row],[Units]],'Emission Inputs (Optional)'!$L$10:$R$27,MATCH(Table13[[#This Row],[Energy Source]],'Emission Inputs (Optional)'!$L$10:$L$27,0),FALSE))*(Table13[[#This Row],[Annual Consumption (Baseline)]]-Table13[[#This Row],[Energy Savings]]),"")</f>
        <v/>
      </c>
      <c r="X170" s="13" t="str">
        <f>IFERROR(VLOOKUP(B170,'Emission Inputs (Optional)'!$G$9:$J$191,4,FALSE),"")</f>
        <v/>
      </c>
      <c r="Y170" s="95" t="str">
        <f>IF(Results!$W170&lt;&gt;"",Results!$W170,IF(X170&lt;&gt;"",(H170-X170),""))</f>
        <v/>
      </c>
      <c r="Z170" s="95" t="str">
        <f t="shared" si="5"/>
        <v/>
      </c>
      <c r="AA170" s="89" t="str">
        <f>IF(Results!$U170="","",IF(U170&lt;&gt;"",U170,0)/SUM(Results!$U$7:$U$189))</f>
        <v/>
      </c>
      <c r="AB170" s="8"/>
      <c r="AC170" s="8"/>
      <c r="AD170" s="8"/>
      <c r="AE170" s="8"/>
      <c r="AF170" s="8"/>
      <c r="AG170" s="8"/>
      <c r="AH170" s="8"/>
      <c r="AI170" s="8"/>
      <c r="AJ170" s="8"/>
      <c r="AK170" s="8"/>
      <c r="AL170" s="8"/>
      <c r="AM170" s="8"/>
      <c r="AN170" s="8"/>
      <c r="AO170" s="8"/>
      <c r="AP170" s="8"/>
      <c r="AQ170" s="8"/>
      <c r="AR170" s="8"/>
      <c r="AS170" s="8"/>
      <c r="AT170" s="8"/>
    </row>
    <row r="171" spans="1:46" x14ac:dyDescent="0.2">
      <c r="A171" s="55" t="str">
        <f>IF(B171&lt;&gt;"",COUNTA($B$7:B171),"")</f>
        <v/>
      </c>
      <c r="B171" s="83"/>
      <c r="C171" s="83"/>
      <c r="D171" s="83" t="str">
        <f>IF(Table13[[#This Row],[Energy Source]]="","",Table13[[#This Row],[Energy Source]])</f>
        <v/>
      </c>
      <c r="E171" s="83" t="str">
        <f>IF(Table13[[#This Row],[Units]]="", "", Table13[[#This Row],[Units]])</f>
        <v/>
      </c>
      <c r="F171" s="83" t="str">
        <f>IF(Table13[[#This Row],[Annual Consumption (Baseline)]]="", "", Table13[[#This Row],[Annual Consumption (Baseline)]])</f>
        <v/>
      </c>
      <c r="G171" s="83" t="str">
        <f>IF(F171="", "", IF(Results!$C171="Energy", VLOOKUP(Results!$E171,'Emission Inputs (Optional)'!$T$10:$U$27,2,FALSE)*Table13[[#This Row],[Energy Savings]], ""))</f>
        <v/>
      </c>
      <c r="H171" s="13" t="str">
        <f>IFERROR(VLOOKUP(B171,'Emission Inputs (Optional)'!$G$9:$I$191,3,FALSE),"")</f>
        <v/>
      </c>
      <c r="I171" s="13" t="str">
        <f>IF(Results!$C171="Energy", VLOOKUP(Results!$E171,'Emission Inputs (Optional)'!$T$10:$U$27,2,FALSE)*Results!$F171, "")</f>
        <v/>
      </c>
      <c r="J171" s="13" t="str">
        <f>IF(Results!$I171&lt;&gt;"",Results!$I171*0.293071,"")</f>
        <v/>
      </c>
      <c r="K171" s="84" t="str">
        <f>IF(Results!$I171&lt;&gt;"",Results!$I171/SUM($I$7:$I$189),"")</f>
        <v/>
      </c>
      <c r="L171" s="13" t="str">
        <f>IF(Results!$F171&lt;&gt;"",I171-G171,"")</f>
        <v/>
      </c>
      <c r="M171" s="13" t="str">
        <f>IF(Results!$L171&lt;&gt;"",Results!$L171*0.293071,"")</f>
        <v/>
      </c>
      <c r="N171" s="84" t="str">
        <f>IF(Results!$M171&lt;&gt;"",Results!$M171/SUM($M$7:$M$189),"")</f>
        <v/>
      </c>
      <c r="O171" s="85" t="str">
        <f>IF(Results!$C171="Energy", VLOOKUP(Results!$D171,'Energy Costs Inputs (Optional)'!$AS$3:$AU$20,2,FALSE)*Results!$I171, "")</f>
        <v/>
      </c>
      <c r="P171" s="84" t="str">
        <f>IF(Results!$O171&lt;&gt;"",Results!$O171/SUM($O$7:$O$189),"")</f>
        <v/>
      </c>
      <c r="Q171" s="85" t="str">
        <f>IF(Results!$C171="Energy", VLOOKUP(Results!$D171,'Energy Costs Inputs (Optional)'!$AS$3:$AU$20,2,FALSE)*Results!$L171, "")</f>
        <v/>
      </c>
      <c r="R171" s="84" t="str">
        <f>IF(Results!$Q171&lt;&gt;"",Results!$Q171/SUM($Q$7:$Q$189),"")</f>
        <v/>
      </c>
      <c r="S171" s="85" t="str">
        <f t="shared" si="4"/>
        <v/>
      </c>
      <c r="T171" s="13" t="str">
        <f>IF(Results!$I171&lt;&gt;"",(HLOOKUP(Table13[[#This Row],[Units]],'Emission Inputs (Optional)'!$L$10:$R$27,MATCH(Table13[[#This Row],[Energy Source]],'Emission Inputs (Optional)'!$L$10:$L$27,0),FALSE))*Table13[[#This Row],[Annual Consumption (Baseline)]],"")</f>
        <v/>
      </c>
      <c r="U171" s="13" t="str">
        <f>IF(Results!$T171&lt;&gt;"",Results!$T171,H171)</f>
        <v/>
      </c>
      <c r="V171" s="84" t="str">
        <f>IF(Results!$U171="","",IF(U171&lt;&gt;"",U171,0)/SUM(Results!$U$7:$U$189))</f>
        <v/>
      </c>
      <c r="W171" s="101" t="str">
        <f>IF(Results!$I171&lt;&gt;"",(HLOOKUP(Table13[[#This Row],[Units]],'Emission Inputs (Optional)'!$L$10:$R$27,MATCH(Table13[[#This Row],[Energy Source]],'Emission Inputs (Optional)'!$L$10:$L$27,0),FALSE))*(Table13[[#This Row],[Annual Consumption (Baseline)]]-Table13[[#This Row],[Energy Savings]]),"")</f>
        <v/>
      </c>
      <c r="X171" s="13" t="str">
        <f>IFERROR(VLOOKUP(B171,'Emission Inputs (Optional)'!$G$9:$J$191,4,FALSE),"")</f>
        <v/>
      </c>
      <c r="Y171" s="95" t="str">
        <f>IF(Results!$W171&lt;&gt;"",Results!$W171,IF(X171&lt;&gt;"",(H171-X171),""))</f>
        <v/>
      </c>
      <c r="Z171" s="95" t="str">
        <f t="shared" si="5"/>
        <v/>
      </c>
      <c r="AA171" s="89" t="str">
        <f>IF(Results!$U171="","",IF(U171&lt;&gt;"",U171,0)/SUM(Results!$U$7:$U$189))</f>
        <v/>
      </c>
      <c r="AB171" s="8"/>
      <c r="AC171" s="8"/>
      <c r="AD171" s="8"/>
      <c r="AE171" s="8"/>
      <c r="AF171" s="8"/>
      <c r="AG171" s="8"/>
      <c r="AH171" s="8"/>
      <c r="AI171" s="8"/>
      <c r="AJ171" s="8"/>
      <c r="AK171" s="8"/>
      <c r="AL171" s="8"/>
      <c r="AM171" s="8"/>
      <c r="AN171" s="8"/>
      <c r="AO171" s="8"/>
      <c r="AP171" s="8"/>
      <c r="AQ171" s="8"/>
      <c r="AR171" s="8"/>
      <c r="AS171" s="8"/>
      <c r="AT171" s="8"/>
    </row>
    <row r="172" spans="1:46" x14ac:dyDescent="0.2">
      <c r="A172" s="55" t="str">
        <f>IF(B172&lt;&gt;"",COUNTA($B$7:B172),"")</f>
        <v/>
      </c>
      <c r="B172" s="83"/>
      <c r="C172" s="83"/>
      <c r="D172" s="83" t="str">
        <f>IF(Table13[[#This Row],[Energy Source]]="","",Table13[[#This Row],[Energy Source]])</f>
        <v/>
      </c>
      <c r="E172" s="83" t="str">
        <f>IF(Table13[[#This Row],[Units]]="", "", Table13[[#This Row],[Units]])</f>
        <v/>
      </c>
      <c r="F172" s="83" t="str">
        <f>IF(Table13[[#This Row],[Annual Consumption (Baseline)]]="", "", Table13[[#This Row],[Annual Consumption (Baseline)]])</f>
        <v/>
      </c>
      <c r="G172" s="83" t="str">
        <f>IF(F172="", "", IF(Results!$C172="Energy", VLOOKUP(Results!$E172,'Emission Inputs (Optional)'!$T$10:$U$27,2,FALSE)*Table13[[#This Row],[Energy Savings]], ""))</f>
        <v/>
      </c>
      <c r="H172" s="13" t="str">
        <f>IFERROR(VLOOKUP(B172,'Emission Inputs (Optional)'!$G$9:$I$191,3,FALSE),"")</f>
        <v/>
      </c>
      <c r="I172" s="13" t="str">
        <f>IF(Results!$C172="Energy", VLOOKUP(Results!$E172,'Emission Inputs (Optional)'!$T$10:$U$27,2,FALSE)*Results!$F172, "")</f>
        <v/>
      </c>
      <c r="J172" s="13" t="str">
        <f>IF(Results!$I172&lt;&gt;"",Results!$I172*0.293071,"")</f>
        <v/>
      </c>
      <c r="K172" s="84" t="str">
        <f>IF(Results!$I172&lt;&gt;"",Results!$I172/SUM($I$7:$I$189),"")</f>
        <v/>
      </c>
      <c r="L172" s="13" t="str">
        <f>IF(Results!$F172&lt;&gt;"",I172-G172,"")</f>
        <v/>
      </c>
      <c r="M172" s="13" t="str">
        <f>IF(Results!$L172&lt;&gt;"",Results!$L172*0.293071,"")</f>
        <v/>
      </c>
      <c r="N172" s="84" t="str">
        <f>IF(Results!$M172&lt;&gt;"",Results!$M172/SUM($M$7:$M$189),"")</f>
        <v/>
      </c>
      <c r="O172" s="85" t="str">
        <f>IF(Results!$C172="Energy", VLOOKUP(Results!$D172,'Energy Costs Inputs (Optional)'!$AS$3:$AU$20,2,FALSE)*Results!$I172, "")</f>
        <v/>
      </c>
      <c r="P172" s="84" t="str">
        <f>IF(Results!$O172&lt;&gt;"",Results!$O172/SUM($O$7:$O$189),"")</f>
        <v/>
      </c>
      <c r="Q172" s="85" t="str">
        <f>IF(Results!$C172="Energy", VLOOKUP(Results!$D172,'Energy Costs Inputs (Optional)'!$AS$3:$AU$20,2,FALSE)*Results!$L172, "")</f>
        <v/>
      </c>
      <c r="R172" s="84" t="str">
        <f>IF(Results!$Q172&lt;&gt;"",Results!$Q172/SUM($Q$7:$Q$189),"")</f>
        <v/>
      </c>
      <c r="S172" s="85" t="str">
        <f t="shared" si="4"/>
        <v/>
      </c>
      <c r="T172" s="13" t="str">
        <f>IF(Results!$I172&lt;&gt;"",(HLOOKUP(Table13[[#This Row],[Units]],'Emission Inputs (Optional)'!$L$10:$R$27,MATCH(Table13[[#This Row],[Energy Source]],'Emission Inputs (Optional)'!$L$10:$L$27,0),FALSE))*Table13[[#This Row],[Annual Consumption (Baseline)]],"")</f>
        <v/>
      </c>
      <c r="U172" s="13" t="str">
        <f>IF(Results!$T172&lt;&gt;"",Results!$T172,H172)</f>
        <v/>
      </c>
      <c r="V172" s="84" t="str">
        <f>IF(Results!$U172="","",IF(U172&lt;&gt;"",U172,0)/SUM(Results!$U$7:$U$189))</f>
        <v/>
      </c>
      <c r="W172" s="101" t="str">
        <f>IF(Results!$I172&lt;&gt;"",(HLOOKUP(Table13[[#This Row],[Units]],'Emission Inputs (Optional)'!$L$10:$R$27,MATCH(Table13[[#This Row],[Energy Source]],'Emission Inputs (Optional)'!$L$10:$L$27,0),FALSE))*(Table13[[#This Row],[Annual Consumption (Baseline)]]-Table13[[#This Row],[Energy Savings]]),"")</f>
        <v/>
      </c>
      <c r="X172" s="13" t="str">
        <f>IFERROR(VLOOKUP(B172,'Emission Inputs (Optional)'!$G$9:$J$191,4,FALSE),"")</f>
        <v/>
      </c>
      <c r="Y172" s="95" t="str">
        <f>IF(Results!$W172&lt;&gt;"",Results!$W172,IF(X172&lt;&gt;"",(H172-X172),""))</f>
        <v/>
      </c>
      <c r="Z172" s="95" t="str">
        <f t="shared" si="5"/>
        <v/>
      </c>
      <c r="AA172" s="89" t="str">
        <f>IF(Results!$U172="","",IF(U172&lt;&gt;"",U172,0)/SUM(Results!$U$7:$U$189))</f>
        <v/>
      </c>
      <c r="AB172" s="8"/>
      <c r="AC172" s="8"/>
      <c r="AD172" s="8"/>
      <c r="AE172" s="8"/>
      <c r="AF172" s="8"/>
      <c r="AG172" s="8"/>
      <c r="AH172" s="8"/>
      <c r="AI172" s="8"/>
      <c r="AJ172" s="8"/>
      <c r="AK172" s="8"/>
      <c r="AL172" s="8"/>
      <c r="AM172" s="8"/>
      <c r="AN172" s="8"/>
      <c r="AO172" s="8"/>
      <c r="AP172" s="8"/>
      <c r="AQ172" s="8"/>
      <c r="AR172" s="8"/>
      <c r="AS172" s="8"/>
      <c r="AT172" s="8"/>
    </row>
    <row r="173" spans="1:46" x14ac:dyDescent="0.2">
      <c r="A173" s="55" t="str">
        <f>IF(B173&lt;&gt;"",COUNTA($B$7:B173),"")</f>
        <v/>
      </c>
      <c r="B173" s="83"/>
      <c r="C173" s="83"/>
      <c r="D173" s="83" t="str">
        <f>IF(Table13[[#This Row],[Energy Source]]="","",Table13[[#This Row],[Energy Source]])</f>
        <v/>
      </c>
      <c r="E173" s="83" t="str">
        <f>IF(Table13[[#This Row],[Units]]="", "", Table13[[#This Row],[Units]])</f>
        <v/>
      </c>
      <c r="F173" s="83" t="str">
        <f>IF(Table13[[#This Row],[Annual Consumption (Baseline)]]="", "", Table13[[#This Row],[Annual Consumption (Baseline)]])</f>
        <v/>
      </c>
      <c r="G173" s="83" t="str">
        <f>IF(F173="", "", IF(Results!$C173="Energy", VLOOKUP(Results!$E173,'Emission Inputs (Optional)'!$T$10:$U$27,2,FALSE)*Table13[[#This Row],[Energy Savings]], ""))</f>
        <v/>
      </c>
      <c r="H173" s="13" t="str">
        <f>IFERROR(VLOOKUP(B173,'Emission Inputs (Optional)'!$G$9:$I$191,3,FALSE),"")</f>
        <v/>
      </c>
      <c r="I173" s="13" t="str">
        <f>IF(Results!$C173="Energy", VLOOKUP(Results!$E173,'Emission Inputs (Optional)'!$T$10:$U$27,2,FALSE)*Results!$F173, "")</f>
        <v/>
      </c>
      <c r="J173" s="13" t="str">
        <f>IF(Results!$I173&lt;&gt;"",Results!$I173*0.293071,"")</f>
        <v/>
      </c>
      <c r="K173" s="84" t="str">
        <f>IF(Results!$I173&lt;&gt;"",Results!$I173/SUM($I$7:$I$189),"")</f>
        <v/>
      </c>
      <c r="L173" s="13" t="str">
        <f>IF(Results!$F173&lt;&gt;"",I173-G173,"")</f>
        <v/>
      </c>
      <c r="M173" s="13" t="str">
        <f>IF(Results!$L173&lt;&gt;"",Results!$L173*0.293071,"")</f>
        <v/>
      </c>
      <c r="N173" s="84" t="str">
        <f>IF(Results!$M173&lt;&gt;"",Results!$M173/SUM($M$7:$M$189),"")</f>
        <v/>
      </c>
      <c r="O173" s="85" t="str">
        <f>IF(Results!$C173="Energy", VLOOKUP(Results!$D173,'Energy Costs Inputs (Optional)'!$AS$3:$AU$20,2,FALSE)*Results!$I173, "")</f>
        <v/>
      </c>
      <c r="P173" s="84" t="str">
        <f>IF(Results!$O173&lt;&gt;"",Results!$O173/SUM($O$7:$O$189),"")</f>
        <v/>
      </c>
      <c r="Q173" s="85" t="str">
        <f>IF(Results!$C173="Energy", VLOOKUP(Results!$D173,'Energy Costs Inputs (Optional)'!$AS$3:$AU$20,2,FALSE)*Results!$L173, "")</f>
        <v/>
      </c>
      <c r="R173" s="84" t="str">
        <f>IF(Results!$Q173&lt;&gt;"",Results!$Q173/SUM($Q$7:$Q$189),"")</f>
        <v/>
      </c>
      <c r="S173" s="85" t="str">
        <f t="shared" si="4"/>
        <v/>
      </c>
      <c r="T173" s="13" t="str">
        <f>IF(Results!$I173&lt;&gt;"",(HLOOKUP(Table13[[#This Row],[Units]],'Emission Inputs (Optional)'!$L$10:$R$27,MATCH(Table13[[#This Row],[Energy Source]],'Emission Inputs (Optional)'!$L$10:$L$27,0),FALSE))*Table13[[#This Row],[Annual Consumption (Baseline)]],"")</f>
        <v/>
      </c>
      <c r="U173" s="13" t="str">
        <f>IF(Results!$T173&lt;&gt;"",Results!$T173,H173)</f>
        <v/>
      </c>
      <c r="V173" s="84" t="str">
        <f>IF(Results!$U173="","",IF(U173&lt;&gt;"",U173,0)/SUM(Results!$U$7:$U$189))</f>
        <v/>
      </c>
      <c r="W173" s="101" t="str">
        <f>IF(Results!$I173&lt;&gt;"",(HLOOKUP(Table13[[#This Row],[Units]],'Emission Inputs (Optional)'!$L$10:$R$27,MATCH(Table13[[#This Row],[Energy Source]],'Emission Inputs (Optional)'!$L$10:$L$27,0),FALSE))*(Table13[[#This Row],[Annual Consumption (Baseline)]]-Table13[[#This Row],[Energy Savings]]),"")</f>
        <v/>
      </c>
      <c r="X173" s="13" t="str">
        <f>IFERROR(VLOOKUP(B173,'Emission Inputs (Optional)'!$G$9:$J$191,4,FALSE),"")</f>
        <v/>
      </c>
      <c r="Y173" s="95" t="str">
        <f>IF(Results!$W173&lt;&gt;"",Results!$W173,IF(X173&lt;&gt;"",(H173-X173),""))</f>
        <v/>
      </c>
      <c r="Z173" s="95" t="str">
        <f t="shared" si="5"/>
        <v/>
      </c>
      <c r="AA173" s="89" t="str">
        <f>IF(Results!$U173="","",IF(U173&lt;&gt;"",U173,0)/SUM(Results!$U$7:$U$189))</f>
        <v/>
      </c>
      <c r="AB173" s="8"/>
      <c r="AC173" s="8"/>
      <c r="AD173" s="8"/>
      <c r="AE173" s="8"/>
      <c r="AF173" s="8"/>
      <c r="AG173" s="8"/>
      <c r="AH173" s="8"/>
      <c r="AI173" s="8"/>
      <c r="AJ173" s="8"/>
      <c r="AK173" s="8"/>
      <c r="AL173" s="8"/>
      <c r="AM173" s="8"/>
      <c r="AN173" s="8"/>
      <c r="AO173" s="8"/>
      <c r="AP173" s="8"/>
      <c r="AQ173" s="8"/>
      <c r="AR173" s="8"/>
      <c r="AS173" s="8"/>
      <c r="AT173" s="8"/>
    </row>
    <row r="174" spans="1:46" x14ac:dyDescent="0.2">
      <c r="A174" s="55" t="str">
        <f>IF(B174&lt;&gt;"",COUNTA($B$7:B174),"")</f>
        <v/>
      </c>
      <c r="B174" s="83"/>
      <c r="C174" s="83"/>
      <c r="D174" s="83" t="str">
        <f>IF(Table13[[#This Row],[Energy Source]]="","",Table13[[#This Row],[Energy Source]])</f>
        <v/>
      </c>
      <c r="E174" s="83" t="str">
        <f>IF(Table13[[#This Row],[Units]]="", "", Table13[[#This Row],[Units]])</f>
        <v/>
      </c>
      <c r="F174" s="83" t="str">
        <f>IF(Table13[[#This Row],[Annual Consumption (Baseline)]]="", "", Table13[[#This Row],[Annual Consumption (Baseline)]])</f>
        <v/>
      </c>
      <c r="G174" s="83" t="str">
        <f>IF(F174="", "", IF(Results!$C174="Energy", VLOOKUP(Results!$E174,'Emission Inputs (Optional)'!$T$10:$U$27,2,FALSE)*Table13[[#This Row],[Energy Savings]], ""))</f>
        <v/>
      </c>
      <c r="H174" s="13" t="str">
        <f>IFERROR(VLOOKUP(B174,'Emission Inputs (Optional)'!$G$9:$I$191,3,FALSE),"")</f>
        <v/>
      </c>
      <c r="I174" s="13" t="str">
        <f>IF(Results!$C174="Energy", VLOOKUP(Results!$E174,'Emission Inputs (Optional)'!$T$10:$U$27,2,FALSE)*Results!$F174, "")</f>
        <v/>
      </c>
      <c r="J174" s="13" t="str">
        <f>IF(Results!$I174&lt;&gt;"",Results!$I174*0.293071,"")</f>
        <v/>
      </c>
      <c r="K174" s="84" t="str">
        <f>IF(Results!$I174&lt;&gt;"",Results!$I174/SUM($I$7:$I$189),"")</f>
        <v/>
      </c>
      <c r="L174" s="13" t="str">
        <f>IF(Results!$F174&lt;&gt;"",I174-G174,"")</f>
        <v/>
      </c>
      <c r="M174" s="13" t="str">
        <f>IF(Results!$L174&lt;&gt;"",Results!$L174*0.293071,"")</f>
        <v/>
      </c>
      <c r="N174" s="84" t="str">
        <f>IF(Results!$M174&lt;&gt;"",Results!$M174/SUM($M$7:$M$189),"")</f>
        <v/>
      </c>
      <c r="O174" s="85" t="str">
        <f>IF(Results!$C174="Energy", VLOOKUP(Results!$D174,'Energy Costs Inputs (Optional)'!$AS$3:$AU$20,2,FALSE)*Results!$I174, "")</f>
        <v/>
      </c>
      <c r="P174" s="84" t="str">
        <f>IF(Results!$O174&lt;&gt;"",Results!$O174/SUM($O$7:$O$189),"")</f>
        <v/>
      </c>
      <c r="Q174" s="85" t="str">
        <f>IF(Results!$C174="Energy", VLOOKUP(Results!$D174,'Energy Costs Inputs (Optional)'!$AS$3:$AU$20,2,FALSE)*Results!$L174, "")</f>
        <v/>
      </c>
      <c r="R174" s="84" t="str">
        <f>IF(Results!$Q174&lt;&gt;"",Results!$Q174/SUM($Q$7:$Q$189),"")</f>
        <v/>
      </c>
      <c r="S174" s="85" t="str">
        <f t="shared" si="4"/>
        <v/>
      </c>
      <c r="T174" s="13" t="str">
        <f>IF(Results!$I174&lt;&gt;"",(HLOOKUP(Table13[[#This Row],[Units]],'Emission Inputs (Optional)'!$L$10:$R$27,MATCH(Table13[[#This Row],[Energy Source]],'Emission Inputs (Optional)'!$L$10:$L$27,0),FALSE))*Table13[[#This Row],[Annual Consumption (Baseline)]],"")</f>
        <v/>
      </c>
      <c r="U174" s="13" t="str">
        <f>IF(Results!$T174&lt;&gt;"",Results!$T174,H174)</f>
        <v/>
      </c>
      <c r="V174" s="84" t="str">
        <f>IF(Results!$U174="","",IF(U174&lt;&gt;"",U174,0)/SUM(Results!$U$7:$U$189))</f>
        <v/>
      </c>
      <c r="W174" s="101" t="str">
        <f>IF(Results!$I174&lt;&gt;"",(HLOOKUP(Table13[[#This Row],[Units]],'Emission Inputs (Optional)'!$L$10:$R$27,MATCH(Table13[[#This Row],[Energy Source]],'Emission Inputs (Optional)'!$L$10:$L$27,0),FALSE))*(Table13[[#This Row],[Annual Consumption (Baseline)]]-Table13[[#This Row],[Energy Savings]]),"")</f>
        <v/>
      </c>
      <c r="X174" s="13" t="str">
        <f>IFERROR(VLOOKUP(B174,'Emission Inputs (Optional)'!$G$9:$J$191,4,FALSE),"")</f>
        <v/>
      </c>
      <c r="Y174" s="95" t="str">
        <f>IF(Results!$W174&lt;&gt;"",Results!$W174,IF(X174&lt;&gt;"",(H174-X174),""))</f>
        <v/>
      </c>
      <c r="Z174" s="95" t="str">
        <f t="shared" si="5"/>
        <v/>
      </c>
      <c r="AA174" s="89" t="str">
        <f>IF(Results!$U174="","",IF(U174&lt;&gt;"",U174,0)/SUM(Results!$U$7:$U$189))</f>
        <v/>
      </c>
      <c r="AB174" s="8"/>
      <c r="AC174" s="8"/>
      <c r="AD174" s="8"/>
      <c r="AE174" s="8"/>
      <c r="AF174" s="8"/>
      <c r="AG174" s="8"/>
      <c r="AH174" s="8"/>
      <c r="AI174" s="8"/>
      <c r="AJ174" s="8"/>
      <c r="AK174" s="8"/>
      <c r="AL174" s="8"/>
      <c r="AM174" s="8"/>
      <c r="AN174" s="8"/>
      <c r="AO174" s="8"/>
      <c r="AP174" s="8"/>
      <c r="AQ174" s="8"/>
      <c r="AR174" s="8"/>
      <c r="AS174" s="8"/>
      <c r="AT174" s="8"/>
    </row>
    <row r="175" spans="1:46" x14ac:dyDescent="0.2">
      <c r="A175" s="55" t="str">
        <f>IF(B175&lt;&gt;"",COUNTA($B$7:B175),"")</f>
        <v/>
      </c>
      <c r="B175" s="83"/>
      <c r="C175" s="83"/>
      <c r="D175" s="83" t="str">
        <f>IF(Table13[[#This Row],[Energy Source]]="","",Table13[[#This Row],[Energy Source]])</f>
        <v/>
      </c>
      <c r="E175" s="83" t="str">
        <f>IF(Table13[[#This Row],[Units]]="", "", Table13[[#This Row],[Units]])</f>
        <v/>
      </c>
      <c r="F175" s="83" t="str">
        <f>IF(Table13[[#This Row],[Annual Consumption (Baseline)]]="", "", Table13[[#This Row],[Annual Consumption (Baseline)]])</f>
        <v/>
      </c>
      <c r="G175" s="83" t="str">
        <f>IF(F175="", "", IF(Results!$C175="Energy", VLOOKUP(Results!$E175,'Emission Inputs (Optional)'!$T$10:$U$27,2,FALSE)*Table13[[#This Row],[Energy Savings]], ""))</f>
        <v/>
      </c>
      <c r="H175" s="13" t="str">
        <f>IFERROR(VLOOKUP(B175,'Emission Inputs (Optional)'!$G$9:$I$191,3,FALSE),"")</f>
        <v/>
      </c>
      <c r="I175" s="13" t="str">
        <f>IF(Results!$C175="Energy", VLOOKUP(Results!$E175,'Emission Inputs (Optional)'!$T$10:$U$27,2,FALSE)*Results!$F175, "")</f>
        <v/>
      </c>
      <c r="J175" s="13" t="str">
        <f>IF(Results!$I175&lt;&gt;"",Results!$I175*0.293071,"")</f>
        <v/>
      </c>
      <c r="K175" s="84" t="str">
        <f>IF(Results!$I175&lt;&gt;"",Results!$I175/SUM($I$7:$I$189),"")</f>
        <v/>
      </c>
      <c r="L175" s="13" t="str">
        <f>IF(Results!$F175&lt;&gt;"",I175-G175,"")</f>
        <v/>
      </c>
      <c r="M175" s="13" t="str">
        <f>IF(Results!$L175&lt;&gt;"",Results!$L175*0.293071,"")</f>
        <v/>
      </c>
      <c r="N175" s="84" t="str">
        <f>IF(Results!$M175&lt;&gt;"",Results!$M175/SUM($M$7:$M$189),"")</f>
        <v/>
      </c>
      <c r="O175" s="85" t="str">
        <f>IF(Results!$C175="Energy", VLOOKUP(Results!$D175,'Energy Costs Inputs (Optional)'!$AS$3:$AU$20,2,FALSE)*Results!$I175, "")</f>
        <v/>
      </c>
      <c r="P175" s="84" t="str">
        <f>IF(Results!$O175&lt;&gt;"",Results!$O175/SUM($O$7:$O$189),"")</f>
        <v/>
      </c>
      <c r="Q175" s="85" t="str">
        <f>IF(Results!$C175="Energy", VLOOKUP(Results!$D175,'Energy Costs Inputs (Optional)'!$AS$3:$AU$20,2,FALSE)*Results!$L175, "")</f>
        <v/>
      </c>
      <c r="R175" s="84" t="str">
        <f>IF(Results!$Q175&lt;&gt;"",Results!$Q175/SUM($Q$7:$Q$189),"")</f>
        <v/>
      </c>
      <c r="S175" s="85" t="str">
        <f t="shared" si="4"/>
        <v/>
      </c>
      <c r="T175" s="13" t="str">
        <f>IF(Results!$I175&lt;&gt;"",(HLOOKUP(Table13[[#This Row],[Units]],'Emission Inputs (Optional)'!$L$10:$R$27,MATCH(Table13[[#This Row],[Energy Source]],'Emission Inputs (Optional)'!$L$10:$L$27,0),FALSE))*Table13[[#This Row],[Annual Consumption (Baseline)]],"")</f>
        <v/>
      </c>
      <c r="U175" s="13" t="str">
        <f>IF(Results!$T175&lt;&gt;"",Results!$T175,H175)</f>
        <v/>
      </c>
      <c r="V175" s="84" t="str">
        <f>IF(Results!$U175="","",IF(U175&lt;&gt;"",U175,0)/SUM(Results!$U$7:$U$189))</f>
        <v/>
      </c>
      <c r="W175" s="101" t="str">
        <f>IF(Results!$I175&lt;&gt;"",(HLOOKUP(Table13[[#This Row],[Units]],'Emission Inputs (Optional)'!$L$10:$R$27,MATCH(Table13[[#This Row],[Energy Source]],'Emission Inputs (Optional)'!$L$10:$L$27,0),FALSE))*(Table13[[#This Row],[Annual Consumption (Baseline)]]-Table13[[#This Row],[Energy Savings]]),"")</f>
        <v/>
      </c>
      <c r="X175" s="13" t="str">
        <f>IFERROR(VLOOKUP(B175,'Emission Inputs (Optional)'!$G$9:$J$191,4,FALSE),"")</f>
        <v/>
      </c>
      <c r="Y175" s="95" t="str">
        <f>IF(Results!$W175&lt;&gt;"",Results!$W175,IF(X175&lt;&gt;"",(H175-X175),""))</f>
        <v/>
      </c>
      <c r="Z175" s="95" t="str">
        <f t="shared" si="5"/>
        <v/>
      </c>
      <c r="AA175" s="89" t="str">
        <f>IF(Results!$U175="","",IF(U175&lt;&gt;"",U175,0)/SUM(Results!$U$7:$U$189))</f>
        <v/>
      </c>
      <c r="AB175" s="8"/>
      <c r="AC175" s="8"/>
      <c r="AD175" s="8"/>
      <c r="AE175" s="8"/>
      <c r="AF175" s="8"/>
      <c r="AG175" s="8"/>
      <c r="AH175" s="8"/>
      <c r="AI175" s="8"/>
      <c r="AJ175" s="8"/>
      <c r="AK175" s="8"/>
      <c r="AL175" s="8"/>
      <c r="AM175" s="8"/>
      <c r="AN175" s="8"/>
      <c r="AO175" s="8"/>
      <c r="AP175" s="8"/>
      <c r="AQ175" s="8"/>
      <c r="AR175" s="8"/>
      <c r="AS175" s="8"/>
      <c r="AT175" s="8"/>
    </row>
    <row r="176" spans="1:46" x14ac:dyDescent="0.2">
      <c r="A176" s="55" t="str">
        <f>IF(B176&lt;&gt;"",COUNTA($B$7:B176),"")</f>
        <v/>
      </c>
      <c r="B176" s="83"/>
      <c r="C176" s="83"/>
      <c r="D176" s="83" t="str">
        <f>IF(Table13[[#This Row],[Energy Source]]="","",Table13[[#This Row],[Energy Source]])</f>
        <v/>
      </c>
      <c r="E176" s="83" t="str">
        <f>IF(Table13[[#This Row],[Units]]="", "", Table13[[#This Row],[Units]])</f>
        <v/>
      </c>
      <c r="F176" s="83" t="str">
        <f>IF(Table13[[#This Row],[Annual Consumption (Baseline)]]="", "", Table13[[#This Row],[Annual Consumption (Baseline)]])</f>
        <v/>
      </c>
      <c r="G176" s="83" t="str">
        <f>IF(F176="", "", IF(Results!$C176="Energy", VLOOKUP(Results!$E176,'Emission Inputs (Optional)'!$T$10:$U$27,2,FALSE)*Table13[[#This Row],[Energy Savings]], ""))</f>
        <v/>
      </c>
      <c r="H176" s="13" t="str">
        <f>IFERROR(VLOOKUP(B176,'Emission Inputs (Optional)'!$G$9:$I$191,3,FALSE),"")</f>
        <v/>
      </c>
      <c r="I176" s="13" t="str">
        <f>IF(Results!$C176="Energy", VLOOKUP(Results!$E176,'Emission Inputs (Optional)'!$T$10:$U$27,2,FALSE)*Results!$F176, "")</f>
        <v/>
      </c>
      <c r="J176" s="13" t="str">
        <f>IF(Results!$I176&lt;&gt;"",Results!$I176*0.293071,"")</f>
        <v/>
      </c>
      <c r="K176" s="84" t="str">
        <f>IF(Results!$I176&lt;&gt;"",Results!$I176/SUM($I$7:$I$189),"")</f>
        <v/>
      </c>
      <c r="L176" s="13" t="str">
        <f>IF(Results!$F176&lt;&gt;"",I176-G176,"")</f>
        <v/>
      </c>
      <c r="M176" s="13" t="str">
        <f>IF(Results!$L176&lt;&gt;"",Results!$L176*0.293071,"")</f>
        <v/>
      </c>
      <c r="N176" s="84" t="str">
        <f>IF(Results!$M176&lt;&gt;"",Results!$M176/SUM($M$7:$M$189),"")</f>
        <v/>
      </c>
      <c r="O176" s="85" t="str">
        <f>IF(Results!$C176="Energy", VLOOKUP(Results!$D176,'Energy Costs Inputs (Optional)'!$AS$3:$AU$20,2,FALSE)*Results!$I176, "")</f>
        <v/>
      </c>
      <c r="P176" s="84" t="str">
        <f>IF(Results!$O176&lt;&gt;"",Results!$O176/SUM($O$7:$O$189),"")</f>
        <v/>
      </c>
      <c r="Q176" s="85" t="str">
        <f>IF(Results!$C176="Energy", VLOOKUP(Results!$D176,'Energy Costs Inputs (Optional)'!$AS$3:$AU$20,2,FALSE)*Results!$L176, "")</f>
        <v/>
      </c>
      <c r="R176" s="84" t="str">
        <f>IF(Results!$Q176&lt;&gt;"",Results!$Q176/SUM($Q$7:$Q$189),"")</f>
        <v/>
      </c>
      <c r="S176" s="85" t="str">
        <f t="shared" si="4"/>
        <v/>
      </c>
      <c r="T176" s="13" t="str">
        <f>IF(Results!$I176&lt;&gt;"",(HLOOKUP(Table13[[#This Row],[Units]],'Emission Inputs (Optional)'!$L$10:$R$27,MATCH(Table13[[#This Row],[Energy Source]],'Emission Inputs (Optional)'!$L$10:$L$27,0),FALSE))*Table13[[#This Row],[Annual Consumption (Baseline)]],"")</f>
        <v/>
      </c>
      <c r="U176" s="13" t="str">
        <f>IF(Results!$T176&lt;&gt;"",Results!$T176,H176)</f>
        <v/>
      </c>
      <c r="V176" s="84" t="str">
        <f>IF(Results!$U176="","",IF(U176&lt;&gt;"",U176,0)/SUM(Results!$U$7:$U$189))</f>
        <v/>
      </c>
      <c r="W176" s="101" t="str">
        <f>IF(Results!$I176&lt;&gt;"",(HLOOKUP(Table13[[#This Row],[Units]],'Emission Inputs (Optional)'!$L$10:$R$27,MATCH(Table13[[#This Row],[Energy Source]],'Emission Inputs (Optional)'!$L$10:$L$27,0),FALSE))*(Table13[[#This Row],[Annual Consumption (Baseline)]]-Table13[[#This Row],[Energy Savings]]),"")</f>
        <v/>
      </c>
      <c r="X176" s="13" t="str">
        <f>IFERROR(VLOOKUP(B176,'Emission Inputs (Optional)'!$G$9:$J$191,4,FALSE),"")</f>
        <v/>
      </c>
      <c r="Y176" s="95" t="str">
        <f>IF(Results!$W176&lt;&gt;"",Results!$W176,IF(X176&lt;&gt;"",(H176-X176),""))</f>
        <v/>
      </c>
      <c r="Z176" s="95" t="str">
        <f t="shared" si="5"/>
        <v/>
      </c>
      <c r="AA176" s="89" t="str">
        <f>IF(Results!$U176="","",IF(U176&lt;&gt;"",U176,0)/SUM(Results!$U$7:$U$189))</f>
        <v/>
      </c>
      <c r="AB176" s="8"/>
      <c r="AC176" s="8"/>
      <c r="AD176" s="8"/>
      <c r="AE176" s="8"/>
      <c r="AF176" s="8"/>
      <c r="AG176" s="8"/>
      <c r="AH176" s="8"/>
      <c r="AI176" s="8"/>
      <c r="AJ176" s="8"/>
      <c r="AK176" s="8"/>
      <c r="AL176" s="8"/>
      <c r="AM176" s="8"/>
      <c r="AN176" s="8"/>
      <c r="AO176" s="8"/>
      <c r="AP176" s="8"/>
      <c r="AQ176" s="8"/>
      <c r="AR176" s="8"/>
      <c r="AS176" s="8"/>
      <c r="AT176" s="8"/>
    </row>
    <row r="177" spans="1:46" x14ac:dyDescent="0.2">
      <c r="A177" s="55" t="str">
        <f>IF(B177&lt;&gt;"",COUNTA($B$7:B177),"")</f>
        <v/>
      </c>
      <c r="B177" s="83"/>
      <c r="C177" s="83"/>
      <c r="D177" s="83" t="str">
        <f>IF(Table13[[#This Row],[Energy Source]]="","",Table13[[#This Row],[Energy Source]])</f>
        <v/>
      </c>
      <c r="E177" s="83" t="str">
        <f>IF(Table13[[#This Row],[Units]]="", "", Table13[[#This Row],[Units]])</f>
        <v/>
      </c>
      <c r="F177" s="83" t="str">
        <f>IF(Table13[[#This Row],[Annual Consumption (Baseline)]]="", "", Table13[[#This Row],[Annual Consumption (Baseline)]])</f>
        <v/>
      </c>
      <c r="G177" s="83" t="str">
        <f>IF(F177="", "", IF(Results!$C177="Energy", VLOOKUP(Results!$E177,'Emission Inputs (Optional)'!$T$10:$U$27,2,FALSE)*Table13[[#This Row],[Energy Savings]], ""))</f>
        <v/>
      </c>
      <c r="H177" s="13" t="str">
        <f>IFERROR(VLOOKUP(B177,'Emission Inputs (Optional)'!$G$9:$I$191,3,FALSE),"")</f>
        <v/>
      </c>
      <c r="I177" s="13" t="str">
        <f>IF(Results!$C177="Energy", VLOOKUP(Results!$E177,'Emission Inputs (Optional)'!$T$10:$U$27,2,FALSE)*Results!$F177, "")</f>
        <v/>
      </c>
      <c r="J177" s="13" t="str">
        <f>IF(Results!$I177&lt;&gt;"",Results!$I177*0.293071,"")</f>
        <v/>
      </c>
      <c r="K177" s="84" t="str">
        <f>IF(Results!$I177&lt;&gt;"",Results!$I177/SUM($I$7:$I$189),"")</f>
        <v/>
      </c>
      <c r="L177" s="13" t="str">
        <f>IF(Results!$F177&lt;&gt;"",I177-G177,"")</f>
        <v/>
      </c>
      <c r="M177" s="13" t="str">
        <f>IF(Results!$L177&lt;&gt;"",Results!$L177*0.293071,"")</f>
        <v/>
      </c>
      <c r="N177" s="84" t="str">
        <f>IF(Results!$M177&lt;&gt;"",Results!$M177/SUM($M$7:$M$189),"")</f>
        <v/>
      </c>
      <c r="O177" s="85" t="str">
        <f>IF(Results!$C177="Energy", VLOOKUP(Results!$D177,'Energy Costs Inputs (Optional)'!$AS$3:$AU$20,2,FALSE)*Results!$I177, "")</f>
        <v/>
      </c>
      <c r="P177" s="84" t="str">
        <f>IF(Results!$O177&lt;&gt;"",Results!$O177/SUM($O$7:$O$189),"")</f>
        <v/>
      </c>
      <c r="Q177" s="85" t="str">
        <f>IF(Results!$C177="Energy", VLOOKUP(Results!$D177,'Energy Costs Inputs (Optional)'!$AS$3:$AU$20,2,FALSE)*Results!$L177, "")</f>
        <v/>
      </c>
      <c r="R177" s="84" t="str">
        <f>IF(Results!$Q177&lt;&gt;"",Results!$Q177/SUM($Q$7:$Q$189),"")</f>
        <v/>
      </c>
      <c r="S177" s="85" t="str">
        <f t="shared" si="4"/>
        <v/>
      </c>
      <c r="T177" s="13" t="str">
        <f>IF(Results!$I177&lt;&gt;"",(HLOOKUP(Table13[[#This Row],[Units]],'Emission Inputs (Optional)'!$L$10:$R$27,MATCH(Table13[[#This Row],[Energy Source]],'Emission Inputs (Optional)'!$L$10:$L$27,0),FALSE))*Table13[[#This Row],[Annual Consumption (Baseline)]],"")</f>
        <v/>
      </c>
      <c r="U177" s="13" t="str">
        <f>IF(Results!$T177&lt;&gt;"",Results!$T177,H177)</f>
        <v/>
      </c>
      <c r="V177" s="84" t="str">
        <f>IF(Results!$U177="","",IF(U177&lt;&gt;"",U177,0)/SUM(Results!$U$7:$U$189))</f>
        <v/>
      </c>
      <c r="W177" s="101" t="str">
        <f>IF(Results!$I177&lt;&gt;"",(HLOOKUP(Table13[[#This Row],[Units]],'Emission Inputs (Optional)'!$L$10:$R$27,MATCH(Table13[[#This Row],[Energy Source]],'Emission Inputs (Optional)'!$L$10:$L$27,0),FALSE))*(Table13[[#This Row],[Annual Consumption (Baseline)]]-Table13[[#This Row],[Energy Savings]]),"")</f>
        <v/>
      </c>
      <c r="X177" s="13" t="str">
        <f>IFERROR(VLOOKUP(B177,'Emission Inputs (Optional)'!$G$9:$J$191,4,FALSE),"")</f>
        <v/>
      </c>
      <c r="Y177" s="95" t="str">
        <f>IF(Results!$W177&lt;&gt;"",Results!$W177,IF(X177&lt;&gt;"",(H177-X177),""))</f>
        <v/>
      </c>
      <c r="Z177" s="95" t="str">
        <f t="shared" si="5"/>
        <v/>
      </c>
      <c r="AA177" s="89" t="str">
        <f>IF(Results!$U177="","",IF(U177&lt;&gt;"",U177,0)/SUM(Results!$U$7:$U$189))</f>
        <v/>
      </c>
      <c r="AB177" s="8"/>
      <c r="AC177" s="8"/>
      <c r="AD177" s="8"/>
      <c r="AE177" s="8"/>
      <c r="AF177" s="8"/>
      <c r="AG177" s="8"/>
      <c r="AH177" s="8"/>
      <c r="AI177" s="8"/>
      <c r="AJ177" s="8"/>
      <c r="AK177" s="8"/>
      <c r="AL177" s="8"/>
      <c r="AM177" s="8"/>
      <c r="AN177" s="8"/>
      <c r="AO177" s="8"/>
      <c r="AP177" s="8"/>
      <c r="AQ177" s="8"/>
      <c r="AR177" s="8"/>
      <c r="AS177" s="8"/>
      <c r="AT177" s="8"/>
    </row>
    <row r="178" spans="1:46" x14ac:dyDescent="0.2">
      <c r="A178" s="55" t="str">
        <f>IF(B178&lt;&gt;"",COUNTA($B$7:B178),"")</f>
        <v/>
      </c>
      <c r="B178" s="83"/>
      <c r="C178" s="83"/>
      <c r="D178" s="83" t="str">
        <f>IF(Table13[[#This Row],[Energy Source]]="","",Table13[[#This Row],[Energy Source]])</f>
        <v/>
      </c>
      <c r="E178" s="83" t="str">
        <f>IF(Table13[[#This Row],[Units]]="", "", Table13[[#This Row],[Units]])</f>
        <v/>
      </c>
      <c r="F178" s="83" t="str">
        <f>IF(Table13[[#This Row],[Annual Consumption (Baseline)]]="", "", Table13[[#This Row],[Annual Consumption (Baseline)]])</f>
        <v/>
      </c>
      <c r="G178" s="83" t="str">
        <f>IF(F178="", "", IF(Results!$C178="Energy", VLOOKUP(Results!$E178,'Emission Inputs (Optional)'!$T$10:$U$27,2,FALSE)*Table13[[#This Row],[Energy Savings]], ""))</f>
        <v/>
      </c>
      <c r="H178" s="13" t="str">
        <f>IFERROR(VLOOKUP(B178,'Emission Inputs (Optional)'!$G$9:$I$191,3,FALSE),"")</f>
        <v/>
      </c>
      <c r="I178" s="13" t="str">
        <f>IF(Results!$C178="Energy", VLOOKUP(Results!$E178,'Emission Inputs (Optional)'!$T$10:$U$27,2,FALSE)*Results!$F178, "")</f>
        <v/>
      </c>
      <c r="J178" s="13" t="str">
        <f>IF(Results!$I178&lt;&gt;"",Results!$I178*0.293071,"")</f>
        <v/>
      </c>
      <c r="K178" s="84" t="str">
        <f>IF(Results!$I178&lt;&gt;"",Results!$I178/SUM($I$7:$I$189),"")</f>
        <v/>
      </c>
      <c r="L178" s="13" t="str">
        <f>IF(Results!$F178&lt;&gt;"",I178-G178,"")</f>
        <v/>
      </c>
      <c r="M178" s="13" t="str">
        <f>IF(Results!$L178&lt;&gt;"",Results!$L178*0.293071,"")</f>
        <v/>
      </c>
      <c r="N178" s="84" t="str">
        <f>IF(Results!$M178&lt;&gt;"",Results!$M178/SUM($M$7:$M$189),"")</f>
        <v/>
      </c>
      <c r="O178" s="85" t="str">
        <f>IF(Results!$C178="Energy", VLOOKUP(Results!$D178,'Energy Costs Inputs (Optional)'!$AS$3:$AU$20,2,FALSE)*Results!$I178, "")</f>
        <v/>
      </c>
      <c r="P178" s="84" t="str">
        <f>IF(Results!$O178&lt;&gt;"",Results!$O178/SUM($O$7:$O$189),"")</f>
        <v/>
      </c>
      <c r="Q178" s="85" t="str">
        <f>IF(Results!$C178="Energy", VLOOKUP(Results!$D178,'Energy Costs Inputs (Optional)'!$AS$3:$AU$20,2,FALSE)*Results!$L178, "")</f>
        <v/>
      </c>
      <c r="R178" s="84" t="str">
        <f>IF(Results!$Q178&lt;&gt;"",Results!$Q178/SUM($Q$7:$Q$189),"")</f>
        <v/>
      </c>
      <c r="S178" s="85" t="str">
        <f t="shared" si="4"/>
        <v/>
      </c>
      <c r="T178" s="13" t="str">
        <f>IF(Results!$I178&lt;&gt;"",(HLOOKUP(Table13[[#This Row],[Units]],'Emission Inputs (Optional)'!$L$10:$R$27,MATCH(Table13[[#This Row],[Energy Source]],'Emission Inputs (Optional)'!$L$10:$L$27,0),FALSE))*Table13[[#This Row],[Annual Consumption (Baseline)]],"")</f>
        <v/>
      </c>
      <c r="U178" s="13" t="str">
        <f>IF(Results!$T178&lt;&gt;"",Results!$T178,H178)</f>
        <v/>
      </c>
      <c r="V178" s="84" t="str">
        <f>IF(Results!$U178="","",IF(U178&lt;&gt;"",U178,0)/SUM(Results!$U$7:$U$189))</f>
        <v/>
      </c>
      <c r="W178" s="101" t="str">
        <f>IF(Results!$I178&lt;&gt;"",(HLOOKUP(Table13[[#This Row],[Units]],'Emission Inputs (Optional)'!$L$10:$R$27,MATCH(Table13[[#This Row],[Energy Source]],'Emission Inputs (Optional)'!$L$10:$L$27,0),FALSE))*(Table13[[#This Row],[Annual Consumption (Baseline)]]-Table13[[#This Row],[Energy Savings]]),"")</f>
        <v/>
      </c>
      <c r="X178" s="13" t="str">
        <f>IFERROR(VLOOKUP(B178,'Emission Inputs (Optional)'!$G$9:$J$191,4,FALSE),"")</f>
        <v/>
      </c>
      <c r="Y178" s="95" t="str">
        <f>IF(Results!$W178&lt;&gt;"",Results!$W178,IF(X178&lt;&gt;"",(H178-X178),""))</f>
        <v/>
      </c>
      <c r="Z178" s="95" t="str">
        <f t="shared" si="5"/>
        <v/>
      </c>
      <c r="AA178" s="89" t="str">
        <f>IF(Results!$U178="","",IF(U178&lt;&gt;"",U178,0)/SUM(Results!$U$7:$U$189))</f>
        <v/>
      </c>
      <c r="AB178" s="8"/>
      <c r="AC178" s="8"/>
      <c r="AD178" s="8"/>
      <c r="AE178" s="8"/>
      <c r="AF178" s="8"/>
      <c r="AG178" s="8"/>
      <c r="AH178" s="8"/>
      <c r="AI178" s="8"/>
      <c r="AJ178" s="8"/>
      <c r="AK178" s="8"/>
      <c r="AL178" s="8"/>
      <c r="AM178" s="8"/>
      <c r="AN178" s="8"/>
      <c r="AO178" s="8"/>
      <c r="AP178" s="8"/>
      <c r="AQ178" s="8"/>
      <c r="AR178" s="8"/>
      <c r="AS178" s="8"/>
      <c r="AT178" s="8"/>
    </row>
    <row r="179" spans="1:46" x14ac:dyDescent="0.2">
      <c r="A179" s="55" t="str">
        <f>IF(B179&lt;&gt;"",COUNTA($B$7:B179),"")</f>
        <v/>
      </c>
      <c r="B179" s="83"/>
      <c r="C179" s="83"/>
      <c r="D179" s="83" t="str">
        <f>IF(Table13[[#This Row],[Energy Source]]="","",Table13[[#This Row],[Energy Source]])</f>
        <v/>
      </c>
      <c r="E179" s="83" t="str">
        <f>IF(Table13[[#This Row],[Units]]="", "", Table13[[#This Row],[Units]])</f>
        <v/>
      </c>
      <c r="F179" s="83" t="str">
        <f>IF(Table13[[#This Row],[Annual Consumption (Baseline)]]="", "", Table13[[#This Row],[Annual Consumption (Baseline)]])</f>
        <v/>
      </c>
      <c r="G179" s="83" t="str">
        <f>IF(F179="", "", IF(Results!$C179="Energy", VLOOKUP(Results!$E179,'Emission Inputs (Optional)'!$T$10:$U$27,2,FALSE)*Table13[[#This Row],[Energy Savings]], ""))</f>
        <v/>
      </c>
      <c r="H179" s="13" t="str">
        <f>IFERROR(VLOOKUP(B179,'Emission Inputs (Optional)'!$G$9:$I$191,3,FALSE),"")</f>
        <v/>
      </c>
      <c r="I179" s="13" t="str">
        <f>IF(Results!$C179="Energy", VLOOKUP(Results!$E179,'Emission Inputs (Optional)'!$T$10:$U$27,2,FALSE)*Results!$F179, "")</f>
        <v/>
      </c>
      <c r="J179" s="13" t="str">
        <f>IF(Results!$I179&lt;&gt;"",Results!$I179*0.293071,"")</f>
        <v/>
      </c>
      <c r="K179" s="84" t="str">
        <f>IF(Results!$I179&lt;&gt;"",Results!$I179/SUM($I$7:$I$189),"")</f>
        <v/>
      </c>
      <c r="L179" s="13" t="str">
        <f>IF(Results!$F179&lt;&gt;"",I179-G179,"")</f>
        <v/>
      </c>
      <c r="M179" s="13" t="str">
        <f>IF(Results!$L179&lt;&gt;"",Results!$L179*0.293071,"")</f>
        <v/>
      </c>
      <c r="N179" s="84" t="str">
        <f>IF(Results!$M179&lt;&gt;"",Results!$M179/SUM($M$7:$M$189),"")</f>
        <v/>
      </c>
      <c r="O179" s="85" t="str">
        <f>IF(Results!$C179="Energy", VLOOKUP(Results!$D179,'Energy Costs Inputs (Optional)'!$AS$3:$AU$20,2,FALSE)*Results!$I179, "")</f>
        <v/>
      </c>
      <c r="P179" s="84" t="str">
        <f>IF(Results!$O179&lt;&gt;"",Results!$O179/SUM($O$7:$O$189),"")</f>
        <v/>
      </c>
      <c r="Q179" s="85" t="str">
        <f>IF(Results!$C179="Energy", VLOOKUP(Results!$D179,'Energy Costs Inputs (Optional)'!$AS$3:$AU$20,2,FALSE)*Results!$L179, "")</f>
        <v/>
      </c>
      <c r="R179" s="84" t="str">
        <f>IF(Results!$Q179&lt;&gt;"",Results!$Q179/SUM($Q$7:$Q$189),"")</f>
        <v/>
      </c>
      <c r="S179" s="85" t="str">
        <f t="shared" si="4"/>
        <v/>
      </c>
      <c r="T179" s="13" t="str">
        <f>IF(Results!$I179&lt;&gt;"",(HLOOKUP(Table13[[#This Row],[Units]],'Emission Inputs (Optional)'!$L$10:$R$27,MATCH(Table13[[#This Row],[Energy Source]],'Emission Inputs (Optional)'!$L$10:$L$27,0),FALSE))*Table13[[#This Row],[Annual Consumption (Baseline)]],"")</f>
        <v/>
      </c>
      <c r="U179" s="13" t="str">
        <f>IF(Results!$T179&lt;&gt;"",Results!$T179,H179)</f>
        <v/>
      </c>
      <c r="V179" s="84" t="str">
        <f>IF(Results!$U179="","",IF(U179&lt;&gt;"",U179,0)/SUM(Results!$U$7:$U$189))</f>
        <v/>
      </c>
      <c r="W179" s="101" t="str">
        <f>IF(Results!$I179&lt;&gt;"",(HLOOKUP(Table13[[#This Row],[Units]],'Emission Inputs (Optional)'!$L$10:$R$27,MATCH(Table13[[#This Row],[Energy Source]],'Emission Inputs (Optional)'!$L$10:$L$27,0),FALSE))*(Table13[[#This Row],[Annual Consumption (Baseline)]]-Table13[[#This Row],[Energy Savings]]),"")</f>
        <v/>
      </c>
      <c r="X179" s="13" t="str">
        <f>IFERROR(VLOOKUP(B179,'Emission Inputs (Optional)'!$G$9:$J$191,4,FALSE),"")</f>
        <v/>
      </c>
      <c r="Y179" s="95" t="str">
        <f>IF(Results!$W179&lt;&gt;"",Results!$W179,IF(X179&lt;&gt;"",(H179-X179),""))</f>
        <v/>
      </c>
      <c r="Z179" s="95" t="str">
        <f t="shared" si="5"/>
        <v/>
      </c>
      <c r="AA179" s="89" t="str">
        <f>IF(Results!$U179="","",IF(U179&lt;&gt;"",U179,0)/SUM(Results!$U$7:$U$189))</f>
        <v/>
      </c>
      <c r="AB179" s="8"/>
      <c r="AC179" s="8"/>
      <c r="AD179" s="8"/>
      <c r="AE179" s="8"/>
      <c r="AF179" s="8"/>
      <c r="AG179" s="8"/>
      <c r="AH179" s="8"/>
      <c r="AI179" s="8"/>
      <c r="AJ179" s="8"/>
      <c r="AK179" s="8"/>
      <c r="AL179" s="8"/>
      <c r="AM179" s="8"/>
      <c r="AN179" s="8"/>
      <c r="AO179" s="8"/>
      <c r="AP179" s="8"/>
      <c r="AQ179" s="8"/>
      <c r="AR179" s="8"/>
      <c r="AS179" s="8"/>
      <c r="AT179" s="8"/>
    </row>
    <row r="180" spans="1:46" x14ac:dyDescent="0.2">
      <c r="A180" s="55" t="str">
        <f>IF(B180&lt;&gt;"",COUNTA($B$7:B180),"")</f>
        <v/>
      </c>
      <c r="B180" s="83"/>
      <c r="C180" s="83"/>
      <c r="D180" s="83" t="str">
        <f>IF(Table13[[#This Row],[Energy Source]]="","",Table13[[#This Row],[Energy Source]])</f>
        <v/>
      </c>
      <c r="E180" s="83" t="str">
        <f>IF(Table13[[#This Row],[Units]]="", "", Table13[[#This Row],[Units]])</f>
        <v/>
      </c>
      <c r="F180" s="83" t="str">
        <f>IF(Table13[[#This Row],[Annual Consumption (Baseline)]]="", "", Table13[[#This Row],[Annual Consumption (Baseline)]])</f>
        <v/>
      </c>
      <c r="G180" s="83" t="str">
        <f>IF(F180="", "", IF(Results!$C180="Energy", VLOOKUP(Results!$E180,'Emission Inputs (Optional)'!$T$10:$U$27,2,FALSE)*Table13[[#This Row],[Energy Savings]], ""))</f>
        <v/>
      </c>
      <c r="H180" s="13" t="str">
        <f>IFERROR(VLOOKUP(B180,'Emission Inputs (Optional)'!$G$9:$I$191,3,FALSE),"")</f>
        <v/>
      </c>
      <c r="I180" s="13" t="str">
        <f>IF(Results!$C180="Energy", VLOOKUP(Results!$E180,'Emission Inputs (Optional)'!$T$10:$U$27,2,FALSE)*Results!$F180, "")</f>
        <v/>
      </c>
      <c r="J180" s="13" t="str">
        <f>IF(Results!$I180&lt;&gt;"",Results!$I180*0.293071,"")</f>
        <v/>
      </c>
      <c r="K180" s="84" t="str">
        <f>IF(Results!$I180&lt;&gt;"",Results!$I180/SUM($I$7:$I$189),"")</f>
        <v/>
      </c>
      <c r="L180" s="13" t="str">
        <f>IF(Results!$F180&lt;&gt;"",I180-G180,"")</f>
        <v/>
      </c>
      <c r="M180" s="13" t="str">
        <f>IF(Results!$L180&lt;&gt;"",Results!$L180*0.293071,"")</f>
        <v/>
      </c>
      <c r="N180" s="84" t="str">
        <f>IF(Results!$M180&lt;&gt;"",Results!$M180/SUM($M$7:$M$189),"")</f>
        <v/>
      </c>
      <c r="O180" s="85" t="str">
        <f>IF(Results!$C180="Energy", VLOOKUP(Results!$D180,'Energy Costs Inputs (Optional)'!$AS$3:$AU$20,2,FALSE)*Results!$I180, "")</f>
        <v/>
      </c>
      <c r="P180" s="84" t="str">
        <f>IF(Results!$O180&lt;&gt;"",Results!$O180/SUM($O$7:$O$189),"")</f>
        <v/>
      </c>
      <c r="Q180" s="85" t="str">
        <f>IF(Results!$C180="Energy", VLOOKUP(Results!$D180,'Energy Costs Inputs (Optional)'!$AS$3:$AU$20,2,FALSE)*Results!$L180, "")</f>
        <v/>
      </c>
      <c r="R180" s="84" t="str">
        <f>IF(Results!$Q180&lt;&gt;"",Results!$Q180/SUM($Q$7:$Q$189),"")</f>
        <v/>
      </c>
      <c r="S180" s="85" t="str">
        <f t="shared" si="4"/>
        <v/>
      </c>
      <c r="T180" s="13" t="str">
        <f>IF(Results!$I180&lt;&gt;"",(HLOOKUP(Table13[[#This Row],[Units]],'Emission Inputs (Optional)'!$L$10:$R$27,MATCH(Table13[[#This Row],[Energy Source]],'Emission Inputs (Optional)'!$L$10:$L$27,0),FALSE))*Table13[[#This Row],[Annual Consumption (Baseline)]],"")</f>
        <v/>
      </c>
      <c r="U180" s="13" t="str">
        <f>IF(Results!$T180&lt;&gt;"",Results!$T180,H180)</f>
        <v/>
      </c>
      <c r="V180" s="84" t="str">
        <f>IF(Results!$U180="","",IF(U180&lt;&gt;"",U180,0)/SUM(Results!$U$7:$U$189))</f>
        <v/>
      </c>
      <c r="W180" s="101" t="str">
        <f>IF(Results!$I180&lt;&gt;"",(HLOOKUP(Table13[[#This Row],[Units]],'Emission Inputs (Optional)'!$L$10:$R$27,MATCH(Table13[[#This Row],[Energy Source]],'Emission Inputs (Optional)'!$L$10:$L$27,0),FALSE))*(Table13[[#This Row],[Annual Consumption (Baseline)]]-Table13[[#This Row],[Energy Savings]]),"")</f>
        <v/>
      </c>
      <c r="X180" s="13" t="str">
        <f>IFERROR(VLOOKUP(B180,'Emission Inputs (Optional)'!$G$9:$J$191,4,FALSE),"")</f>
        <v/>
      </c>
      <c r="Y180" s="95" t="str">
        <f>IF(Results!$W180&lt;&gt;"",Results!$W180,IF(X180&lt;&gt;"",(H180-X180),""))</f>
        <v/>
      </c>
      <c r="Z180" s="95" t="str">
        <f t="shared" si="5"/>
        <v/>
      </c>
      <c r="AA180" s="89" t="str">
        <f>IF(Results!$U180="","",IF(U180&lt;&gt;"",U180,0)/SUM(Results!$U$7:$U$189))</f>
        <v/>
      </c>
      <c r="AB180" s="8"/>
      <c r="AC180" s="8"/>
      <c r="AD180" s="8"/>
      <c r="AE180" s="8"/>
      <c r="AF180" s="8"/>
      <c r="AG180" s="8"/>
      <c r="AH180" s="8"/>
      <c r="AI180" s="8"/>
      <c r="AJ180" s="8"/>
      <c r="AK180" s="8"/>
      <c r="AL180" s="8"/>
      <c r="AM180" s="8"/>
      <c r="AN180" s="8"/>
      <c r="AO180" s="8"/>
      <c r="AP180" s="8"/>
      <c r="AQ180" s="8"/>
      <c r="AR180" s="8"/>
      <c r="AS180" s="8"/>
      <c r="AT180" s="8"/>
    </row>
    <row r="181" spans="1:46" x14ac:dyDescent="0.2">
      <c r="A181" s="55" t="str">
        <f>IF(B181&lt;&gt;"",COUNTA($B$7:B181),"")</f>
        <v/>
      </c>
      <c r="B181" s="83"/>
      <c r="C181" s="83"/>
      <c r="D181" s="83" t="str">
        <f>IF(Table13[[#This Row],[Energy Source]]="","",Table13[[#This Row],[Energy Source]])</f>
        <v/>
      </c>
      <c r="E181" s="83" t="str">
        <f>IF(Table13[[#This Row],[Units]]="", "", Table13[[#This Row],[Units]])</f>
        <v/>
      </c>
      <c r="F181" s="83" t="str">
        <f>IF(Table13[[#This Row],[Annual Consumption (Baseline)]]="", "", Table13[[#This Row],[Annual Consumption (Baseline)]])</f>
        <v/>
      </c>
      <c r="G181" s="83" t="str">
        <f>IF(F181="", "", IF(Results!$C181="Energy", VLOOKUP(Results!$E181,'Emission Inputs (Optional)'!$T$10:$U$27,2,FALSE)*Table13[[#This Row],[Energy Savings]], ""))</f>
        <v/>
      </c>
      <c r="H181" s="13" t="str">
        <f>IFERROR(VLOOKUP(B181,'Emission Inputs (Optional)'!$G$9:$I$191,3,FALSE),"")</f>
        <v/>
      </c>
      <c r="I181" s="13" t="str">
        <f>IF(Results!$C181="Energy", VLOOKUP(Results!$E181,'Emission Inputs (Optional)'!$T$10:$U$27,2,FALSE)*Results!$F181, "")</f>
        <v/>
      </c>
      <c r="J181" s="13" t="str">
        <f>IF(Results!$I181&lt;&gt;"",Results!$I181*0.293071,"")</f>
        <v/>
      </c>
      <c r="K181" s="84" t="str">
        <f>IF(Results!$I181&lt;&gt;"",Results!$I181/SUM($I$7:$I$189),"")</f>
        <v/>
      </c>
      <c r="L181" s="13" t="str">
        <f>IF(Results!$F181&lt;&gt;"",I181-G181,"")</f>
        <v/>
      </c>
      <c r="M181" s="13" t="str">
        <f>IF(Results!$L181&lt;&gt;"",Results!$L181*0.293071,"")</f>
        <v/>
      </c>
      <c r="N181" s="84" t="str">
        <f>IF(Results!$M181&lt;&gt;"",Results!$M181/SUM($M$7:$M$189),"")</f>
        <v/>
      </c>
      <c r="O181" s="85" t="str">
        <f>IF(Results!$C181="Energy", VLOOKUP(Results!$D181,'Energy Costs Inputs (Optional)'!$AS$3:$AU$20,2,FALSE)*Results!$I181, "")</f>
        <v/>
      </c>
      <c r="P181" s="84" t="str">
        <f>IF(Results!$O181&lt;&gt;"",Results!$O181/SUM($O$7:$O$189),"")</f>
        <v/>
      </c>
      <c r="Q181" s="85" t="str">
        <f>IF(Results!$C181="Energy", VLOOKUP(Results!$D181,'Energy Costs Inputs (Optional)'!$AS$3:$AU$20,2,FALSE)*Results!$L181, "")</f>
        <v/>
      </c>
      <c r="R181" s="84" t="str">
        <f>IF(Results!$Q181&lt;&gt;"",Results!$Q181/SUM($Q$7:$Q$189),"")</f>
        <v/>
      </c>
      <c r="S181" s="85" t="str">
        <f t="shared" si="4"/>
        <v/>
      </c>
      <c r="T181" s="13" t="str">
        <f>IF(Results!$I181&lt;&gt;"",(HLOOKUP(Table13[[#This Row],[Units]],'Emission Inputs (Optional)'!$L$10:$R$27,MATCH(Table13[[#This Row],[Energy Source]],'Emission Inputs (Optional)'!$L$10:$L$27,0),FALSE))*Table13[[#This Row],[Annual Consumption (Baseline)]],"")</f>
        <v/>
      </c>
      <c r="U181" s="13" t="str">
        <f>IF(Results!$T181&lt;&gt;"",Results!$T181,H181)</f>
        <v/>
      </c>
      <c r="V181" s="84" t="str">
        <f>IF(Results!$U181="","",IF(U181&lt;&gt;"",U181,0)/SUM(Results!$U$7:$U$189))</f>
        <v/>
      </c>
      <c r="W181" s="101" t="str">
        <f>IF(Results!$I181&lt;&gt;"",(HLOOKUP(Table13[[#This Row],[Units]],'Emission Inputs (Optional)'!$L$10:$R$27,MATCH(Table13[[#This Row],[Energy Source]],'Emission Inputs (Optional)'!$L$10:$L$27,0),FALSE))*(Table13[[#This Row],[Annual Consumption (Baseline)]]-Table13[[#This Row],[Energy Savings]]),"")</f>
        <v/>
      </c>
      <c r="X181" s="13" t="str">
        <f>IFERROR(VLOOKUP(B181,'Emission Inputs (Optional)'!$G$9:$J$191,4,FALSE),"")</f>
        <v/>
      </c>
      <c r="Y181" s="95" t="str">
        <f>IF(Results!$W181&lt;&gt;"",Results!$W181,IF(X181&lt;&gt;"",(H181-X181),""))</f>
        <v/>
      </c>
      <c r="Z181" s="95" t="str">
        <f t="shared" si="5"/>
        <v/>
      </c>
      <c r="AA181" s="89" t="str">
        <f>IF(Results!$U181="","",IF(U181&lt;&gt;"",U181,0)/SUM(Results!$U$7:$U$189))</f>
        <v/>
      </c>
      <c r="AB181" s="8"/>
      <c r="AC181" s="8"/>
      <c r="AD181" s="8"/>
      <c r="AE181" s="8"/>
      <c r="AF181" s="8"/>
      <c r="AG181" s="8"/>
      <c r="AH181" s="8"/>
      <c r="AI181" s="8"/>
      <c r="AJ181" s="8"/>
      <c r="AK181" s="8"/>
      <c r="AL181" s="8"/>
      <c r="AM181" s="8"/>
      <c r="AN181" s="8"/>
      <c r="AO181" s="8"/>
      <c r="AP181" s="8"/>
      <c r="AQ181" s="8"/>
      <c r="AR181" s="8"/>
      <c r="AS181" s="8"/>
      <c r="AT181" s="8"/>
    </row>
    <row r="182" spans="1:46" x14ac:dyDescent="0.2">
      <c r="A182" s="55" t="str">
        <f>IF(B182&lt;&gt;"",COUNTA($B$7:B182),"")</f>
        <v/>
      </c>
      <c r="B182" s="83"/>
      <c r="C182" s="83"/>
      <c r="D182" s="83" t="str">
        <f>IF(Table13[[#This Row],[Energy Source]]="","",Table13[[#This Row],[Energy Source]])</f>
        <v/>
      </c>
      <c r="E182" s="83" t="str">
        <f>IF(Table13[[#This Row],[Units]]="", "", Table13[[#This Row],[Units]])</f>
        <v/>
      </c>
      <c r="F182" s="83" t="str">
        <f>IF(Table13[[#This Row],[Annual Consumption (Baseline)]]="", "", Table13[[#This Row],[Annual Consumption (Baseline)]])</f>
        <v/>
      </c>
      <c r="G182" s="83" t="str">
        <f>IF(F182="", "", IF(Results!$C182="Energy", VLOOKUP(Results!$E182,'Emission Inputs (Optional)'!$T$10:$U$27,2,FALSE)*Table13[[#This Row],[Energy Savings]], ""))</f>
        <v/>
      </c>
      <c r="H182" s="13" t="str">
        <f>IFERROR(VLOOKUP(B182,'Emission Inputs (Optional)'!$G$9:$I$191,3,FALSE),"")</f>
        <v/>
      </c>
      <c r="I182" s="13" t="str">
        <f>IF(Results!$C182="Energy", VLOOKUP(Results!$E182,'Emission Inputs (Optional)'!$T$10:$U$27,2,FALSE)*Results!$F182, "")</f>
        <v/>
      </c>
      <c r="J182" s="13" t="str">
        <f>IF(Results!$I182&lt;&gt;"",Results!$I182*0.293071,"")</f>
        <v/>
      </c>
      <c r="K182" s="84" t="str">
        <f>IF(Results!$I182&lt;&gt;"",Results!$I182/SUM($I$7:$I$189),"")</f>
        <v/>
      </c>
      <c r="L182" s="13" t="str">
        <f>IF(Results!$F182&lt;&gt;"",I182-G182,"")</f>
        <v/>
      </c>
      <c r="M182" s="13" t="str">
        <f>IF(Results!$L182&lt;&gt;"",Results!$L182*0.293071,"")</f>
        <v/>
      </c>
      <c r="N182" s="84" t="str">
        <f>IF(Results!$M182&lt;&gt;"",Results!$M182/SUM($M$7:$M$189),"")</f>
        <v/>
      </c>
      <c r="O182" s="85" t="str">
        <f>IF(Results!$C182="Energy", VLOOKUP(Results!$D182,'Energy Costs Inputs (Optional)'!$AS$3:$AU$20,2,FALSE)*Results!$I182, "")</f>
        <v/>
      </c>
      <c r="P182" s="84" t="str">
        <f>IF(Results!$O182&lt;&gt;"",Results!$O182/SUM($O$7:$O$189),"")</f>
        <v/>
      </c>
      <c r="Q182" s="85" t="str">
        <f>IF(Results!$C182="Energy", VLOOKUP(Results!$D182,'Energy Costs Inputs (Optional)'!$AS$3:$AU$20,2,FALSE)*Results!$L182, "")</f>
        <v/>
      </c>
      <c r="R182" s="84" t="str">
        <f>IF(Results!$Q182&lt;&gt;"",Results!$Q182/SUM($Q$7:$Q$189),"")</f>
        <v/>
      </c>
      <c r="S182" s="85" t="str">
        <f t="shared" si="4"/>
        <v/>
      </c>
      <c r="T182" s="13" t="str">
        <f>IF(Results!$I182&lt;&gt;"",(HLOOKUP(Table13[[#This Row],[Units]],'Emission Inputs (Optional)'!$L$10:$R$27,MATCH(Table13[[#This Row],[Energy Source]],'Emission Inputs (Optional)'!$L$10:$L$27,0),FALSE))*Table13[[#This Row],[Annual Consumption (Baseline)]],"")</f>
        <v/>
      </c>
      <c r="U182" s="13" t="str">
        <f>IF(Results!$T182&lt;&gt;"",Results!$T182,H182)</f>
        <v/>
      </c>
      <c r="V182" s="84" t="str">
        <f>IF(Results!$U182="","",IF(U182&lt;&gt;"",U182,0)/SUM(Results!$U$7:$U$189))</f>
        <v/>
      </c>
      <c r="W182" s="101" t="str">
        <f>IF(Results!$I182&lt;&gt;"",(HLOOKUP(Table13[[#This Row],[Units]],'Emission Inputs (Optional)'!$L$10:$R$27,MATCH(Table13[[#This Row],[Energy Source]],'Emission Inputs (Optional)'!$L$10:$L$27,0),FALSE))*(Table13[[#This Row],[Annual Consumption (Baseline)]]-Table13[[#This Row],[Energy Savings]]),"")</f>
        <v/>
      </c>
      <c r="X182" s="13" t="str">
        <f>IFERROR(VLOOKUP(B182,'Emission Inputs (Optional)'!$G$9:$J$191,4,FALSE),"")</f>
        <v/>
      </c>
      <c r="Y182" s="95" t="str">
        <f>IF(Results!$W182&lt;&gt;"",Results!$W182,IF(X182&lt;&gt;"",(H182-X182),""))</f>
        <v/>
      </c>
      <c r="Z182" s="95" t="str">
        <f t="shared" si="5"/>
        <v/>
      </c>
      <c r="AA182" s="89" t="str">
        <f>IF(Results!$U182="","",IF(U182&lt;&gt;"",U182,0)/SUM(Results!$U$7:$U$189))</f>
        <v/>
      </c>
      <c r="AB182" s="8"/>
      <c r="AC182" s="8"/>
      <c r="AD182" s="8"/>
      <c r="AE182" s="8"/>
      <c r="AF182" s="8"/>
      <c r="AG182" s="8"/>
      <c r="AH182" s="8"/>
      <c r="AI182" s="8"/>
      <c r="AJ182" s="8"/>
      <c r="AK182" s="8"/>
      <c r="AL182" s="8"/>
      <c r="AM182" s="8"/>
      <c r="AN182" s="8"/>
      <c r="AO182" s="8"/>
      <c r="AP182" s="8"/>
      <c r="AQ182" s="8"/>
      <c r="AR182" s="8"/>
      <c r="AS182" s="8"/>
      <c r="AT182" s="8"/>
    </row>
    <row r="183" spans="1:46" x14ac:dyDescent="0.2">
      <c r="A183" s="55" t="str">
        <f>IF(B183&lt;&gt;"",COUNTA($B$7:B183),"")</f>
        <v/>
      </c>
      <c r="B183" s="83"/>
      <c r="C183" s="83"/>
      <c r="D183" s="83" t="str">
        <f>IF(Table13[[#This Row],[Energy Source]]="","",Table13[[#This Row],[Energy Source]])</f>
        <v/>
      </c>
      <c r="E183" s="83" t="str">
        <f>IF(Table13[[#This Row],[Units]]="", "", Table13[[#This Row],[Units]])</f>
        <v/>
      </c>
      <c r="F183" s="83" t="str">
        <f>IF(Table13[[#This Row],[Annual Consumption (Baseline)]]="", "", Table13[[#This Row],[Annual Consumption (Baseline)]])</f>
        <v/>
      </c>
      <c r="G183" s="83" t="str">
        <f>IF(F183="", "", IF(Results!$C183="Energy", VLOOKUP(Results!$E183,'Emission Inputs (Optional)'!$T$10:$U$27,2,FALSE)*Table13[[#This Row],[Energy Savings]], ""))</f>
        <v/>
      </c>
      <c r="H183" s="13" t="str">
        <f>IFERROR(VLOOKUP(B183,'Emission Inputs (Optional)'!$G$9:$I$191,3,FALSE),"")</f>
        <v/>
      </c>
      <c r="I183" s="13" t="str">
        <f>IF(Results!$C183="Energy", VLOOKUP(Results!$E183,'Emission Inputs (Optional)'!$T$10:$U$27,2,FALSE)*Results!$F183, "")</f>
        <v/>
      </c>
      <c r="J183" s="13" t="str">
        <f>IF(Results!$I183&lt;&gt;"",Results!$I183*0.293071,"")</f>
        <v/>
      </c>
      <c r="K183" s="84" t="str">
        <f>IF(Results!$I183&lt;&gt;"",Results!$I183/SUM($I$7:$I$189),"")</f>
        <v/>
      </c>
      <c r="L183" s="13" t="str">
        <f>IF(Results!$F183&lt;&gt;"",I183-G183,"")</f>
        <v/>
      </c>
      <c r="M183" s="13" t="str">
        <f>IF(Results!$L183&lt;&gt;"",Results!$L183*0.293071,"")</f>
        <v/>
      </c>
      <c r="N183" s="84" t="str">
        <f>IF(Results!$M183&lt;&gt;"",Results!$M183/SUM($M$7:$M$189),"")</f>
        <v/>
      </c>
      <c r="O183" s="85" t="str">
        <f>IF(Results!$C183="Energy", VLOOKUP(Results!$D183,'Energy Costs Inputs (Optional)'!$AS$3:$AU$20,2,FALSE)*Results!$I183, "")</f>
        <v/>
      </c>
      <c r="P183" s="84" t="str">
        <f>IF(Results!$O183&lt;&gt;"",Results!$O183/SUM($O$7:$O$189),"")</f>
        <v/>
      </c>
      <c r="Q183" s="85" t="str">
        <f>IF(Results!$C183="Energy", VLOOKUP(Results!$D183,'Energy Costs Inputs (Optional)'!$AS$3:$AU$20,2,FALSE)*Results!$L183, "")</f>
        <v/>
      </c>
      <c r="R183" s="84" t="str">
        <f>IF(Results!$Q183&lt;&gt;"",Results!$Q183/SUM($Q$7:$Q$189),"")</f>
        <v/>
      </c>
      <c r="S183" s="85" t="str">
        <f t="shared" si="4"/>
        <v/>
      </c>
      <c r="T183" s="13" t="str">
        <f>IF(Results!$I183&lt;&gt;"",(HLOOKUP(Table13[[#This Row],[Units]],'Emission Inputs (Optional)'!$L$10:$R$27,MATCH(Table13[[#This Row],[Energy Source]],'Emission Inputs (Optional)'!$L$10:$L$27,0),FALSE))*Table13[[#This Row],[Annual Consumption (Baseline)]],"")</f>
        <v/>
      </c>
      <c r="U183" s="13" t="str">
        <f>IF(Results!$T183&lt;&gt;"",Results!$T183,H183)</f>
        <v/>
      </c>
      <c r="V183" s="84" t="str">
        <f>IF(Results!$U183="","",IF(U183&lt;&gt;"",U183,0)/SUM(Results!$U$7:$U$189))</f>
        <v/>
      </c>
      <c r="W183" s="101" t="str">
        <f>IF(Results!$I183&lt;&gt;"",(HLOOKUP(Table13[[#This Row],[Units]],'Emission Inputs (Optional)'!$L$10:$R$27,MATCH(Table13[[#This Row],[Energy Source]],'Emission Inputs (Optional)'!$L$10:$L$27,0),FALSE))*(Table13[[#This Row],[Annual Consumption (Baseline)]]-Table13[[#This Row],[Energy Savings]]),"")</f>
        <v/>
      </c>
      <c r="X183" s="13" t="str">
        <f>IFERROR(VLOOKUP(B183,'Emission Inputs (Optional)'!$G$9:$J$191,4,FALSE),"")</f>
        <v/>
      </c>
      <c r="Y183" s="95" t="str">
        <f>IF(Results!$W183&lt;&gt;"",Results!$W183,IF(X183&lt;&gt;"",(H183-X183),""))</f>
        <v/>
      </c>
      <c r="Z183" s="95" t="str">
        <f t="shared" si="5"/>
        <v/>
      </c>
      <c r="AA183" s="89" t="str">
        <f>IF(Results!$U183="","",IF(U183&lt;&gt;"",U183,0)/SUM(Results!$U$7:$U$189))</f>
        <v/>
      </c>
      <c r="AB183" s="8"/>
      <c r="AC183" s="8"/>
      <c r="AD183" s="8"/>
      <c r="AE183" s="8"/>
      <c r="AF183" s="8"/>
      <c r="AG183" s="8"/>
      <c r="AH183" s="8"/>
      <c r="AI183" s="8"/>
      <c r="AJ183" s="8"/>
      <c r="AK183" s="8"/>
      <c r="AL183" s="8"/>
      <c r="AM183" s="8"/>
      <c r="AN183" s="8"/>
      <c r="AO183" s="8"/>
      <c r="AP183" s="8"/>
      <c r="AQ183" s="8"/>
      <c r="AR183" s="8"/>
      <c r="AS183" s="8"/>
      <c r="AT183" s="8"/>
    </row>
    <row r="184" spans="1:46" x14ac:dyDescent="0.2">
      <c r="A184" s="55" t="str">
        <f>IF(B184&lt;&gt;"",COUNTA($B$7:B184),"")</f>
        <v/>
      </c>
      <c r="B184" s="83"/>
      <c r="C184" s="83"/>
      <c r="D184" s="83" t="str">
        <f>IF(Table13[[#This Row],[Energy Source]]="","",Table13[[#This Row],[Energy Source]])</f>
        <v/>
      </c>
      <c r="E184" s="83" t="str">
        <f>IF(Table13[[#This Row],[Units]]="", "", Table13[[#This Row],[Units]])</f>
        <v/>
      </c>
      <c r="F184" s="83" t="str">
        <f>IF(Table13[[#This Row],[Annual Consumption (Baseline)]]="", "", Table13[[#This Row],[Annual Consumption (Baseline)]])</f>
        <v/>
      </c>
      <c r="G184" s="83" t="str">
        <f>IF(F184="", "", IF(Results!$C184="Energy", VLOOKUP(Results!$E184,'Emission Inputs (Optional)'!$T$10:$U$27,2,FALSE)*Table13[[#This Row],[Energy Savings]], ""))</f>
        <v/>
      </c>
      <c r="H184" s="13" t="str">
        <f>IFERROR(VLOOKUP(B184,'Emission Inputs (Optional)'!$G$9:$I$191,3,FALSE),"")</f>
        <v/>
      </c>
      <c r="I184" s="13" t="str">
        <f>IF(Results!$C184="Energy", VLOOKUP(Results!$E184,'Emission Inputs (Optional)'!$T$10:$U$27,2,FALSE)*Results!$F184, "")</f>
        <v/>
      </c>
      <c r="J184" s="13" t="str">
        <f>IF(Results!$I184&lt;&gt;"",Results!$I184*0.293071,"")</f>
        <v/>
      </c>
      <c r="K184" s="84" t="str">
        <f>IF(Results!$I184&lt;&gt;"",Results!$I184/SUM($I$7:$I$189),"")</f>
        <v/>
      </c>
      <c r="L184" s="13" t="str">
        <f>IF(Results!$F184&lt;&gt;"",I184-G184,"")</f>
        <v/>
      </c>
      <c r="M184" s="13" t="str">
        <f>IF(Results!$L184&lt;&gt;"",Results!$L184*0.293071,"")</f>
        <v/>
      </c>
      <c r="N184" s="84" t="str">
        <f>IF(Results!$M184&lt;&gt;"",Results!$M184/SUM($M$7:$M$189),"")</f>
        <v/>
      </c>
      <c r="O184" s="85" t="str">
        <f>IF(Results!$C184="Energy", VLOOKUP(Results!$D184,'Energy Costs Inputs (Optional)'!$AS$3:$AU$20,2,FALSE)*Results!$I184, "")</f>
        <v/>
      </c>
      <c r="P184" s="84" t="str">
        <f>IF(Results!$O184&lt;&gt;"",Results!$O184/SUM($O$7:$O$189),"")</f>
        <v/>
      </c>
      <c r="Q184" s="85" t="str">
        <f>IF(Results!$C184="Energy", VLOOKUP(Results!$D184,'Energy Costs Inputs (Optional)'!$AS$3:$AU$20,2,FALSE)*Results!$L184, "")</f>
        <v/>
      </c>
      <c r="R184" s="84" t="str">
        <f>IF(Results!$Q184&lt;&gt;"",Results!$Q184/SUM($Q$7:$Q$189),"")</f>
        <v/>
      </c>
      <c r="S184" s="85" t="str">
        <f t="shared" si="4"/>
        <v/>
      </c>
      <c r="T184" s="13" t="str">
        <f>IF(Results!$I184&lt;&gt;"",(HLOOKUP(Table13[[#This Row],[Units]],'Emission Inputs (Optional)'!$L$10:$R$27,MATCH(Table13[[#This Row],[Energy Source]],'Emission Inputs (Optional)'!$L$10:$L$27,0),FALSE))*Table13[[#This Row],[Annual Consumption (Baseline)]],"")</f>
        <v/>
      </c>
      <c r="U184" s="13" t="str">
        <f>IF(Results!$T184&lt;&gt;"",Results!$T184,H184)</f>
        <v/>
      </c>
      <c r="V184" s="84" t="str">
        <f>IF(Results!$U184="","",IF(U184&lt;&gt;"",U184,0)/SUM(Results!$U$7:$U$189))</f>
        <v/>
      </c>
      <c r="W184" s="101" t="str">
        <f>IF(Results!$I184&lt;&gt;"",(HLOOKUP(Table13[[#This Row],[Units]],'Emission Inputs (Optional)'!$L$10:$R$27,MATCH(Table13[[#This Row],[Energy Source]],'Emission Inputs (Optional)'!$L$10:$L$27,0),FALSE))*(Table13[[#This Row],[Annual Consumption (Baseline)]]-Table13[[#This Row],[Energy Savings]]),"")</f>
        <v/>
      </c>
      <c r="X184" s="13" t="str">
        <f>IFERROR(VLOOKUP(B184,'Emission Inputs (Optional)'!$G$9:$J$191,4,FALSE),"")</f>
        <v/>
      </c>
      <c r="Y184" s="95" t="str">
        <f>IF(Results!$W184&lt;&gt;"",Results!$W184,IF(X184&lt;&gt;"",(H184-X184),""))</f>
        <v/>
      </c>
      <c r="Z184" s="95" t="str">
        <f t="shared" si="5"/>
        <v/>
      </c>
      <c r="AA184" s="89" t="str">
        <f>IF(Results!$U184="","",IF(U184&lt;&gt;"",U184,0)/SUM(Results!$U$7:$U$189))</f>
        <v/>
      </c>
      <c r="AB184" s="8"/>
      <c r="AC184" s="8"/>
      <c r="AD184" s="8"/>
      <c r="AE184" s="8"/>
      <c r="AF184" s="8"/>
      <c r="AG184" s="8"/>
      <c r="AH184" s="8"/>
      <c r="AI184" s="8"/>
      <c r="AJ184" s="8"/>
      <c r="AK184" s="8"/>
      <c r="AL184" s="8"/>
      <c r="AM184" s="8"/>
      <c r="AN184" s="8"/>
      <c r="AO184" s="8"/>
      <c r="AP184" s="8"/>
      <c r="AQ184" s="8"/>
      <c r="AR184" s="8"/>
      <c r="AS184" s="8"/>
      <c r="AT184" s="8"/>
    </row>
    <row r="185" spans="1:46" x14ac:dyDescent="0.2">
      <c r="A185" s="55" t="str">
        <f>IF(B185&lt;&gt;"",COUNTA($B$7:B185),"")</f>
        <v/>
      </c>
      <c r="B185" s="83"/>
      <c r="C185" s="83"/>
      <c r="D185" s="83" t="str">
        <f>IF(Table13[[#This Row],[Energy Source]]="","",Table13[[#This Row],[Energy Source]])</f>
        <v/>
      </c>
      <c r="E185" s="83" t="str">
        <f>IF(Table13[[#This Row],[Units]]="", "", Table13[[#This Row],[Units]])</f>
        <v/>
      </c>
      <c r="F185" s="83" t="str">
        <f>IF(Table13[[#This Row],[Annual Consumption (Baseline)]]="", "", Table13[[#This Row],[Annual Consumption (Baseline)]])</f>
        <v/>
      </c>
      <c r="G185" s="83" t="str">
        <f>IF(F185="", "", IF(Results!$C185="Energy", VLOOKUP(Results!$E185,'Emission Inputs (Optional)'!$T$10:$U$27,2,FALSE)*Table13[[#This Row],[Energy Savings]], ""))</f>
        <v/>
      </c>
      <c r="H185" s="13" t="str">
        <f>IFERROR(VLOOKUP(B185,'Emission Inputs (Optional)'!$G$9:$I$191,3,FALSE),"")</f>
        <v/>
      </c>
      <c r="I185" s="13" t="str">
        <f>IF(Results!$C185="Energy", VLOOKUP(Results!$E185,'Emission Inputs (Optional)'!$T$10:$U$27,2,FALSE)*Results!$F185, "")</f>
        <v/>
      </c>
      <c r="J185" s="13" t="str">
        <f>IF(Results!$I185&lt;&gt;"",Results!$I185*0.293071,"")</f>
        <v/>
      </c>
      <c r="K185" s="84" t="str">
        <f>IF(Results!$I185&lt;&gt;"",Results!$I185/SUM($I$7:$I$189),"")</f>
        <v/>
      </c>
      <c r="L185" s="13" t="str">
        <f>IF(Results!$F185&lt;&gt;"",I185-G185,"")</f>
        <v/>
      </c>
      <c r="M185" s="13" t="str">
        <f>IF(Results!$L185&lt;&gt;"",Results!$L185*0.293071,"")</f>
        <v/>
      </c>
      <c r="N185" s="84" t="str">
        <f>IF(Results!$M185&lt;&gt;"",Results!$M185/SUM($M$7:$M$189),"")</f>
        <v/>
      </c>
      <c r="O185" s="85" t="str">
        <f>IF(Results!$C185="Energy", VLOOKUP(Results!$D185,'Energy Costs Inputs (Optional)'!$AS$3:$AU$20,2,FALSE)*Results!$I185, "")</f>
        <v/>
      </c>
      <c r="P185" s="84" t="str">
        <f>IF(Results!$O185&lt;&gt;"",Results!$O185/SUM($O$7:$O$189),"")</f>
        <v/>
      </c>
      <c r="Q185" s="85" t="str">
        <f>IF(Results!$C185="Energy", VLOOKUP(Results!$D185,'Energy Costs Inputs (Optional)'!$AS$3:$AU$20,2,FALSE)*Results!$L185, "")</f>
        <v/>
      </c>
      <c r="R185" s="84" t="str">
        <f>IF(Results!$Q185&lt;&gt;"",Results!$Q185/SUM($Q$7:$Q$189),"")</f>
        <v/>
      </c>
      <c r="S185" s="85" t="str">
        <f t="shared" si="4"/>
        <v/>
      </c>
      <c r="T185" s="13" t="str">
        <f>IF(Results!$I185&lt;&gt;"",(HLOOKUP(Table13[[#This Row],[Units]],'Emission Inputs (Optional)'!$L$10:$R$27,MATCH(Table13[[#This Row],[Energy Source]],'Emission Inputs (Optional)'!$L$10:$L$27,0),FALSE))*Table13[[#This Row],[Annual Consumption (Baseline)]],"")</f>
        <v/>
      </c>
      <c r="U185" s="13" t="str">
        <f>IF(Results!$T185&lt;&gt;"",Results!$T185,H185)</f>
        <v/>
      </c>
      <c r="V185" s="84" t="str">
        <f>IF(Results!$U185="","",IF(U185&lt;&gt;"",U185,0)/SUM(Results!$U$7:$U$189))</f>
        <v/>
      </c>
      <c r="W185" s="101" t="str">
        <f>IF(Results!$I185&lt;&gt;"",(HLOOKUP(Table13[[#This Row],[Units]],'Emission Inputs (Optional)'!$L$10:$R$27,MATCH(Table13[[#This Row],[Energy Source]],'Emission Inputs (Optional)'!$L$10:$L$27,0),FALSE))*(Table13[[#This Row],[Annual Consumption (Baseline)]]-Table13[[#This Row],[Energy Savings]]),"")</f>
        <v/>
      </c>
      <c r="X185" s="13" t="str">
        <f>IFERROR(VLOOKUP(B185,'Emission Inputs (Optional)'!$G$9:$J$191,4,FALSE),"")</f>
        <v/>
      </c>
      <c r="Y185" s="95" t="str">
        <f>IF(Results!$W185&lt;&gt;"",Results!$W185,IF(X185&lt;&gt;"",(H185-X185),""))</f>
        <v/>
      </c>
      <c r="Z185" s="95" t="str">
        <f t="shared" si="5"/>
        <v/>
      </c>
      <c r="AA185" s="89" t="str">
        <f>IF(Results!$U185="","",IF(U185&lt;&gt;"",U185,0)/SUM(Results!$U$7:$U$189))</f>
        <v/>
      </c>
      <c r="AB185" s="8"/>
      <c r="AC185" s="8"/>
      <c r="AD185" s="8"/>
      <c r="AE185" s="8"/>
      <c r="AF185" s="8"/>
      <c r="AG185" s="8"/>
      <c r="AH185" s="8"/>
      <c r="AI185" s="8"/>
      <c r="AJ185" s="8"/>
      <c r="AK185" s="8"/>
      <c r="AL185" s="8"/>
      <c r="AM185" s="8"/>
      <c r="AN185" s="8"/>
      <c r="AO185" s="8"/>
      <c r="AP185" s="8"/>
      <c r="AQ185" s="8"/>
      <c r="AR185" s="8"/>
      <c r="AS185" s="8"/>
      <c r="AT185" s="8"/>
    </row>
    <row r="186" spans="1:46" x14ac:dyDescent="0.2">
      <c r="A186" s="55" t="str">
        <f>IF(B186&lt;&gt;"",COUNTA($B$7:B186),"")</f>
        <v/>
      </c>
      <c r="B186" s="83"/>
      <c r="C186" s="83"/>
      <c r="D186" s="83" t="str">
        <f>IF(Table13[[#This Row],[Energy Source]]="","",Table13[[#This Row],[Energy Source]])</f>
        <v/>
      </c>
      <c r="E186" s="83" t="str">
        <f>IF(Table13[[#This Row],[Units]]="", "", Table13[[#This Row],[Units]])</f>
        <v/>
      </c>
      <c r="F186" s="83" t="str">
        <f>IF(Table13[[#This Row],[Annual Consumption (Baseline)]]="", "", Table13[[#This Row],[Annual Consumption (Baseline)]])</f>
        <v/>
      </c>
      <c r="G186" s="83" t="str">
        <f>IF(F186="", "", IF(Results!$C186="Energy", VLOOKUP(Results!$E186,'Emission Inputs (Optional)'!$T$10:$U$27,2,FALSE)*Table13[[#This Row],[Energy Savings]], ""))</f>
        <v/>
      </c>
      <c r="H186" s="13" t="str">
        <f>IFERROR(VLOOKUP(B186,'Emission Inputs (Optional)'!$G$9:$I$191,3,FALSE),"")</f>
        <v/>
      </c>
      <c r="I186" s="13" t="str">
        <f>IF(Results!$C186="Energy", VLOOKUP(Results!$E186,'Emission Inputs (Optional)'!$T$10:$U$27,2,FALSE)*Results!$F186, "")</f>
        <v/>
      </c>
      <c r="J186" s="13" t="str">
        <f>IF(Results!$I186&lt;&gt;"",Results!$I186*0.293071,"")</f>
        <v/>
      </c>
      <c r="K186" s="84" t="str">
        <f>IF(Results!$I186&lt;&gt;"",Results!$I186/SUM($I$7:$I$189),"")</f>
        <v/>
      </c>
      <c r="L186" s="13" t="str">
        <f>IF(Results!$F186&lt;&gt;"",I186-G186,"")</f>
        <v/>
      </c>
      <c r="M186" s="13" t="str">
        <f>IF(Results!$L186&lt;&gt;"",Results!$L186*0.293071,"")</f>
        <v/>
      </c>
      <c r="N186" s="84" t="str">
        <f>IF(Results!$M186&lt;&gt;"",Results!$M186/SUM($M$7:$M$189),"")</f>
        <v/>
      </c>
      <c r="O186" s="85" t="str">
        <f>IF(Results!$C186="Energy", VLOOKUP(Results!$D186,'Energy Costs Inputs (Optional)'!$AS$3:$AU$20,2,FALSE)*Results!$I186, "")</f>
        <v/>
      </c>
      <c r="P186" s="84" t="str">
        <f>IF(Results!$O186&lt;&gt;"",Results!$O186/SUM($O$7:$O$189),"")</f>
        <v/>
      </c>
      <c r="Q186" s="85" t="str">
        <f>IF(Results!$C186="Energy", VLOOKUP(Results!$D186,'Energy Costs Inputs (Optional)'!$AS$3:$AU$20,2,FALSE)*Results!$L186, "")</f>
        <v/>
      </c>
      <c r="R186" s="84" t="str">
        <f>IF(Results!$Q186&lt;&gt;"",Results!$Q186/SUM($Q$7:$Q$189),"")</f>
        <v/>
      </c>
      <c r="S186" s="85" t="str">
        <f t="shared" si="4"/>
        <v/>
      </c>
      <c r="T186" s="13" t="str">
        <f>IF(Results!$I186&lt;&gt;"",(HLOOKUP(Table13[[#This Row],[Units]],'Emission Inputs (Optional)'!$L$10:$R$27,MATCH(Table13[[#This Row],[Energy Source]],'Emission Inputs (Optional)'!$L$10:$L$27,0),FALSE))*Table13[[#This Row],[Annual Consumption (Baseline)]],"")</f>
        <v/>
      </c>
      <c r="U186" s="13" t="str">
        <f>IF(Results!$T186&lt;&gt;"",Results!$T186,H186)</f>
        <v/>
      </c>
      <c r="V186" s="84" t="str">
        <f>IF(Results!$U186="","",IF(U186&lt;&gt;"",U186,0)/SUM(Results!$U$7:$U$189))</f>
        <v/>
      </c>
      <c r="W186" s="101" t="str">
        <f>IF(Results!$I186&lt;&gt;"",(HLOOKUP(Table13[[#This Row],[Units]],'Emission Inputs (Optional)'!$L$10:$R$27,MATCH(Table13[[#This Row],[Energy Source]],'Emission Inputs (Optional)'!$L$10:$L$27,0),FALSE))*(Table13[[#This Row],[Annual Consumption (Baseline)]]-Table13[[#This Row],[Energy Savings]]),"")</f>
        <v/>
      </c>
      <c r="X186" s="13" t="str">
        <f>IFERROR(VLOOKUP(B186,'Emission Inputs (Optional)'!$G$9:$J$191,4,FALSE),"")</f>
        <v/>
      </c>
      <c r="Y186" s="95" t="str">
        <f>IF(Results!$W186&lt;&gt;"",Results!$W186,IF(X186&lt;&gt;"",(H186-X186),""))</f>
        <v/>
      </c>
      <c r="Z186" s="95" t="str">
        <f t="shared" si="5"/>
        <v/>
      </c>
      <c r="AA186" s="89" t="str">
        <f>IF(Results!$U186="","",IF(U186&lt;&gt;"",U186,0)/SUM(Results!$U$7:$U$189))</f>
        <v/>
      </c>
      <c r="AB186" s="8"/>
      <c r="AC186" s="8"/>
      <c r="AD186" s="8"/>
      <c r="AE186" s="8"/>
      <c r="AF186" s="8"/>
      <c r="AG186" s="8"/>
      <c r="AH186" s="8"/>
      <c r="AI186" s="8"/>
      <c r="AJ186" s="8"/>
      <c r="AK186" s="8"/>
      <c r="AL186" s="8"/>
      <c r="AM186" s="8"/>
      <c r="AN186" s="8"/>
      <c r="AO186" s="8"/>
      <c r="AP186" s="8"/>
      <c r="AQ186" s="8"/>
      <c r="AR186" s="8"/>
      <c r="AS186" s="8"/>
      <c r="AT186" s="8"/>
    </row>
    <row r="187" spans="1:46" x14ac:dyDescent="0.2">
      <c r="A187" s="55" t="str">
        <f>IF(B187&lt;&gt;"",COUNTA($B$7:B187),"")</f>
        <v/>
      </c>
      <c r="B187" s="83"/>
      <c r="C187" s="83"/>
      <c r="D187" s="83" t="str">
        <f>IF(Table13[[#This Row],[Energy Source]]="","",Table13[[#This Row],[Energy Source]])</f>
        <v/>
      </c>
      <c r="E187" s="83" t="str">
        <f>IF(Table13[[#This Row],[Units]]="", "", Table13[[#This Row],[Units]])</f>
        <v/>
      </c>
      <c r="F187" s="83" t="str">
        <f>IF(Table13[[#This Row],[Annual Consumption (Baseline)]]="", "", Table13[[#This Row],[Annual Consumption (Baseline)]])</f>
        <v/>
      </c>
      <c r="G187" s="83" t="str">
        <f>IF(F187="", "", IF(Results!$C187="Energy", VLOOKUP(Results!$E187,'Emission Inputs (Optional)'!$T$10:$U$27,2,FALSE)*Table13[[#This Row],[Energy Savings]], ""))</f>
        <v/>
      </c>
      <c r="H187" s="13" t="str">
        <f>IFERROR(VLOOKUP(B187,'Emission Inputs (Optional)'!$G$9:$I$191,3,FALSE),"")</f>
        <v/>
      </c>
      <c r="I187" s="13" t="str">
        <f>IF(Results!$C187="Energy", VLOOKUP(Results!$E187,'Emission Inputs (Optional)'!$T$10:$U$27,2,FALSE)*Results!$F187, "")</f>
        <v/>
      </c>
      <c r="J187" s="13" t="str">
        <f>IF(Results!$I187&lt;&gt;"",Results!$I187*0.293071,"")</f>
        <v/>
      </c>
      <c r="K187" s="84" t="str">
        <f>IF(Results!$I187&lt;&gt;"",Results!$I187/SUM($I$7:$I$189),"")</f>
        <v/>
      </c>
      <c r="L187" s="13" t="str">
        <f>IF(Results!$F187&lt;&gt;"",I187-G187,"")</f>
        <v/>
      </c>
      <c r="M187" s="13" t="str">
        <f>IF(Results!$L187&lt;&gt;"",Results!$L187*0.293071,"")</f>
        <v/>
      </c>
      <c r="N187" s="84" t="str">
        <f>IF(Results!$M187&lt;&gt;"",Results!$M187/SUM($M$7:$M$189),"")</f>
        <v/>
      </c>
      <c r="O187" s="85" t="str">
        <f>IF(Results!$C187="Energy", VLOOKUP(Results!$D187,'Energy Costs Inputs (Optional)'!$AS$3:$AU$20,2,FALSE)*Results!$I187, "")</f>
        <v/>
      </c>
      <c r="P187" s="84" t="str">
        <f>IF(Results!$O187&lt;&gt;"",Results!$O187/SUM($O$7:$O$189),"")</f>
        <v/>
      </c>
      <c r="Q187" s="85" t="str">
        <f>IF(Results!$C187="Energy", VLOOKUP(Results!$D187,'Energy Costs Inputs (Optional)'!$AS$3:$AU$20,2,FALSE)*Results!$L187, "")</f>
        <v/>
      </c>
      <c r="R187" s="84" t="str">
        <f>IF(Results!$Q187&lt;&gt;"",Results!$Q187/SUM($Q$7:$Q$189),"")</f>
        <v/>
      </c>
      <c r="S187" s="85" t="str">
        <f t="shared" si="4"/>
        <v/>
      </c>
      <c r="T187" s="13" t="str">
        <f>IF(Results!$I187&lt;&gt;"",(HLOOKUP(Table13[[#This Row],[Units]],'Emission Inputs (Optional)'!$L$10:$R$27,MATCH(Table13[[#This Row],[Energy Source]],'Emission Inputs (Optional)'!$L$10:$L$27,0),FALSE))*Table13[[#This Row],[Annual Consumption (Baseline)]],"")</f>
        <v/>
      </c>
      <c r="U187" s="13" t="str">
        <f>IF(Results!$T187&lt;&gt;"",Results!$T187,H187)</f>
        <v/>
      </c>
      <c r="V187" s="84" t="str">
        <f>IF(Results!$U187="","",IF(U187&lt;&gt;"",U187,0)/SUM(Results!$U$7:$U$189))</f>
        <v/>
      </c>
      <c r="W187" s="101" t="str">
        <f>IF(Results!$I187&lt;&gt;"",(HLOOKUP(Table13[[#This Row],[Units]],'Emission Inputs (Optional)'!$L$10:$R$27,MATCH(Table13[[#This Row],[Energy Source]],'Emission Inputs (Optional)'!$L$10:$L$27,0),FALSE))*(Table13[[#This Row],[Annual Consumption (Baseline)]]-Table13[[#This Row],[Energy Savings]]),"")</f>
        <v/>
      </c>
      <c r="X187" s="13" t="str">
        <f>IFERROR(VLOOKUP(B187,'Emission Inputs (Optional)'!$G$9:$J$191,4,FALSE),"")</f>
        <v/>
      </c>
      <c r="Y187" s="95" t="str">
        <f>IF(Results!$W187&lt;&gt;"",Results!$W187,IF(X187&lt;&gt;"",(H187-X187),""))</f>
        <v/>
      </c>
      <c r="Z187" s="95" t="str">
        <f t="shared" si="5"/>
        <v/>
      </c>
      <c r="AA187" s="89" t="str">
        <f>IF(Results!$U187="","",IF(U187&lt;&gt;"",U187,0)/SUM(Results!$U$7:$U$189))</f>
        <v/>
      </c>
      <c r="AB187" s="8"/>
      <c r="AC187" s="8"/>
      <c r="AD187" s="8"/>
      <c r="AE187" s="8"/>
      <c r="AF187" s="8"/>
      <c r="AG187" s="8"/>
      <c r="AH187" s="8"/>
      <c r="AI187" s="8"/>
      <c r="AJ187" s="8"/>
      <c r="AK187" s="8"/>
      <c r="AL187" s="8"/>
      <c r="AM187" s="8"/>
      <c r="AN187" s="8"/>
      <c r="AO187" s="8"/>
      <c r="AP187" s="8"/>
      <c r="AQ187" s="8"/>
      <c r="AR187" s="8"/>
      <c r="AS187" s="8"/>
      <c r="AT187" s="8"/>
    </row>
    <row r="188" spans="1:46" x14ac:dyDescent="0.2">
      <c r="A188" s="55" t="str">
        <f>IF(B188&lt;&gt;"",COUNTA($B$7:B188),"")</f>
        <v/>
      </c>
      <c r="B188" s="83"/>
      <c r="C188" s="83"/>
      <c r="D188" s="83" t="str">
        <f>IF(Table13[[#This Row],[Energy Source]]="","",Table13[[#This Row],[Energy Source]])</f>
        <v/>
      </c>
      <c r="E188" s="83" t="str">
        <f>IF(Table13[[#This Row],[Units]]="", "", Table13[[#This Row],[Units]])</f>
        <v/>
      </c>
      <c r="F188" s="83" t="str">
        <f>IF(Table13[[#This Row],[Annual Consumption (Baseline)]]="", "", Table13[[#This Row],[Annual Consumption (Baseline)]])</f>
        <v/>
      </c>
      <c r="G188" s="83" t="str">
        <f>IF(F188="", "", IF(Results!$C188="Energy", VLOOKUP(Results!$E188,'Emission Inputs (Optional)'!$T$10:$U$27,2,FALSE)*Table13[[#This Row],[Energy Savings]], ""))</f>
        <v/>
      </c>
      <c r="H188" s="13" t="str">
        <f>IFERROR(VLOOKUP(B188,'Emission Inputs (Optional)'!$G$9:$I$191,3,FALSE),"")</f>
        <v/>
      </c>
      <c r="I188" s="13" t="str">
        <f>IF(Results!$C188="Energy", VLOOKUP(Results!$E188,'Emission Inputs (Optional)'!$T$10:$U$27,2,FALSE)*Results!$F188, "")</f>
        <v/>
      </c>
      <c r="J188" s="13" t="str">
        <f>IF(Results!$I188&lt;&gt;"",Results!$I188*0.293071,"")</f>
        <v/>
      </c>
      <c r="K188" s="84" t="str">
        <f>IF(Results!$I188&lt;&gt;"",Results!$I188/SUM($I$7:$I$189),"")</f>
        <v/>
      </c>
      <c r="L188" s="13" t="str">
        <f>IF(Results!$F188&lt;&gt;"",I188-G188,"")</f>
        <v/>
      </c>
      <c r="M188" s="13" t="str">
        <f>IF(Results!$L188&lt;&gt;"",Results!$L188*0.293071,"")</f>
        <v/>
      </c>
      <c r="N188" s="84" t="str">
        <f>IF(Results!$M188&lt;&gt;"",Results!$M188/SUM($M$7:$M$189),"")</f>
        <v/>
      </c>
      <c r="O188" s="85" t="str">
        <f>IF(Results!$C188="Energy", VLOOKUP(Results!$D188,'Energy Costs Inputs (Optional)'!$AS$3:$AU$20,2,FALSE)*Results!$I188, "")</f>
        <v/>
      </c>
      <c r="P188" s="84" t="str">
        <f>IF(Results!$O188&lt;&gt;"",Results!$O188/SUM($O$7:$O$189),"")</f>
        <v/>
      </c>
      <c r="Q188" s="85" t="str">
        <f>IF(Results!$C188="Energy", VLOOKUP(Results!$D188,'Energy Costs Inputs (Optional)'!$AS$3:$AU$20,2,FALSE)*Results!$L188, "")</f>
        <v/>
      </c>
      <c r="R188" s="84" t="str">
        <f>IF(Results!$Q188&lt;&gt;"",Results!$Q188/SUM($Q$7:$Q$189),"")</f>
        <v/>
      </c>
      <c r="S188" s="85" t="str">
        <f t="shared" si="4"/>
        <v/>
      </c>
      <c r="T188" s="13" t="str">
        <f>IF(Results!$I188&lt;&gt;"",(HLOOKUP(Table13[[#This Row],[Units]],'Emission Inputs (Optional)'!$L$10:$R$27,MATCH(Table13[[#This Row],[Energy Source]],'Emission Inputs (Optional)'!$L$10:$L$27,0),FALSE))*Table13[[#This Row],[Annual Consumption (Baseline)]],"")</f>
        <v/>
      </c>
      <c r="U188" s="13" t="str">
        <f>IF(Results!$T188&lt;&gt;"",Results!$T188,H188)</f>
        <v/>
      </c>
      <c r="V188" s="84" t="str">
        <f>IF(Results!$U188="","",IF(U188&lt;&gt;"",U188,0)/SUM(Results!$U$7:$U$189))</f>
        <v/>
      </c>
      <c r="W188" s="101" t="str">
        <f>IF(Results!$I188&lt;&gt;"",(HLOOKUP(Table13[[#This Row],[Units]],'Emission Inputs (Optional)'!$L$10:$R$27,MATCH(Table13[[#This Row],[Energy Source]],'Emission Inputs (Optional)'!$L$10:$L$27,0),FALSE))*(Table13[[#This Row],[Annual Consumption (Baseline)]]-Table13[[#This Row],[Energy Savings]]),"")</f>
        <v/>
      </c>
      <c r="X188" s="13" t="str">
        <f>IFERROR(VLOOKUP(B188,'Emission Inputs (Optional)'!$G$9:$J$191,4,FALSE),"")</f>
        <v/>
      </c>
      <c r="Y188" s="95" t="str">
        <f>IF(Results!$W188&lt;&gt;"",Results!$W188,IF(X188&lt;&gt;"",(H188-X188),""))</f>
        <v/>
      </c>
      <c r="Z188" s="95" t="str">
        <f t="shared" si="5"/>
        <v/>
      </c>
      <c r="AA188" s="89" t="str">
        <f>IF(Results!$U188="","",IF(U188&lt;&gt;"",U188,0)/SUM(Results!$U$7:$U$189))</f>
        <v/>
      </c>
      <c r="AB188" s="8"/>
      <c r="AC188" s="8"/>
      <c r="AD188" s="8"/>
      <c r="AE188" s="8"/>
      <c r="AF188" s="8"/>
      <c r="AG188" s="8"/>
      <c r="AH188" s="8"/>
      <c r="AI188" s="8"/>
      <c r="AJ188" s="8"/>
      <c r="AK188" s="8"/>
      <c r="AL188" s="8"/>
      <c r="AM188" s="8"/>
      <c r="AN188" s="8"/>
      <c r="AO188" s="8"/>
      <c r="AP188" s="8"/>
      <c r="AQ188" s="8"/>
      <c r="AR188" s="8"/>
      <c r="AS188" s="8"/>
      <c r="AT188" s="8"/>
    </row>
    <row r="189" spans="1:46" ht="16" thickBot="1" x14ac:dyDescent="0.25">
      <c r="A189" s="57" t="str">
        <f>IF(B189&lt;&gt;"",COUNTA($B$7:B189),"")</f>
        <v/>
      </c>
      <c r="B189" s="90"/>
      <c r="C189" s="90"/>
      <c r="D189" s="90" t="str">
        <f>IF(Table13[[#This Row],[Energy Source]]="","",Table13[[#This Row],[Energy Source]])</f>
        <v/>
      </c>
      <c r="E189" s="90" t="str">
        <f>IF(Table13[[#This Row],[Units]]="", "", Table13[[#This Row],[Units]])</f>
        <v/>
      </c>
      <c r="F189" s="90" t="str">
        <f>IF(Table13[[#This Row],[Annual Consumption (Baseline)]]="", "", Table13[[#This Row],[Annual Consumption (Baseline)]])</f>
        <v/>
      </c>
      <c r="G189" s="83" t="str">
        <f>IF(F189="", "", IF(Results!$C189="Energy", VLOOKUP(Results!$E189,'Emission Inputs (Optional)'!$T$10:$U$27,2,FALSE)*Table13[[#This Row],[Energy Savings]], ""))</f>
        <v/>
      </c>
      <c r="H189" s="91" t="str">
        <f>IFERROR(VLOOKUP(B189,'Emission Inputs (Optional)'!$G$9:$I$191,3,FALSE),"")</f>
        <v/>
      </c>
      <c r="I189" s="13" t="str">
        <f>IF(Results!$C189="Energy", VLOOKUP(Results!$E189,'Emission Inputs (Optional)'!$T$10:$U$27,2,FALSE)*Results!$F189, "")</f>
        <v/>
      </c>
      <c r="J189" s="91" t="str">
        <f>IF(Results!$I189&lt;&gt;"",Results!$I189*0.293071,"")</f>
        <v/>
      </c>
      <c r="K189" s="92" t="str">
        <f>IF(Results!$I189&lt;&gt;"",Results!$I189/SUM($I$7:$I$189),"")</f>
        <v/>
      </c>
      <c r="L189" s="91" t="str">
        <f>IF(Results!$F189&lt;&gt;"",I189-G189,"")</f>
        <v/>
      </c>
      <c r="M189" s="91" t="str">
        <f>IF(Results!$L189&lt;&gt;"",Results!$L189*0.293071,"")</f>
        <v/>
      </c>
      <c r="N189" s="92" t="str">
        <f>IF(Results!$M189&lt;&gt;"",Results!$M189/SUM($M$7:$M$189),"")</f>
        <v/>
      </c>
      <c r="O189" s="93" t="str">
        <f>IF(Results!$C189="Energy", VLOOKUP(Results!$D189,'Energy Costs Inputs (Optional)'!$AS$3:$AU$20,2,FALSE)*Results!$I189, "")</f>
        <v/>
      </c>
      <c r="P189" s="92" t="str">
        <f>IF(Results!$O189&lt;&gt;"",Results!$O189/SUM($O$7:$O$189),"")</f>
        <v/>
      </c>
      <c r="Q189" s="93" t="str">
        <f>IF(Results!$C189="Energy", VLOOKUP(Results!$D189,'Energy Costs Inputs (Optional)'!$AS$3:$AU$20,2,FALSE)*Results!$L189, "")</f>
        <v/>
      </c>
      <c r="R189" s="92" t="str">
        <f>IF(Results!$Q189&lt;&gt;"",Results!$Q189/SUM($Q$7:$Q$189),"")</f>
        <v/>
      </c>
      <c r="S189" s="85" t="str">
        <f t="shared" si="4"/>
        <v/>
      </c>
      <c r="T189" s="13" t="str">
        <f>IF(Results!$I189&lt;&gt;"",(HLOOKUP(Table13[[#This Row],[Units]],'Emission Inputs (Optional)'!$L$10:$R$27,MATCH(Table13[[#This Row],[Energy Source]],'Emission Inputs (Optional)'!$L$10:$L$27,0),FALSE))*Table13[[#This Row],[Annual Consumption (Baseline)]],"")</f>
        <v/>
      </c>
      <c r="U189" s="91" t="str">
        <f>IF(Results!$T189&lt;&gt;"",Results!$T189,H189)</f>
        <v/>
      </c>
      <c r="V189" s="84" t="str">
        <f>IF(Results!$U189="","",IF(U189&lt;&gt;"",U189,0)/SUM(Results!$U$7:$U$189))</f>
        <v/>
      </c>
      <c r="W189" s="101" t="str">
        <f>IF(Results!$I189&lt;&gt;"",(HLOOKUP(Table13[[#This Row],[Units]],'Emission Inputs (Optional)'!$L$10:$R$27,MATCH(Table13[[#This Row],[Energy Source]],'Emission Inputs (Optional)'!$L$10:$L$27,0),FALSE))*(Table13[[#This Row],[Annual Consumption (Baseline)]]-Table13[[#This Row],[Energy Savings]]),"")</f>
        <v/>
      </c>
      <c r="X189" s="13" t="str">
        <f>IFERROR(VLOOKUP(B189,'Emission Inputs (Optional)'!$G$9:$J$191,4,FALSE),"")</f>
        <v/>
      </c>
      <c r="Y189" s="95" t="str">
        <f>IF(Results!$W189&lt;&gt;"",Results!$W189,IF(X189&lt;&gt;"",(H189-X189),""))</f>
        <v/>
      </c>
      <c r="Z189" s="95" t="str">
        <f t="shared" si="5"/>
        <v/>
      </c>
      <c r="AA189" s="94" t="str">
        <f>IF(Results!$U189="","",IF(U189&lt;&gt;"",U189,0)/SUM(Results!$U$7:$U$189))</f>
        <v/>
      </c>
      <c r="AB189" s="8"/>
      <c r="AC189" s="8"/>
      <c r="AD189" s="8"/>
      <c r="AE189" s="8"/>
      <c r="AF189" s="8"/>
      <c r="AG189" s="8"/>
      <c r="AH189" s="8"/>
      <c r="AI189" s="8"/>
      <c r="AJ189" s="8"/>
      <c r="AK189" s="8"/>
      <c r="AL189" s="8"/>
      <c r="AM189" s="8"/>
      <c r="AN189" s="8"/>
      <c r="AO189" s="8"/>
      <c r="AP189" s="8"/>
      <c r="AQ189" s="8"/>
      <c r="AR189" s="8"/>
      <c r="AS189" s="8"/>
      <c r="AT189" s="8"/>
    </row>
    <row r="190" spans="1:46" x14ac:dyDescent="0.2">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c r="AA190" s="8"/>
      <c r="AB190" s="8"/>
      <c r="AC190" s="8"/>
      <c r="AD190" s="8"/>
      <c r="AE190" s="8"/>
      <c r="AF190" s="8"/>
      <c r="AG190" s="8"/>
      <c r="AH190" s="8"/>
      <c r="AI190" s="8"/>
      <c r="AJ190" s="8"/>
      <c r="AK190" s="8"/>
      <c r="AL190" s="8"/>
      <c r="AM190" s="8"/>
      <c r="AN190" s="8"/>
      <c r="AO190" s="8"/>
      <c r="AP190" s="8"/>
      <c r="AQ190" s="8"/>
      <c r="AR190" s="8"/>
      <c r="AS190" s="8"/>
    </row>
    <row r="191" spans="1:46" x14ac:dyDescent="0.2">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c r="AA191" s="8"/>
      <c r="AB191" s="8"/>
      <c r="AC191" s="8"/>
      <c r="AD191" s="8"/>
      <c r="AE191" s="8"/>
      <c r="AF191" s="8"/>
      <c r="AG191" s="8"/>
      <c r="AH191" s="8"/>
      <c r="AI191" s="8"/>
      <c r="AJ191" s="8"/>
      <c r="AK191" s="8"/>
      <c r="AL191" s="8"/>
      <c r="AM191" s="8"/>
      <c r="AN191" s="8"/>
      <c r="AO191" s="8"/>
      <c r="AP191" s="8"/>
      <c r="AQ191" s="8"/>
      <c r="AR191" s="8"/>
      <c r="AS191" s="8"/>
    </row>
    <row r="192" spans="1:46" x14ac:dyDescent="0.2">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c r="AA192" s="8"/>
      <c r="AB192" s="8"/>
      <c r="AC192" s="8"/>
      <c r="AD192" s="8"/>
      <c r="AE192" s="8"/>
      <c r="AF192" s="8"/>
      <c r="AG192" s="8"/>
      <c r="AH192" s="8"/>
      <c r="AI192" s="8"/>
      <c r="AJ192" s="8"/>
      <c r="AK192" s="8"/>
      <c r="AL192" s="8"/>
      <c r="AM192" s="8"/>
      <c r="AN192" s="8"/>
      <c r="AO192" s="8"/>
      <c r="AP192" s="8"/>
      <c r="AQ192" s="8"/>
      <c r="AR192" s="8"/>
      <c r="AS192" s="8"/>
    </row>
    <row r="193" spans="1:45" x14ac:dyDescent="0.2">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c r="AA193" s="8"/>
      <c r="AB193" s="8"/>
      <c r="AC193" s="8"/>
      <c r="AD193" s="8"/>
      <c r="AE193" s="8"/>
      <c r="AF193" s="8"/>
      <c r="AG193" s="8"/>
      <c r="AH193" s="8"/>
      <c r="AI193" s="8"/>
      <c r="AJ193" s="8"/>
      <c r="AK193" s="8"/>
      <c r="AL193" s="8"/>
      <c r="AM193" s="8"/>
      <c r="AN193" s="8"/>
      <c r="AO193" s="8"/>
      <c r="AP193" s="8"/>
      <c r="AQ193" s="8"/>
      <c r="AR193" s="8"/>
      <c r="AS193" s="8"/>
    </row>
    <row r="194" spans="1:45" x14ac:dyDescent="0.2">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c r="AA194" s="8"/>
      <c r="AB194" s="8"/>
      <c r="AC194" s="8"/>
      <c r="AD194" s="8"/>
      <c r="AE194" s="8"/>
      <c r="AF194" s="8"/>
      <c r="AG194" s="8"/>
      <c r="AH194" s="8"/>
      <c r="AI194" s="8"/>
      <c r="AJ194" s="8"/>
      <c r="AK194" s="8"/>
      <c r="AL194" s="8"/>
      <c r="AM194" s="8"/>
      <c r="AN194" s="8"/>
      <c r="AO194" s="8"/>
      <c r="AP194" s="8"/>
      <c r="AQ194" s="8"/>
      <c r="AR194" s="8"/>
      <c r="AS194" s="8"/>
    </row>
    <row r="195" spans="1:45" x14ac:dyDescent="0.2">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c r="AA195" s="8"/>
      <c r="AB195" s="8"/>
      <c r="AC195" s="8"/>
      <c r="AD195" s="8"/>
      <c r="AE195" s="8"/>
      <c r="AF195" s="8"/>
      <c r="AG195" s="8"/>
      <c r="AH195" s="8"/>
      <c r="AI195" s="8"/>
      <c r="AJ195" s="8"/>
      <c r="AK195" s="8"/>
      <c r="AL195" s="8"/>
      <c r="AM195" s="8"/>
      <c r="AN195" s="8"/>
      <c r="AO195" s="8"/>
      <c r="AP195" s="8"/>
      <c r="AQ195" s="8"/>
      <c r="AR195" s="8"/>
      <c r="AS195" s="8"/>
    </row>
    <row r="196" spans="1:45" x14ac:dyDescent="0.2">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c r="AA196" s="8"/>
      <c r="AB196" s="8"/>
      <c r="AC196" s="8"/>
      <c r="AD196" s="8"/>
      <c r="AE196" s="8"/>
      <c r="AF196" s="8"/>
      <c r="AG196" s="8"/>
      <c r="AH196" s="8"/>
      <c r="AI196" s="8"/>
      <c r="AJ196" s="8"/>
      <c r="AK196" s="8"/>
      <c r="AL196" s="8"/>
      <c r="AM196" s="8"/>
      <c r="AN196" s="8"/>
      <c r="AO196" s="8"/>
      <c r="AP196" s="8"/>
      <c r="AQ196" s="8"/>
      <c r="AR196" s="8"/>
      <c r="AS196" s="8"/>
    </row>
    <row r="197" spans="1:45" x14ac:dyDescent="0.2">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c r="AA197" s="8"/>
      <c r="AB197" s="8"/>
      <c r="AC197" s="8"/>
      <c r="AD197" s="8"/>
      <c r="AE197" s="8"/>
      <c r="AF197" s="8"/>
      <c r="AG197" s="8"/>
      <c r="AH197" s="8"/>
      <c r="AI197" s="8"/>
      <c r="AJ197" s="8"/>
      <c r="AK197" s="8"/>
      <c r="AL197" s="8"/>
      <c r="AM197" s="8"/>
      <c r="AN197" s="8"/>
      <c r="AO197" s="8"/>
      <c r="AP197" s="8"/>
      <c r="AQ197" s="8"/>
      <c r="AR197" s="8"/>
      <c r="AS197" s="8"/>
    </row>
    <row r="198" spans="1:45" x14ac:dyDescent="0.2">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c r="AA198" s="8"/>
      <c r="AB198" s="8"/>
      <c r="AC198" s="8"/>
      <c r="AD198" s="8"/>
      <c r="AE198" s="8"/>
      <c r="AF198" s="8"/>
      <c r="AG198" s="8"/>
      <c r="AH198" s="8"/>
      <c r="AI198" s="8"/>
      <c r="AJ198" s="8"/>
      <c r="AK198" s="8"/>
      <c r="AL198" s="8"/>
      <c r="AM198" s="8"/>
      <c r="AN198" s="8"/>
      <c r="AO198" s="8"/>
      <c r="AP198" s="8"/>
      <c r="AQ198" s="8"/>
      <c r="AR198" s="8"/>
      <c r="AS198" s="8"/>
    </row>
    <row r="199" spans="1:45" x14ac:dyDescent="0.2">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c r="AA199" s="8"/>
      <c r="AB199" s="8"/>
      <c r="AC199" s="8"/>
      <c r="AD199" s="8"/>
      <c r="AE199" s="8"/>
      <c r="AF199" s="8"/>
      <c r="AG199" s="8"/>
      <c r="AH199" s="8"/>
      <c r="AI199" s="8"/>
      <c r="AJ199" s="8"/>
      <c r="AK199" s="8"/>
      <c r="AL199" s="8"/>
      <c r="AM199" s="8"/>
      <c r="AN199" s="8"/>
      <c r="AO199" s="8"/>
      <c r="AP199" s="8"/>
      <c r="AQ199" s="8"/>
      <c r="AR199" s="8"/>
      <c r="AS199" s="8"/>
    </row>
    <row r="200" spans="1:45" x14ac:dyDescent="0.2">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c r="AA200" s="8"/>
      <c r="AB200" s="8"/>
      <c r="AC200" s="8"/>
      <c r="AD200" s="8"/>
      <c r="AE200" s="8"/>
      <c r="AF200" s="8"/>
      <c r="AG200" s="8"/>
      <c r="AH200" s="8"/>
      <c r="AI200" s="8"/>
      <c r="AJ200" s="8"/>
      <c r="AK200" s="8"/>
      <c r="AL200" s="8"/>
      <c r="AM200" s="8"/>
      <c r="AN200" s="8"/>
      <c r="AO200" s="8"/>
      <c r="AP200" s="8"/>
      <c r="AQ200" s="8"/>
      <c r="AR200" s="8"/>
      <c r="AS200" s="8"/>
    </row>
    <row r="201" spans="1:45" x14ac:dyDescent="0.2">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c r="AA201" s="8"/>
      <c r="AB201" s="8"/>
      <c r="AC201" s="8"/>
      <c r="AD201" s="8"/>
      <c r="AE201" s="8"/>
      <c r="AF201" s="8"/>
      <c r="AG201" s="8"/>
      <c r="AH201" s="8"/>
      <c r="AI201" s="8"/>
      <c r="AJ201" s="8"/>
      <c r="AK201" s="8"/>
      <c r="AL201" s="8"/>
      <c r="AM201" s="8"/>
      <c r="AN201" s="8"/>
      <c r="AO201" s="8"/>
      <c r="AP201" s="8"/>
      <c r="AQ201" s="8"/>
      <c r="AR201" s="8"/>
      <c r="AS201" s="8"/>
    </row>
    <row r="202" spans="1:45" x14ac:dyDescent="0.2">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c r="AA202" s="8"/>
      <c r="AB202" s="8"/>
      <c r="AC202" s="8"/>
      <c r="AD202" s="8"/>
      <c r="AE202" s="8"/>
      <c r="AF202" s="8"/>
      <c r="AG202" s="8"/>
      <c r="AH202" s="8"/>
      <c r="AI202" s="8"/>
      <c r="AJ202" s="8"/>
      <c r="AK202" s="8"/>
      <c r="AL202" s="8"/>
      <c r="AM202" s="8"/>
      <c r="AN202" s="8"/>
      <c r="AO202" s="8"/>
      <c r="AP202" s="8"/>
      <c r="AQ202" s="8"/>
      <c r="AR202" s="8"/>
      <c r="AS202" s="8"/>
    </row>
    <row r="203" spans="1:45" x14ac:dyDescent="0.2">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c r="AA203" s="8"/>
      <c r="AB203" s="8"/>
      <c r="AC203" s="8"/>
      <c r="AD203" s="8"/>
      <c r="AE203" s="8"/>
      <c r="AF203" s="8"/>
      <c r="AG203" s="8"/>
      <c r="AH203" s="8"/>
      <c r="AI203" s="8"/>
      <c r="AJ203" s="8"/>
      <c r="AK203" s="8"/>
      <c r="AL203" s="8"/>
      <c r="AM203" s="8"/>
      <c r="AN203" s="8"/>
      <c r="AO203" s="8"/>
      <c r="AP203" s="8"/>
      <c r="AQ203" s="8"/>
      <c r="AR203" s="8"/>
      <c r="AS203" s="8"/>
    </row>
    <row r="204" spans="1:45" x14ac:dyDescent="0.2">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c r="AA204" s="8"/>
      <c r="AB204" s="8"/>
      <c r="AC204" s="8"/>
      <c r="AD204" s="8"/>
      <c r="AE204" s="8"/>
      <c r="AF204" s="8"/>
      <c r="AG204" s="8"/>
      <c r="AH204" s="8"/>
      <c r="AI204" s="8"/>
      <c r="AJ204" s="8"/>
      <c r="AK204" s="8"/>
      <c r="AL204" s="8"/>
      <c r="AM204" s="8"/>
      <c r="AN204" s="8"/>
      <c r="AO204" s="8"/>
      <c r="AP204" s="8"/>
      <c r="AQ204" s="8"/>
      <c r="AR204" s="8"/>
      <c r="AS204" s="8"/>
    </row>
    <row r="205" spans="1:45" x14ac:dyDescent="0.2">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c r="AA205" s="8"/>
      <c r="AB205" s="8"/>
      <c r="AC205" s="8"/>
      <c r="AD205" s="8"/>
      <c r="AE205" s="8"/>
      <c r="AF205" s="8"/>
      <c r="AG205" s="8"/>
      <c r="AH205" s="8"/>
      <c r="AI205" s="8"/>
      <c r="AJ205" s="8"/>
      <c r="AK205" s="8"/>
      <c r="AL205" s="8"/>
      <c r="AM205" s="8"/>
      <c r="AN205" s="8"/>
      <c r="AO205" s="8"/>
      <c r="AP205" s="8"/>
      <c r="AQ205" s="8"/>
      <c r="AR205" s="8"/>
      <c r="AS205" s="8"/>
    </row>
    <row r="206" spans="1:45" x14ac:dyDescent="0.2">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c r="AA206" s="8"/>
      <c r="AB206" s="8"/>
      <c r="AC206" s="8"/>
      <c r="AD206" s="8"/>
      <c r="AE206" s="8"/>
      <c r="AF206" s="8"/>
      <c r="AG206" s="8"/>
      <c r="AH206" s="8"/>
      <c r="AI206" s="8"/>
      <c r="AJ206" s="8"/>
      <c r="AK206" s="8"/>
      <c r="AL206" s="8"/>
      <c r="AM206" s="8"/>
      <c r="AN206" s="8"/>
      <c r="AO206" s="8"/>
      <c r="AP206" s="8"/>
      <c r="AQ206" s="8"/>
      <c r="AR206" s="8"/>
      <c r="AS206" s="8"/>
    </row>
    <row r="207" spans="1:45" x14ac:dyDescent="0.2">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8"/>
      <c r="AH207" s="8"/>
      <c r="AI207" s="8"/>
      <c r="AJ207" s="8"/>
      <c r="AK207" s="8"/>
      <c r="AL207" s="8"/>
      <c r="AM207" s="8"/>
      <c r="AN207" s="8"/>
      <c r="AO207" s="8"/>
      <c r="AP207" s="8"/>
      <c r="AQ207" s="8"/>
      <c r="AR207" s="8"/>
      <c r="AS207" s="8"/>
    </row>
    <row r="208" spans="1:45" x14ac:dyDescent="0.2">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c r="AA208" s="8"/>
      <c r="AB208" s="8"/>
      <c r="AC208" s="8"/>
      <c r="AD208" s="8"/>
      <c r="AE208" s="8"/>
      <c r="AF208" s="8"/>
      <c r="AG208" s="8"/>
      <c r="AH208" s="8"/>
      <c r="AI208" s="8"/>
      <c r="AJ208" s="8"/>
      <c r="AK208" s="8"/>
      <c r="AL208" s="8"/>
      <c r="AM208" s="8"/>
      <c r="AN208" s="8"/>
      <c r="AO208" s="8"/>
      <c r="AP208" s="8"/>
      <c r="AQ208" s="8"/>
      <c r="AR208" s="8"/>
      <c r="AS208" s="8"/>
    </row>
    <row r="209" spans="1:45" x14ac:dyDescent="0.2">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c r="AA209" s="8"/>
      <c r="AB209" s="8"/>
      <c r="AC209" s="8"/>
      <c r="AD209" s="8"/>
      <c r="AE209" s="8"/>
      <c r="AF209" s="8"/>
      <c r="AG209" s="8"/>
      <c r="AH209" s="8"/>
      <c r="AI209" s="8"/>
      <c r="AJ209" s="8"/>
      <c r="AK209" s="8"/>
      <c r="AL209" s="8"/>
      <c r="AM209" s="8"/>
      <c r="AN209" s="8"/>
      <c r="AO209" s="8"/>
      <c r="AP209" s="8"/>
      <c r="AQ209" s="8"/>
      <c r="AR209" s="8"/>
      <c r="AS209" s="8"/>
    </row>
    <row r="210" spans="1:45" x14ac:dyDescent="0.2">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c r="AA210" s="8"/>
      <c r="AB210" s="8"/>
      <c r="AC210" s="8"/>
      <c r="AD210" s="8"/>
      <c r="AE210" s="8"/>
      <c r="AF210" s="8"/>
      <c r="AG210" s="8"/>
      <c r="AH210" s="8"/>
      <c r="AI210" s="8"/>
      <c r="AJ210" s="8"/>
      <c r="AK210" s="8"/>
      <c r="AL210" s="8"/>
      <c r="AM210" s="8"/>
      <c r="AN210" s="8"/>
      <c r="AO210" s="8"/>
      <c r="AP210" s="8"/>
      <c r="AQ210" s="8"/>
      <c r="AR210" s="8"/>
      <c r="AS210" s="8"/>
    </row>
    <row r="211" spans="1:45" x14ac:dyDescent="0.2">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c r="AA211" s="8"/>
      <c r="AB211" s="8"/>
      <c r="AC211" s="8"/>
      <c r="AD211" s="8"/>
      <c r="AE211" s="8"/>
      <c r="AF211" s="8"/>
      <c r="AG211" s="8"/>
      <c r="AH211" s="8"/>
      <c r="AI211" s="8"/>
      <c r="AJ211" s="8"/>
      <c r="AK211" s="8"/>
      <c r="AL211" s="8"/>
      <c r="AM211" s="8"/>
      <c r="AN211" s="8"/>
      <c r="AO211" s="8"/>
      <c r="AP211" s="8"/>
      <c r="AQ211" s="8"/>
      <c r="AR211" s="8"/>
      <c r="AS211" s="8"/>
    </row>
    <row r="212" spans="1:45" x14ac:dyDescent="0.2">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c r="AA212" s="8"/>
      <c r="AB212" s="8"/>
      <c r="AC212" s="8"/>
      <c r="AD212" s="8"/>
      <c r="AE212" s="8"/>
      <c r="AF212" s="8"/>
      <c r="AG212" s="8"/>
      <c r="AH212" s="8"/>
      <c r="AI212" s="8"/>
      <c r="AJ212" s="8"/>
      <c r="AK212" s="8"/>
      <c r="AL212" s="8"/>
      <c r="AM212" s="8"/>
      <c r="AN212" s="8"/>
      <c r="AO212" s="8"/>
      <c r="AP212" s="8"/>
      <c r="AQ212" s="8"/>
      <c r="AR212" s="8"/>
      <c r="AS212" s="8"/>
    </row>
    <row r="213" spans="1:45" x14ac:dyDescent="0.2">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c r="AA213" s="8"/>
      <c r="AB213" s="8"/>
      <c r="AC213" s="8"/>
      <c r="AD213" s="8"/>
      <c r="AE213" s="8"/>
      <c r="AF213" s="8"/>
      <c r="AG213" s="8"/>
      <c r="AH213" s="8"/>
      <c r="AI213" s="8"/>
      <c r="AJ213" s="8"/>
      <c r="AK213" s="8"/>
      <c r="AL213" s="8"/>
      <c r="AM213" s="8"/>
      <c r="AN213" s="8"/>
      <c r="AO213" s="8"/>
      <c r="AP213" s="8"/>
      <c r="AQ213" s="8"/>
      <c r="AR213" s="8"/>
      <c r="AS213" s="8"/>
    </row>
    <row r="214" spans="1:45" x14ac:dyDescent="0.2">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c r="AA214" s="8"/>
      <c r="AB214" s="8"/>
      <c r="AC214" s="8"/>
      <c r="AD214" s="8"/>
      <c r="AE214" s="8"/>
      <c r="AF214" s="8"/>
      <c r="AG214" s="8"/>
      <c r="AH214" s="8"/>
      <c r="AI214" s="8"/>
      <c r="AJ214" s="8"/>
      <c r="AK214" s="8"/>
      <c r="AL214" s="8"/>
      <c r="AM214" s="8"/>
      <c r="AN214" s="8"/>
      <c r="AO214" s="8"/>
      <c r="AP214" s="8"/>
      <c r="AQ214" s="8"/>
      <c r="AR214" s="8"/>
      <c r="AS214" s="8"/>
    </row>
    <row r="215" spans="1:45" x14ac:dyDescent="0.2">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c r="AA215" s="8"/>
      <c r="AB215" s="8"/>
      <c r="AC215" s="8"/>
      <c r="AD215" s="8"/>
      <c r="AE215" s="8"/>
      <c r="AF215" s="8"/>
      <c r="AG215" s="8"/>
      <c r="AH215" s="8"/>
      <c r="AI215" s="8"/>
      <c r="AJ215" s="8"/>
      <c r="AK215" s="8"/>
      <c r="AL215" s="8"/>
      <c r="AM215" s="8"/>
      <c r="AN215" s="8"/>
      <c r="AO215" s="8"/>
      <c r="AP215" s="8"/>
      <c r="AQ215" s="8"/>
      <c r="AR215" s="8"/>
      <c r="AS215" s="8"/>
    </row>
    <row r="216" spans="1:45" x14ac:dyDescent="0.2">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c r="AA216" s="8"/>
      <c r="AB216" s="8"/>
      <c r="AC216" s="8"/>
      <c r="AD216" s="8"/>
      <c r="AE216" s="8"/>
      <c r="AF216" s="8"/>
      <c r="AG216" s="8"/>
      <c r="AH216" s="8"/>
      <c r="AI216" s="8"/>
      <c r="AJ216" s="8"/>
      <c r="AK216" s="8"/>
      <c r="AL216" s="8"/>
      <c r="AM216" s="8"/>
      <c r="AN216" s="8"/>
      <c r="AO216" s="8"/>
      <c r="AP216" s="8"/>
      <c r="AQ216" s="8"/>
      <c r="AR216" s="8"/>
      <c r="AS216" s="8"/>
    </row>
    <row r="217" spans="1:45" x14ac:dyDescent="0.2">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c r="AA217" s="8"/>
      <c r="AB217" s="8"/>
      <c r="AC217" s="8"/>
      <c r="AD217" s="8"/>
      <c r="AE217" s="8"/>
      <c r="AF217" s="8"/>
      <c r="AG217" s="8"/>
      <c r="AH217" s="8"/>
      <c r="AI217" s="8"/>
      <c r="AJ217" s="8"/>
      <c r="AK217" s="8"/>
      <c r="AL217" s="8"/>
      <c r="AM217" s="8"/>
      <c r="AN217" s="8"/>
      <c r="AO217" s="8"/>
      <c r="AP217" s="8"/>
      <c r="AQ217" s="8"/>
      <c r="AR217" s="8"/>
      <c r="AS217" s="8"/>
    </row>
    <row r="218" spans="1:45" x14ac:dyDescent="0.2">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c r="AA218" s="8"/>
      <c r="AB218" s="8"/>
      <c r="AC218" s="8"/>
      <c r="AD218" s="8"/>
      <c r="AE218" s="8"/>
      <c r="AF218" s="8"/>
      <c r="AG218" s="8"/>
      <c r="AH218" s="8"/>
      <c r="AI218" s="8"/>
      <c r="AJ218" s="8"/>
      <c r="AK218" s="8"/>
      <c r="AL218" s="8"/>
      <c r="AM218" s="8"/>
      <c r="AN218" s="8"/>
      <c r="AO218" s="8"/>
      <c r="AP218" s="8"/>
      <c r="AQ218" s="8"/>
      <c r="AR218" s="8"/>
      <c r="AS218" s="8"/>
    </row>
    <row r="219" spans="1:45" x14ac:dyDescent="0.2">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c r="AA219" s="8"/>
      <c r="AB219" s="8"/>
      <c r="AC219" s="8"/>
      <c r="AD219" s="8"/>
      <c r="AE219" s="8"/>
      <c r="AF219" s="8"/>
      <c r="AG219" s="8"/>
      <c r="AH219" s="8"/>
      <c r="AI219" s="8"/>
      <c r="AJ219" s="8"/>
      <c r="AK219" s="8"/>
      <c r="AL219" s="8"/>
      <c r="AM219" s="8"/>
      <c r="AN219" s="8"/>
      <c r="AO219" s="8"/>
      <c r="AP219" s="8"/>
      <c r="AQ219" s="8"/>
      <c r="AR219" s="8"/>
      <c r="AS219" s="8"/>
    </row>
    <row r="220" spans="1:45" x14ac:dyDescent="0.2">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c r="AA220" s="8"/>
      <c r="AB220" s="8"/>
      <c r="AC220" s="8"/>
      <c r="AD220" s="8"/>
      <c r="AE220" s="8"/>
      <c r="AF220" s="8"/>
      <c r="AG220" s="8"/>
      <c r="AH220" s="8"/>
      <c r="AI220" s="8"/>
      <c r="AJ220" s="8"/>
      <c r="AK220" s="8"/>
      <c r="AL220" s="8"/>
      <c r="AM220" s="8"/>
      <c r="AN220" s="8"/>
      <c r="AO220" s="8"/>
      <c r="AP220" s="8"/>
      <c r="AQ220" s="8"/>
      <c r="AR220" s="8"/>
      <c r="AS220" s="8"/>
    </row>
    <row r="221" spans="1:45" x14ac:dyDescent="0.2">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c r="AA221" s="8"/>
      <c r="AB221" s="8"/>
      <c r="AC221" s="8"/>
      <c r="AD221" s="8"/>
      <c r="AE221" s="8"/>
      <c r="AF221" s="8"/>
      <c r="AG221" s="8"/>
      <c r="AH221" s="8"/>
      <c r="AI221" s="8"/>
      <c r="AJ221" s="8"/>
      <c r="AK221" s="8"/>
      <c r="AL221" s="8"/>
      <c r="AM221" s="8"/>
      <c r="AN221" s="8"/>
      <c r="AO221" s="8"/>
      <c r="AP221" s="8"/>
      <c r="AQ221" s="8"/>
      <c r="AR221" s="8"/>
      <c r="AS221" s="8"/>
    </row>
    <row r="222" spans="1:45" x14ac:dyDescent="0.2">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c r="AA222" s="8"/>
      <c r="AB222" s="8"/>
      <c r="AC222" s="8"/>
      <c r="AD222" s="8"/>
      <c r="AE222" s="8"/>
      <c r="AF222" s="8"/>
      <c r="AG222" s="8"/>
      <c r="AH222" s="8"/>
      <c r="AI222" s="8"/>
      <c r="AJ222" s="8"/>
      <c r="AK222" s="8"/>
      <c r="AL222" s="8"/>
      <c r="AM222" s="8"/>
      <c r="AN222" s="8"/>
      <c r="AO222" s="8"/>
      <c r="AP222" s="8"/>
      <c r="AQ222" s="8"/>
      <c r="AR222" s="8"/>
      <c r="AS222" s="8"/>
    </row>
    <row r="223" spans="1:45" x14ac:dyDescent="0.2">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c r="AA223" s="8"/>
      <c r="AB223" s="8"/>
      <c r="AC223" s="8"/>
      <c r="AD223" s="8"/>
      <c r="AE223" s="8"/>
      <c r="AF223" s="8"/>
      <c r="AG223" s="8"/>
      <c r="AH223" s="8"/>
      <c r="AI223" s="8"/>
      <c r="AJ223" s="8"/>
      <c r="AK223" s="8"/>
      <c r="AL223" s="8"/>
      <c r="AM223" s="8"/>
      <c r="AN223" s="8"/>
      <c r="AO223" s="8"/>
      <c r="AP223" s="8"/>
      <c r="AQ223" s="8"/>
      <c r="AR223" s="8"/>
      <c r="AS223" s="8"/>
    </row>
    <row r="224" spans="1:45" x14ac:dyDescent="0.2">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c r="AA224" s="8"/>
      <c r="AB224" s="8"/>
      <c r="AC224" s="8"/>
      <c r="AD224" s="8"/>
      <c r="AE224" s="8"/>
      <c r="AF224" s="8"/>
      <c r="AG224" s="8"/>
      <c r="AH224" s="8"/>
      <c r="AI224" s="8"/>
      <c r="AJ224" s="8"/>
      <c r="AK224" s="8"/>
      <c r="AL224" s="8"/>
      <c r="AM224" s="8"/>
      <c r="AN224" s="8"/>
      <c r="AO224" s="8"/>
      <c r="AP224" s="8"/>
      <c r="AQ224" s="8"/>
      <c r="AR224" s="8"/>
      <c r="AS224" s="8"/>
    </row>
    <row r="225" spans="1:45" x14ac:dyDescent="0.2">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c r="AA225" s="8"/>
      <c r="AB225" s="8"/>
      <c r="AC225" s="8"/>
      <c r="AD225" s="8"/>
      <c r="AE225" s="8"/>
      <c r="AF225" s="8"/>
      <c r="AG225" s="8"/>
      <c r="AH225" s="8"/>
      <c r="AI225" s="8"/>
      <c r="AJ225" s="8"/>
      <c r="AK225" s="8"/>
      <c r="AL225" s="8"/>
      <c r="AM225" s="8"/>
      <c r="AN225" s="8"/>
      <c r="AO225" s="8"/>
      <c r="AP225" s="8"/>
      <c r="AQ225" s="8"/>
      <c r="AR225" s="8"/>
      <c r="AS225" s="8"/>
    </row>
    <row r="226" spans="1:45" x14ac:dyDescent="0.2">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c r="AA226" s="8"/>
      <c r="AB226" s="8"/>
      <c r="AC226" s="8"/>
      <c r="AD226" s="8"/>
      <c r="AE226" s="8"/>
      <c r="AF226" s="8"/>
      <c r="AG226" s="8"/>
      <c r="AH226" s="8"/>
      <c r="AI226" s="8"/>
      <c r="AJ226" s="8"/>
      <c r="AK226" s="8"/>
      <c r="AL226" s="8"/>
      <c r="AM226" s="8"/>
      <c r="AN226" s="8"/>
      <c r="AO226" s="8"/>
      <c r="AP226" s="8"/>
      <c r="AQ226" s="8"/>
      <c r="AR226" s="8"/>
      <c r="AS226" s="8"/>
    </row>
    <row r="227" spans="1:45" x14ac:dyDescent="0.2">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c r="AA227" s="8"/>
      <c r="AB227" s="8"/>
      <c r="AC227" s="8"/>
      <c r="AD227" s="8"/>
      <c r="AE227" s="8"/>
      <c r="AF227" s="8"/>
      <c r="AG227" s="8"/>
      <c r="AH227" s="8"/>
      <c r="AI227" s="8"/>
      <c r="AJ227" s="8"/>
      <c r="AK227" s="8"/>
      <c r="AL227" s="8"/>
      <c r="AM227" s="8"/>
      <c r="AN227" s="8"/>
      <c r="AO227" s="8"/>
      <c r="AP227" s="8"/>
      <c r="AQ227" s="8"/>
      <c r="AR227" s="8"/>
      <c r="AS227" s="8"/>
    </row>
    <row r="228" spans="1:45" x14ac:dyDescent="0.2">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c r="AA228" s="8"/>
      <c r="AB228" s="8"/>
      <c r="AC228" s="8"/>
      <c r="AD228" s="8"/>
      <c r="AE228" s="8"/>
      <c r="AF228" s="8"/>
      <c r="AG228" s="8"/>
      <c r="AH228" s="8"/>
      <c r="AI228" s="8"/>
      <c r="AJ228" s="8"/>
      <c r="AK228" s="8"/>
      <c r="AL228" s="8"/>
      <c r="AM228" s="8"/>
      <c r="AN228" s="8"/>
      <c r="AO228" s="8"/>
      <c r="AP228" s="8"/>
      <c r="AQ228" s="8"/>
      <c r="AR228" s="8"/>
      <c r="AS228" s="8"/>
    </row>
    <row r="229" spans="1:45" x14ac:dyDescent="0.2">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c r="AA229" s="8"/>
      <c r="AB229" s="8"/>
      <c r="AC229" s="8"/>
      <c r="AD229" s="8"/>
      <c r="AE229" s="8"/>
      <c r="AF229" s="8"/>
      <c r="AG229" s="8"/>
      <c r="AH229" s="8"/>
      <c r="AI229" s="8"/>
      <c r="AJ229" s="8"/>
      <c r="AK229" s="8"/>
      <c r="AL229" s="8"/>
      <c r="AM229" s="8"/>
      <c r="AN229" s="8"/>
      <c r="AO229" s="8"/>
      <c r="AP229" s="8"/>
      <c r="AQ229" s="8"/>
      <c r="AR229" s="8"/>
      <c r="AS229" s="8"/>
    </row>
    <row r="230" spans="1:45" x14ac:dyDescent="0.2">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c r="AA230" s="8"/>
      <c r="AB230" s="8"/>
      <c r="AC230" s="8"/>
      <c r="AD230" s="8"/>
      <c r="AE230" s="8"/>
      <c r="AF230" s="8"/>
      <c r="AG230" s="8"/>
      <c r="AH230" s="8"/>
      <c r="AI230" s="8"/>
      <c r="AJ230" s="8"/>
      <c r="AK230" s="8"/>
      <c r="AL230" s="8"/>
      <c r="AM230" s="8"/>
      <c r="AN230" s="8"/>
      <c r="AO230" s="8"/>
      <c r="AP230" s="8"/>
      <c r="AQ230" s="8"/>
      <c r="AR230" s="8"/>
      <c r="AS230" s="8"/>
    </row>
    <row r="231" spans="1:45" x14ac:dyDescent="0.2">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c r="AA231" s="8"/>
      <c r="AB231" s="8"/>
      <c r="AC231" s="8"/>
      <c r="AD231" s="8"/>
      <c r="AE231" s="8"/>
      <c r="AF231" s="8"/>
      <c r="AG231" s="8"/>
      <c r="AH231" s="8"/>
      <c r="AI231" s="8"/>
      <c r="AJ231" s="8"/>
      <c r="AK231" s="8"/>
      <c r="AL231" s="8"/>
      <c r="AM231" s="8"/>
      <c r="AN231" s="8"/>
      <c r="AO231" s="8"/>
      <c r="AP231" s="8"/>
      <c r="AQ231" s="8"/>
      <c r="AR231" s="8"/>
      <c r="AS231" s="8"/>
    </row>
    <row r="232" spans="1:45" x14ac:dyDescent="0.2">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c r="AA232" s="8"/>
      <c r="AB232" s="8"/>
      <c r="AC232" s="8"/>
      <c r="AD232" s="8"/>
      <c r="AE232" s="8"/>
      <c r="AF232" s="8"/>
      <c r="AG232" s="8"/>
      <c r="AH232" s="8"/>
      <c r="AI232" s="8"/>
      <c r="AJ232" s="8"/>
      <c r="AK232" s="8"/>
      <c r="AL232" s="8"/>
      <c r="AM232" s="8"/>
      <c r="AN232" s="8"/>
      <c r="AO232" s="8"/>
      <c r="AP232" s="8"/>
      <c r="AQ232" s="8"/>
      <c r="AR232" s="8"/>
      <c r="AS232" s="8"/>
    </row>
    <row r="233" spans="1:45" x14ac:dyDescent="0.2">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c r="AA233" s="8"/>
      <c r="AB233" s="8"/>
      <c r="AC233" s="8"/>
      <c r="AD233" s="8"/>
      <c r="AE233" s="8"/>
      <c r="AF233" s="8"/>
      <c r="AG233" s="8"/>
      <c r="AH233" s="8"/>
      <c r="AI233" s="8"/>
      <c r="AJ233" s="8"/>
      <c r="AK233" s="8"/>
      <c r="AL233" s="8"/>
      <c r="AM233" s="8"/>
      <c r="AN233" s="8"/>
      <c r="AO233" s="8"/>
      <c r="AP233" s="8"/>
      <c r="AQ233" s="8"/>
      <c r="AR233" s="8"/>
      <c r="AS233" s="8"/>
    </row>
    <row r="234" spans="1:45" x14ac:dyDescent="0.2">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c r="AA234" s="8"/>
      <c r="AB234" s="8"/>
      <c r="AC234" s="8"/>
      <c r="AD234" s="8"/>
      <c r="AE234" s="8"/>
      <c r="AF234" s="8"/>
      <c r="AG234" s="8"/>
      <c r="AH234" s="8"/>
      <c r="AI234" s="8"/>
      <c r="AJ234" s="8"/>
      <c r="AK234" s="8"/>
      <c r="AL234" s="8"/>
      <c r="AM234" s="8"/>
      <c r="AN234" s="8"/>
      <c r="AO234" s="8"/>
      <c r="AP234" s="8"/>
      <c r="AQ234" s="8"/>
      <c r="AR234" s="8"/>
      <c r="AS234" s="8"/>
    </row>
    <row r="235" spans="1:45" x14ac:dyDescent="0.2">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c r="AA235" s="8"/>
      <c r="AB235" s="8"/>
      <c r="AC235" s="8"/>
      <c r="AD235" s="8"/>
      <c r="AE235" s="8"/>
      <c r="AF235" s="8"/>
      <c r="AG235" s="8"/>
      <c r="AH235" s="8"/>
      <c r="AI235" s="8"/>
      <c r="AJ235" s="8"/>
      <c r="AK235" s="8"/>
      <c r="AL235" s="8"/>
      <c r="AM235" s="8"/>
      <c r="AN235" s="8"/>
      <c r="AO235" s="8"/>
      <c r="AP235" s="8"/>
      <c r="AQ235" s="8"/>
      <c r="AR235" s="8"/>
      <c r="AS235" s="8"/>
    </row>
    <row r="236" spans="1:45" x14ac:dyDescent="0.2">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c r="AA236" s="8"/>
      <c r="AB236" s="8"/>
      <c r="AC236" s="8"/>
      <c r="AD236" s="8"/>
      <c r="AE236" s="8"/>
      <c r="AF236" s="8"/>
      <c r="AG236" s="8"/>
      <c r="AH236" s="8"/>
      <c r="AI236" s="8"/>
      <c r="AJ236" s="8"/>
      <c r="AK236" s="8"/>
      <c r="AL236" s="8"/>
      <c r="AM236" s="8"/>
      <c r="AN236" s="8"/>
      <c r="AO236" s="8"/>
      <c r="AP236" s="8"/>
      <c r="AQ236" s="8"/>
      <c r="AR236" s="8"/>
      <c r="AS236" s="8"/>
    </row>
    <row r="237" spans="1:45" x14ac:dyDescent="0.2">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c r="AA237" s="8"/>
      <c r="AB237" s="8"/>
      <c r="AC237" s="8"/>
      <c r="AD237" s="8"/>
      <c r="AE237" s="8"/>
      <c r="AF237" s="8"/>
      <c r="AG237" s="8"/>
      <c r="AH237" s="8"/>
      <c r="AI237" s="8"/>
      <c r="AJ237" s="8"/>
      <c r="AK237" s="8"/>
      <c r="AL237" s="8"/>
      <c r="AM237" s="8"/>
      <c r="AN237" s="8"/>
      <c r="AO237" s="8"/>
      <c r="AP237" s="8"/>
      <c r="AQ237" s="8"/>
      <c r="AR237" s="8"/>
      <c r="AS237" s="8"/>
    </row>
    <row r="238" spans="1:45" x14ac:dyDescent="0.2">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c r="AA238" s="8"/>
      <c r="AB238" s="8"/>
      <c r="AC238" s="8"/>
      <c r="AD238" s="8"/>
      <c r="AE238" s="8"/>
      <c r="AF238" s="8"/>
      <c r="AG238" s="8"/>
      <c r="AH238" s="8"/>
      <c r="AI238" s="8"/>
      <c r="AJ238" s="8"/>
      <c r="AK238" s="8"/>
      <c r="AL238" s="8"/>
      <c r="AM238" s="8"/>
      <c r="AN238" s="8"/>
      <c r="AO238" s="8"/>
      <c r="AP238" s="8"/>
      <c r="AQ238" s="8"/>
      <c r="AR238" s="8"/>
      <c r="AS238" s="8"/>
    </row>
    <row r="239" spans="1:45" x14ac:dyDescent="0.2">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c r="AA239" s="8"/>
      <c r="AB239" s="8"/>
      <c r="AC239" s="8"/>
      <c r="AD239" s="8"/>
      <c r="AE239" s="8"/>
      <c r="AF239" s="8"/>
      <c r="AG239" s="8"/>
      <c r="AH239" s="8"/>
      <c r="AI239" s="8"/>
      <c r="AJ239" s="8"/>
      <c r="AK239" s="8"/>
      <c r="AL239" s="8"/>
      <c r="AM239" s="8"/>
      <c r="AN239" s="8"/>
      <c r="AO239" s="8"/>
      <c r="AP239" s="8"/>
      <c r="AQ239" s="8"/>
      <c r="AR239" s="8"/>
      <c r="AS239" s="8"/>
    </row>
    <row r="240" spans="1:45" x14ac:dyDescent="0.2">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c r="AA240" s="8"/>
      <c r="AB240" s="8"/>
      <c r="AC240" s="8"/>
      <c r="AD240" s="8"/>
      <c r="AE240" s="8"/>
      <c r="AF240" s="8"/>
      <c r="AG240" s="8"/>
      <c r="AH240" s="8"/>
      <c r="AI240" s="8"/>
      <c r="AJ240" s="8"/>
      <c r="AK240" s="8"/>
      <c r="AL240" s="8"/>
      <c r="AM240" s="8"/>
      <c r="AN240" s="8"/>
      <c r="AO240" s="8"/>
      <c r="AP240" s="8"/>
      <c r="AQ240" s="8"/>
      <c r="AR240" s="8"/>
      <c r="AS240" s="8"/>
    </row>
    <row r="241" spans="1:45" x14ac:dyDescent="0.2">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c r="AA241" s="8"/>
      <c r="AB241" s="8"/>
      <c r="AC241" s="8"/>
      <c r="AD241" s="8"/>
      <c r="AE241" s="8"/>
      <c r="AF241" s="8"/>
      <c r="AG241" s="8"/>
      <c r="AH241" s="8"/>
      <c r="AI241" s="8"/>
      <c r="AJ241" s="8"/>
      <c r="AK241" s="8"/>
      <c r="AL241" s="8"/>
      <c r="AM241" s="8"/>
      <c r="AN241" s="8"/>
      <c r="AO241" s="8"/>
      <c r="AP241" s="8"/>
      <c r="AQ241" s="8"/>
      <c r="AR241" s="8"/>
      <c r="AS241" s="8"/>
    </row>
    <row r="242" spans="1:45" x14ac:dyDescent="0.2">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c r="AA242" s="8"/>
      <c r="AB242" s="8"/>
      <c r="AC242" s="8"/>
      <c r="AD242" s="8"/>
      <c r="AE242" s="8"/>
      <c r="AF242" s="8"/>
      <c r="AG242" s="8"/>
      <c r="AH242" s="8"/>
      <c r="AI242" s="8"/>
      <c r="AJ242" s="8"/>
      <c r="AK242" s="8"/>
      <c r="AL242" s="8"/>
      <c r="AM242" s="8"/>
      <c r="AN242" s="8"/>
      <c r="AO242" s="8"/>
      <c r="AP242" s="8"/>
      <c r="AQ242" s="8"/>
      <c r="AR242" s="8"/>
      <c r="AS242" s="8"/>
    </row>
    <row r="243" spans="1:45" x14ac:dyDescent="0.2">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c r="AA243" s="8"/>
      <c r="AB243" s="8"/>
      <c r="AC243" s="8"/>
      <c r="AD243" s="8"/>
      <c r="AE243" s="8"/>
      <c r="AF243" s="8"/>
      <c r="AG243" s="8"/>
      <c r="AH243" s="8"/>
      <c r="AI243" s="8"/>
      <c r="AJ243" s="8"/>
      <c r="AK243" s="8"/>
      <c r="AL243" s="8"/>
      <c r="AM243" s="8"/>
      <c r="AN243" s="8"/>
      <c r="AO243" s="8"/>
      <c r="AP243" s="8"/>
      <c r="AQ243" s="8"/>
      <c r="AR243" s="8"/>
      <c r="AS243" s="8"/>
    </row>
    <row r="244" spans="1:45" x14ac:dyDescent="0.2">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c r="AA244" s="8"/>
      <c r="AB244" s="8"/>
      <c r="AC244" s="8"/>
      <c r="AD244" s="8"/>
      <c r="AE244" s="8"/>
      <c r="AF244" s="8"/>
      <c r="AG244" s="8"/>
      <c r="AH244" s="8"/>
      <c r="AI244" s="8"/>
      <c r="AJ244" s="8"/>
      <c r="AK244" s="8"/>
      <c r="AL244" s="8"/>
      <c r="AM244" s="8"/>
      <c r="AN244" s="8"/>
      <c r="AO244" s="8"/>
      <c r="AP244" s="8"/>
      <c r="AQ244" s="8"/>
      <c r="AR244" s="8"/>
      <c r="AS244" s="8"/>
    </row>
    <row r="245" spans="1:45" x14ac:dyDescent="0.2">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c r="AA245" s="8"/>
      <c r="AB245" s="8"/>
      <c r="AC245" s="8"/>
      <c r="AD245" s="8"/>
      <c r="AE245" s="8"/>
      <c r="AF245" s="8"/>
      <c r="AG245" s="8"/>
      <c r="AH245" s="8"/>
      <c r="AI245" s="8"/>
      <c r="AJ245" s="8"/>
      <c r="AK245" s="8"/>
      <c r="AL245" s="8"/>
      <c r="AM245" s="8"/>
      <c r="AN245" s="8"/>
      <c r="AO245" s="8"/>
      <c r="AP245" s="8"/>
      <c r="AQ245" s="8"/>
      <c r="AR245" s="8"/>
      <c r="AS245" s="8"/>
    </row>
    <row r="246" spans="1:45" x14ac:dyDescent="0.2">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c r="AA246" s="8"/>
      <c r="AB246" s="8"/>
      <c r="AC246" s="8"/>
      <c r="AD246" s="8"/>
      <c r="AE246" s="8"/>
      <c r="AF246" s="8"/>
      <c r="AG246" s="8"/>
      <c r="AH246" s="8"/>
      <c r="AI246" s="8"/>
      <c r="AJ246" s="8"/>
      <c r="AK246" s="8"/>
      <c r="AL246" s="8"/>
      <c r="AM246" s="8"/>
      <c r="AN246" s="8"/>
      <c r="AO246" s="8"/>
      <c r="AP246" s="8"/>
      <c r="AQ246" s="8"/>
      <c r="AR246" s="8"/>
      <c r="AS246" s="8"/>
    </row>
    <row r="247" spans="1:45" x14ac:dyDescent="0.2">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c r="AA247" s="8"/>
      <c r="AB247" s="8"/>
      <c r="AC247" s="8"/>
      <c r="AD247" s="8"/>
      <c r="AE247" s="8"/>
      <c r="AF247" s="8"/>
      <c r="AG247" s="8"/>
      <c r="AH247" s="8"/>
      <c r="AI247" s="8"/>
      <c r="AJ247" s="8"/>
      <c r="AK247" s="8"/>
      <c r="AL247" s="8"/>
      <c r="AM247" s="8"/>
      <c r="AN247" s="8"/>
      <c r="AO247" s="8"/>
      <c r="AP247" s="8"/>
      <c r="AQ247" s="8"/>
      <c r="AR247" s="8"/>
      <c r="AS247" s="8"/>
    </row>
    <row r="248" spans="1:45" x14ac:dyDescent="0.2">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c r="AA248" s="8"/>
      <c r="AB248" s="8"/>
      <c r="AC248" s="8"/>
      <c r="AD248" s="8"/>
      <c r="AE248" s="8"/>
      <c r="AF248" s="8"/>
      <c r="AG248" s="8"/>
      <c r="AH248" s="8"/>
      <c r="AI248" s="8"/>
      <c r="AJ248" s="8"/>
      <c r="AK248" s="8"/>
      <c r="AL248" s="8"/>
      <c r="AM248" s="8"/>
      <c r="AN248" s="8"/>
      <c r="AO248" s="8"/>
      <c r="AP248" s="8"/>
      <c r="AQ248" s="8"/>
      <c r="AR248" s="8"/>
      <c r="AS248" s="8"/>
    </row>
    <row r="249" spans="1:45" x14ac:dyDescent="0.2">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c r="AA249" s="8"/>
      <c r="AB249" s="8"/>
      <c r="AC249" s="8"/>
      <c r="AD249" s="8"/>
      <c r="AE249" s="8"/>
      <c r="AF249" s="8"/>
      <c r="AG249" s="8"/>
      <c r="AH249" s="8"/>
      <c r="AI249" s="8"/>
      <c r="AJ249" s="8"/>
      <c r="AK249" s="8"/>
      <c r="AL249" s="8"/>
      <c r="AM249" s="8"/>
      <c r="AN249" s="8"/>
      <c r="AO249" s="8"/>
      <c r="AP249" s="8"/>
      <c r="AQ249" s="8"/>
      <c r="AR249" s="8"/>
      <c r="AS249" s="8"/>
    </row>
    <row r="250" spans="1:45" x14ac:dyDescent="0.2">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c r="AA250" s="8"/>
      <c r="AB250" s="8"/>
      <c r="AC250" s="8"/>
      <c r="AD250" s="8"/>
      <c r="AE250" s="8"/>
      <c r="AF250" s="8"/>
      <c r="AG250" s="8"/>
      <c r="AH250" s="8"/>
      <c r="AI250" s="8"/>
      <c r="AJ250" s="8"/>
      <c r="AK250" s="8"/>
      <c r="AL250" s="8"/>
      <c r="AM250" s="8"/>
      <c r="AN250" s="8"/>
      <c r="AO250" s="8"/>
      <c r="AP250" s="8"/>
      <c r="AQ250" s="8"/>
      <c r="AR250" s="8"/>
      <c r="AS250" s="8"/>
    </row>
    <row r="251" spans="1:45" x14ac:dyDescent="0.2">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c r="AA251" s="8"/>
      <c r="AB251" s="8"/>
      <c r="AC251" s="8"/>
      <c r="AD251" s="8"/>
      <c r="AE251" s="8"/>
      <c r="AF251" s="8"/>
      <c r="AG251" s="8"/>
      <c r="AH251" s="8"/>
      <c r="AI251" s="8"/>
      <c r="AJ251" s="8"/>
      <c r="AK251" s="8"/>
      <c r="AL251" s="8"/>
      <c r="AM251" s="8"/>
      <c r="AN251" s="8"/>
      <c r="AO251" s="8"/>
      <c r="AP251" s="8"/>
      <c r="AQ251" s="8"/>
      <c r="AR251" s="8"/>
      <c r="AS251" s="8"/>
    </row>
    <row r="252" spans="1:45" x14ac:dyDescent="0.2">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c r="AA252" s="8"/>
      <c r="AB252" s="8"/>
      <c r="AC252" s="8"/>
      <c r="AD252" s="8"/>
      <c r="AE252" s="8"/>
      <c r="AF252" s="8"/>
      <c r="AG252" s="8"/>
      <c r="AH252" s="8"/>
      <c r="AI252" s="8"/>
      <c r="AJ252" s="8"/>
      <c r="AK252" s="8"/>
      <c r="AL252" s="8"/>
      <c r="AM252" s="8"/>
      <c r="AN252" s="8"/>
      <c r="AO252" s="8"/>
      <c r="AP252" s="8"/>
      <c r="AQ252" s="8"/>
      <c r="AR252" s="8"/>
      <c r="AS252" s="8"/>
    </row>
    <row r="253" spans="1:45" x14ac:dyDescent="0.2">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c r="AA253" s="8"/>
      <c r="AB253" s="8"/>
      <c r="AC253" s="8"/>
      <c r="AD253" s="8"/>
      <c r="AE253" s="8"/>
      <c r="AF253" s="8"/>
      <c r="AG253" s="8"/>
      <c r="AH253" s="8"/>
      <c r="AI253" s="8"/>
      <c r="AJ253" s="8"/>
      <c r="AK253" s="8"/>
      <c r="AL253" s="8"/>
      <c r="AM253" s="8"/>
      <c r="AN253" s="8"/>
      <c r="AO253" s="8"/>
      <c r="AP253" s="8"/>
      <c r="AQ253" s="8"/>
      <c r="AR253" s="8"/>
      <c r="AS253" s="8"/>
    </row>
    <row r="254" spans="1:45" x14ac:dyDescent="0.2">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c r="AA254" s="8"/>
      <c r="AB254" s="8"/>
      <c r="AC254" s="8"/>
      <c r="AD254" s="8"/>
      <c r="AE254" s="8"/>
      <c r="AF254" s="8"/>
      <c r="AG254" s="8"/>
      <c r="AH254" s="8"/>
      <c r="AI254" s="8"/>
      <c r="AJ254" s="8"/>
      <c r="AK254" s="8"/>
      <c r="AL254" s="8"/>
      <c r="AM254" s="8"/>
      <c r="AN254" s="8"/>
      <c r="AO254" s="8"/>
      <c r="AP254" s="8"/>
      <c r="AQ254" s="8"/>
      <c r="AR254" s="8"/>
      <c r="AS254" s="8"/>
    </row>
    <row r="255" spans="1:45" x14ac:dyDescent="0.2">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c r="AA255" s="8"/>
      <c r="AB255" s="8"/>
      <c r="AC255" s="8"/>
      <c r="AD255" s="8"/>
      <c r="AE255" s="8"/>
      <c r="AF255" s="8"/>
      <c r="AG255" s="8"/>
      <c r="AH255" s="8"/>
      <c r="AI255" s="8"/>
      <c r="AJ255" s="8"/>
      <c r="AK255" s="8"/>
      <c r="AL255" s="8"/>
      <c r="AM255" s="8"/>
      <c r="AN255" s="8"/>
      <c r="AO255" s="8"/>
      <c r="AP255" s="8"/>
      <c r="AQ255" s="8"/>
      <c r="AR255" s="8"/>
      <c r="AS255" s="8"/>
    </row>
    <row r="256" spans="1:45" x14ac:dyDescent="0.2">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c r="AA256" s="8"/>
      <c r="AB256" s="8"/>
      <c r="AC256" s="8"/>
      <c r="AD256" s="8"/>
      <c r="AE256" s="8"/>
      <c r="AF256" s="8"/>
      <c r="AG256" s="8"/>
      <c r="AH256" s="8"/>
      <c r="AI256" s="8"/>
      <c r="AJ256" s="8"/>
      <c r="AK256" s="8"/>
      <c r="AL256" s="8"/>
      <c r="AM256" s="8"/>
      <c r="AN256" s="8"/>
      <c r="AO256" s="8"/>
      <c r="AP256" s="8"/>
      <c r="AQ256" s="8"/>
      <c r="AR256" s="8"/>
      <c r="AS256" s="8"/>
    </row>
    <row r="257" spans="1:45" x14ac:dyDescent="0.2">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c r="AA257" s="8"/>
      <c r="AB257" s="8"/>
      <c r="AC257" s="8"/>
      <c r="AD257" s="8"/>
      <c r="AE257" s="8"/>
      <c r="AF257" s="8"/>
      <c r="AG257" s="8"/>
      <c r="AH257" s="8"/>
      <c r="AI257" s="8"/>
      <c r="AJ257" s="8"/>
      <c r="AK257" s="8"/>
      <c r="AL257" s="8"/>
      <c r="AM257" s="8"/>
      <c r="AN257" s="8"/>
      <c r="AO257" s="8"/>
      <c r="AP257" s="8"/>
      <c r="AQ257" s="8"/>
      <c r="AR257" s="8"/>
      <c r="AS257" s="8"/>
    </row>
    <row r="258" spans="1:45" x14ac:dyDescent="0.2">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c r="AA258" s="8"/>
      <c r="AB258" s="8"/>
      <c r="AC258" s="8"/>
      <c r="AD258" s="8"/>
      <c r="AE258" s="8"/>
      <c r="AF258" s="8"/>
      <c r="AG258" s="8"/>
      <c r="AH258" s="8"/>
      <c r="AI258" s="8"/>
      <c r="AJ258" s="8"/>
      <c r="AK258" s="8"/>
      <c r="AL258" s="8"/>
      <c r="AM258" s="8"/>
      <c r="AN258" s="8"/>
      <c r="AO258" s="8"/>
      <c r="AP258" s="8"/>
      <c r="AQ258" s="8"/>
      <c r="AR258" s="8"/>
      <c r="AS258" s="8"/>
    </row>
    <row r="259" spans="1:45" x14ac:dyDescent="0.2">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c r="AA259" s="8"/>
      <c r="AB259" s="8"/>
      <c r="AC259" s="8"/>
      <c r="AD259" s="8"/>
      <c r="AE259" s="8"/>
      <c r="AF259" s="8"/>
      <c r="AG259" s="8"/>
      <c r="AH259" s="8"/>
      <c r="AI259" s="8"/>
      <c r="AJ259" s="8"/>
      <c r="AK259" s="8"/>
      <c r="AL259" s="8"/>
      <c r="AM259" s="8"/>
      <c r="AN259" s="8"/>
      <c r="AO259" s="8"/>
      <c r="AP259" s="8"/>
      <c r="AQ259" s="8"/>
      <c r="AR259" s="8"/>
      <c r="AS259" s="8"/>
    </row>
    <row r="260" spans="1:45" x14ac:dyDescent="0.2">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c r="AA260" s="8"/>
      <c r="AB260" s="8"/>
      <c r="AC260" s="8"/>
      <c r="AD260" s="8"/>
      <c r="AE260" s="8"/>
      <c r="AF260" s="8"/>
      <c r="AG260" s="8"/>
      <c r="AH260" s="8"/>
      <c r="AI260" s="8"/>
      <c r="AJ260" s="8"/>
      <c r="AK260" s="8"/>
      <c r="AL260" s="8"/>
      <c r="AM260" s="8"/>
      <c r="AN260" s="8"/>
      <c r="AO260" s="8"/>
      <c r="AP260" s="8"/>
      <c r="AQ260" s="8"/>
      <c r="AR260" s="8"/>
      <c r="AS260" s="8"/>
    </row>
    <row r="261" spans="1:45" x14ac:dyDescent="0.2">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c r="AA261" s="8"/>
      <c r="AB261" s="8"/>
      <c r="AC261" s="8"/>
      <c r="AD261" s="8"/>
      <c r="AE261" s="8"/>
      <c r="AF261" s="8"/>
      <c r="AG261" s="8"/>
      <c r="AH261" s="8"/>
      <c r="AI261" s="8"/>
      <c r="AJ261" s="8"/>
      <c r="AK261" s="8"/>
      <c r="AL261" s="8"/>
      <c r="AM261" s="8"/>
      <c r="AN261" s="8"/>
      <c r="AO261" s="8"/>
      <c r="AP261" s="8"/>
      <c r="AQ261" s="8"/>
      <c r="AR261" s="8"/>
      <c r="AS261" s="8"/>
    </row>
    <row r="262" spans="1:45" x14ac:dyDescent="0.2">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c r="AA262" s="8"/>
      <c r="AB262" s="8"/>
      <c r="AC262" s="8"/>
      <c r="AD262" s="8"/>
      <c r="AE262" s="8"/>
      <c r="AF262" s="8"/>
      <c r="AG262" s="8"/>
      <c r="AH262" s="8"/>
      <c r="AI262" s="8"/>
      <c r="AJ262" s="8"/>
      <c r="AK262" s="8"/>
      <c r="AL262" s="8"/>
      <c r="AM262" s="8"/>
      <c r="AN262" s="8"/>
      <c r="AO262" s="8"/>
      <c r="AP262" s="8"/>
      <c r="AQ262" s="8"/>
      <c r="AR262" s="8"/>
      <c r="AS262" s="8"/>
    </row>
    <row r="263" spans="1:45" x14ac:dyDescent="0.2">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c r="AA263" s="8"/>
      <c r="AB263" s="8"/>
      <c r="AC263" s="8"/>
      <c r="AD263" s="8"/>
      <c r="AE263" s="8"/>
      <c r="AF263" s="8"/>
      <c r="AG263" s="8"/>
      <c r="AH263" s="8"/>
      <c r="AI263" s="8"/>
      <c r="AJ263" s="8"/>
      <c r="AK263" s="8"/>
      <c r="AL263" s="8"/>
      <c r="AM263" s="8"/>
      <c r="AN263" s="8"/>
      <c r="AO263" s="8"/>
      <c r="AP263" s="8"/>
      <c r="AQ263" s="8"/>
      <c r="AR263" s="8"/>
      <c r="AS263" s="8"/>
    </row>
    <row r="264" spans="1:45" x14ac:dyDescent="0.2">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c r="AA264" s="8"/>
      <c r="AB264" s="8"/>
      <c r="AC264" s="8"/>
      <c r="AD264" s="8"/>
      <c r="AE264" s="8"/>
      <c r="AF264" s="8"/>
      <c r="AG264" s="8"/>
      <c r="AH264" s="8"/>
      <c r="AI264" s="8"/>
      <c r="AJ264" s="8"/>
      <c r="AK264" s="8"/>
      <c r="AL264" s="8"/>
      <c r="AM264" s="8"/>
      <c r="AN264" s="8"/>
      <c r="AO264" s="8"/>
      <c r="AP264" s="8"/>
      <c r="AQ264" s="8"/>
      <c r="AR264" s="8"/>
      <c r="AS264" s="8"/>
    </row>
    <row r="265" spans="1:45" x14ac:dyDescent="0.2">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c r="AA265" s="8"/>
      <c r="AB265" s="8"/>
      <c r="AC265" s="8"/>
      <c r="AD265" s="8"/>
      <c r="AE265" s="8"/>
      <c r="AF265" s="8"/>
      <c r="AG265" s="8"/>
      <c r="AH265" s="8"/>
      <c r="AI265" s="8"/>
      <c r="AJ265" s="8"/>
      <c r="AK265" s="8"/>
      <c r="AL265" s="8"/>
      <c r="AM265" s="8"/>
      <c r="AN265" s="8"/>
      <c r="AO265" s="8"/>
      <c r="AP265" s="8"/>
      <c r="AQ265" s="8"/>
      <c r="AR265" s="8"/>
      <c r="AS265" s="8"/>
    </row>
    <row r="266" spans="1:45" x14ac:dyDescent="0.2">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c r="AA266" s="8"/>
      <c r="AB266" s="8"/>
      <c r="AC266" s="8"/>
      <c r="AD266" s="8"/>
      <c r="AE266" s="8"/>
      <c r="AF266" s="8"/>
      <c r="AG266" s="8"/>
      <c r="AH266" s="8"/>
      <c r="AI266" s="8"/>
      <c r="AJ266" s="8"/>
      <c r="AK266" s="8"/>
      <c r="AL266" s="8"/>
      <c r="AM266" s="8"/>
      <c r="AN266" s="8"/>
      <c r="AO266" s="8"/>
      <c r="AP266" s="8"/>
      <c r="AQ266" s="8"/>
      <c r="AR266" s="8"/>
      <c r="AS266" s="8"/>
    </row>
    <row r="267" spans="1:45" x14ac:dyDescent="0.2">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c r="AA267" s="8"/>
      <c r="AB267" s="8"/>
      <c r="AC267" s="8"/>
      <c r="AD267" s="8"/>
      <c r="AE267" s="8"/>
      <c r="AF267" s="8"/>
      <c r="AG267" s="8"/>
      <c r="AH267" s="8"/>
      <c r="AI267" s="8"/>
      <c r="AJ267" s="8"/>
      <c r="AK267" s="8"/>
      <c r="AL267" s="8"/>
      <c r="AM267" s="8"/>
      <c r="AN267" s="8"/>
      <c r="AO267" s="8"/>
      <c r="AP267" s="8"/>
      <c r="AQ267" s="8"/>
      <c r="AR267" s="8"/>
      <c r="AS267" s="8"/>
    </row>
    <row r="268" spans="1:45" x14ac:dyDescent="0.2">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c r="AA268" s="8"/>
      <c r="AB268" s="8"/>
      <c r="AC268" s="8"/>
      <c r="AD268" s="8"/>
      <c r="AE268" s="8"/>
      <c r="AF268" s="8"/>
      <c r="AG268" s="8"/>
      <c r="AH268" s="8"/>
      <c r="AI268" s="8"/>
      <c r="AJ268" s="8"/>
      <c r="AK268" s="8"/>
      <c r="AL268" s="8"/>
      <c r="AM268" s="8"/>
      <c r="AN268" s="8"/>
      <c r="AO268" s="8"/>
      <c r="AP268" s="8"/>
      <c r="AQ268" s="8"/>
      <c r="AR268" s="8"/>
      <c r="AS268" s="8"/>
    </row>
    <row r="269" spans="1:45" x14ac:dyDescent="0.2">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c r="AA269" s="8"/>
      <c r="AB269" s="8"/>
      <c r="AC269" s="8"/>
      <c r="AD269" s="8"/>
      <c r="AE269" s="8"/>
      <c r="AF269" s="8"/>
      <c r="AG269" s="8"/>
      <c r="AH269" s="8"/>
      <c r="AI269" s="8"/>
      <c r="AJ269" s="8"/>
      <c r="AK269" s="8"/>
      <c r="AL269" s="8"/>
      <c r="AM269" s="8"/>
      <c r="AN269" s="8"/>
      <c r="AO269" s="8"/>
      <c r="AP269" s="8"/>
      <c r="AQ269" s="8"/>
      <c r="AR269" s="8"/>
      <c r="AS269" s="8"/>
    </row>
    <row r="270" spans="1:45" x14ac:dyDescent="0.2">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c r="AA270" s="8"/>
      <c r="AB270" s="8"/>
      <c r="AC270" s="8"/>
      <c r="AD270" s="8"/>
      <c r="AE270" s="8"/>
      <c r="AF270" s="8"/>
      <c r="AG270" s="8"/>
      <c r="AH270" s="8"/>
      <c r="AI270" s="8"/>
      <c r="AJ270" s="8"/>
      <c r="AK270" s="8"/>
      <c r="AL270" s="8"/>
      <c r="AM270" s="8"/>
      <c r="AN270" s="8"/>
      <c r="AO270" s="8"/>
      <c r="AP270" s="8"/>
      <c r="AQ270" s="8"/>
      <c r="AR270" s="8"/>
      <c r="AS270" s="8"/>
    </row>
    <row r="271" spans="1:45" x14ac:dyDescent="0.2">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c r="AA271" s="8"/>
      <c r="AB271" s="8"/>
      <c r="AC271" s="8"/>
      <c r="AD271" s="8"/>
      <c r="AE271" s="8"/>
      <c r="AF271" s="8"/>
      <c r="AG271" s="8"/>
      <c r="AH271" s="8"/>
      <c r="AI271" s="8"/>
      <c r="AJ271" s="8"/>
      <c r="AK271" s="8"/>
      <c r="AL271" s="8"/>
      <c r="AM271" s="8"/>
      <c r="AN271" s="8"/>
      <c r="AO271" s="8"/>
      <c r="AP271" s="8"/>
      <c r="AQ271" s="8"/>
      <c r="AR271" s="8"/>
      <c r="AS271" s="8"/>
    </row>
    <row r="272" spans="1:45" x14ac:dyDescent="0.2">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c r="AA272" s="8"/>
      <c r="AB272" s="8"/>
      <c r="AC272" s="8"/>
      <c r="AD272" s="8"/>
      <c r="AE272" s="8"/>
      <c r="AF272" s="8"/>
      <c r="AG272" s="8"/>
      <c r="AH272" s="8"/>
      <c r="AI272" s="8"/>
      <c r="AJ272" s="8"/>
      <c r="AK272" s="8"/>
      <c r="AL272" s="8"/>
      <c r="AM272" s="8"/>
      <c r="AN272" s="8"/>
      <c r="AO272" s="8"/>
      <c r="AP272" s="8"/>
      <c r="AQ272" s="8"/>
      <c r="AR272" s="8"/>
      <c r="AS272" s="8"/>
    </row>
    <row r="273" spans="1:45" x14ac:dyDescent="0.2">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c r="AA273" s="8"/>
      <c r="AB273" s="8"/>
      <c r="AC273" s="8"/>
      <c r="AD273" s="8"/>
      <c r="AE273" s="8"/>
      <c r="AF273" s="8"/>
      <c r="AG273" s="8"/>
      <c r="AH273" s="8"/>
      <c r="AI273" s="8"/>
      <c r="AJ273" s="8"/>
      <c r="AK273" s="8"/>
      <c r="AL273" s="8"/>
      <c r="AM273" s="8"/>
      <c r="AN273" s="8"/>
      <c r="AO273" s="8"/>
      <c r="AP273" s="8"/>
      <c r="AQ273" s="8"/>
      <c r="AR273" s="8"/>
      <c r="AS273" s="8"/>
    </row>
    <row r="274" spans="1:45" x14ac:dyDescent="0.2">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c r="AA274" s="8"/>
      <c r="AB274" s="8"/>
      <c r="AC274" s="8"/>
      <c r="AD274" s="8"/>
      <c r="AE274" s="8"/>
      <c r="AF274" s="8"/>
      <c r="AG274" s="8"/>
      <c r="AH274" s="8"/>
      <c r="AI274" s="8"/>
      <c r="AJ274" s="8"/>
      <c r="AK274" s="8"/>
      <c r="AL274" s="8"/>
      <c r="AM274" s="8"/>
      <c r="AN274" s="8"/>
      <c r="AO274" s="8"/>
      <c r="AP274" s="8"/>
      <c r="AQ274" s="8"/>
      <c r="AR274" s="8"/>
      <c r="AS274" s="8"/>
    </row>
    <row r="275" spans="1:45" x14ac:dyDescent="0.2">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c r="AA275" s="8"/>
      <c r="AB275" s="8"/>
      <c r="AC275" s="8"/>
      <c r="AD275" s="8"/>
      <c r="AE275" s="8"/>
      <c r="AF275" s="8"/>
      <c r="AG275" s="8"/>
      <c r="AH275" s="8"/>
      <c r="AI275" s="8"/>
      <c r="AJ275" s="8"/>
      <c r="AK275" s="8"/>
      <c r="AL275" s="8"/>
      <c r="AM275" s="8"/>
      <c r="AN275" s="8"/>
      <c r="AO275" s="8"/>
      <c r="AP275" s="8"/>
      <c r="AQ275" s="8"/>
      <c r="AR275" s="8"/>
      <c r="AS275" s="8"/>
    </row>
    <row r="276" spans="1:45" x14ac:dyDescent="0.2">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c r="AA276" s="8"/>
      <c r="AB276" s="8"/>
      <c r="AC276" s="8"/>
      <c r="AD276" s="8"/>
      <c r="AE276" s="8"/>
      <c r="AF276" s="8"/>
      <c r="AG276" s="8"/>
      <c r="AH276" s="8"/>
      <c r="AI276" s="8"/>
      <c r="AJ276" s="8"/>
      <c r="AK276" s="8"/>
      <c r="AL276" s="8"/>
      <c r="AM276" s="8"/>
      <c r="AN276" s="8"/>
      <c r="AO276" s="8"/>
      <c r="AP276" s="8"/>
      <c r="AQ276" s="8"/>
      <c r="AR276" s="8"/>
      <c r="AS276" s="8"/>
    </row>
    <row r="277" spans="1:45" x14ac:dyDescent="0.2">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c r="AA277" s="8"/>
      <c r="AB277" s="8"/>
      <c r="AC277" s="8"/>
      <c r="AD277" s="8"/>
      <c r="AE277" s="8"/>
      <c r="AF277" s="8"/>
      <c r="AG277" s="8"/>
      <c r="AH277" s="8"/>
      <c r="AI277" s="8"/>
      <c r="AJ277" s="8"/>
      <c r="AK277" s="8"/>
      <c r="AL277" s="8"/>
      <c r="AM277" s="8"/>
      <c r="AN277" s="8"/>
      <c r="AO277" s="8"/>
      <c r="AP277" s="8"/>
      <c r="AQ277" s="8"/>
      <c r="AR277" s="8"/>
      <c r="AS277" s="8"/>
    </row>
    <row r="278" spans="1:45" x14ac:dyDescent="0.2">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c r="AA278" s="8"/>
      <c r="AB278" s="8"/>
      <c r="AC278" s="8"/>
      <c r="AD278" s="8"/>
      <c r="AE278" s="8"/>
      <c r="AF278" s="8"/>
      <c r="AG278" s="8"/>
      <c r="AH278" s="8"/>
      <c r="AI278" s="8"/>
      <c r="AJ278" s="8"/>
      <c r="AK278" s="8"/>
      <c r="AL278" s="8"/>
      <c r="AM278" s="8"/>
      <c r="AN278" s="8"/>
      <c r="AO278" s="8"/>
      <c r="AP278" s="8"/>
      <c r="AQ278" s="8"/>
      <c r="AR278" s="8"/>
      <c r="AS278" s="8"/>
    </row>
    <row r="279" spans="1:45" x14ac:dyDescent="0.2">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c r="AA279" s="8"/>
      <c r="AB279" s="8"/>
      <c r="AC279" s="8"/>
      <c r="AD279" s="8"/>
      <c r="AE279" s="8"/>
      <c r="AF279" s="8"/>
      <c r="AG279" s="8"/>
      <c r="AH279" s="8"/>
      <c r="AI279" s="8"/>
      <c r="AJ279" s="8"/>
      <c r="AK279" s="8"/>
      <c r="AL279" s="8"/>
      <c r="AM279" s="8"/>
      <c r="AN279" s="8"/>
      <c r="AO279" s="8"/>
      <c r="AP279" s="8"/>
      <c r="AQ279" s="8"/>
      <c r="AR279" s="8"/>
      <c r="AS279" s="8"/>
    </row>
    <row r="280" spans="1:45" x14ac:dyDescent="0.2">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c r="AA280" s="8"/>
      <c r="AB280" s="8"/>
      <c r="AC280" s="8"/>
      <c r="AD280" s="8"/>
      <c r="AE280" s="8"/>
      <c r="AF280" s="8"/>
      <c r="AG280" s="8"/>
      <c r="AH280" s="8"/>
      <c r="AI280" s="8"/>
      <c r="AJ280" s="8"/>
      <c r="AK280" s="8"/>
      <c r="AL280" s="8"/>
      <c r="AM280" s="8"/>
      <c r="AN280" s="8"/>
      <c r="AO280" s="8"/>
      <c r="AP280" s="8"/>
      <c r="AQ280" s="8"/>
      <c r="AR280" s="8"/>
      <c r="AS280" s="8"/>
    </row>
    <row r="281" spans="1:45" x14ac:dyDescent="0.2">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c r="AA281" s="8"/>
      <c r="AB281" s="8"/>
      <c r="AC281" s="8"/>
      <c r="AD281" s="8"/>
      <c r="AE281" s="8"/>
      <c r="AF281" s="8"/>
      <c r="AG281" s="8"/>
      <c r="AH281" s="8"/>
      <c r="AI281" s="8"/>
      <c r="AJ281" s="8"/>
      <c r="AK281" s="8"/>
      <c r="AL281" s="8"/>
      <c r="AM281" s="8"/>
      <c r="AN281" s="8"/>
      <c r="AO281" s="8"/>
      <c r="AP281" s="8"/>
      <c r="AQ281" s="8"/>
      <c r="AR281" s="8"/>
      <c r="AS281" s="8"/>
    </row>
    <row r="282" spans="1:45" x14ac:dyDescent="0.2">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c r="AA282" s="8"/>
      <c r="AB282" s="8"/>
      <c r="AC282" s="8"/>
      <c r="AD282" s="8"/>
      <c r="AE282" s="8"/>
      <c r="AF282" s="8"/>
      <c r="AG282" s="8"/>
      <c r="AH282" s="8"/>
      <c r="AI282" s="8"/>
      <c r="AJ282" s="8"/>
      <c r="AK282" s="8"/>
      <c r="AL282" s="8"/>
      <c r="AM282" s="8"/>
      <c r="AN282" s="8"/>
      <c r="AO282" s="8"/>
      <c r="AP282" s="8"/>
      <c r="AQ282" s="8"/>
      <c r="AR282" s="8"/>
      <c r="AS282" s="8"/>
    </row>
    <row r="283" spans="1:45" x14ac:dyDescent="0.2">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c r="AA283" s="8"/>
      <c r="AB283" s="8"/>
      <c r="AC283" s="8"/>
      <c r="AD283" s="8"/>
      <c r="AE283" s="8"/>
      <c r="AF283" s="8"/>
      <c r="AG283" s="8"/>
      <c r="AH283" s="8"/>
      <c r="AI283" s="8"/>
      <c r="AJ283" s="8"/>
      <c r="AK283" s="8"/>
      <c r="AL283" s="8"/>
      <c r="AM283" s="8"/>
      <c r="AN283" s="8"/>
      <c r="AO283" s="8"/>
      <c r="AP283" s="8"/>
      <c r="AQ283" s="8"/>
      <c r="AR283" s="8"/>
      <c r="AS283" s="8"/>
    </row>
    <row r="284" spans="1:45" x14ac:dyDescent="0.2">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c r="AA284" s="8"/>
      <c r="AB284" s="8"/>
      <c r="AC284" s="8"/>
      <c r="AD284" s="8"/>
      <c r="AE284" s="8"/>
      <c r="AF284" s="8"/>
      <c r="AG284" s="8"/>
      <c r="AH284" s="8"/>
      <c r="AI284" s="8"/>
      <c r="AJ284" s="8"/>
      <c r="AK284" s="8"/>
      <c r="AL284" s="8"/>
      <c r="AM284" s="8"/>
      <c r="AN284" s="8"/>
      <c r="AO284" s="8"/>
      <c r="AP284" s="8"/>
      <c r="AQ284" s="8"/>
      <c r="AR284" s="8"/>
      <c r="AS284" s="8"/>
    </row>
    <row r="285" spans="1:45" x14ac:dyDescent="0.2">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c r="AA285" s="8"/>
      <c r="AB285" s="8"/>
      <c r="AC285" s="8"/>
      <c r="AD285" s="8"/>
      <c r="AE285" s="8"/>
      <c r="AF285" s="8"/>
      <c r="AG285" s="8"/>
      <c r="AH285" s="8"/>
      <c r="AI285" s="8"/>
      <c r="AJ285" s="8"/>
      <c r="AK285" s="8"/>
      <c r="AL285" s="8"/>
      <c r="AM285" s="8"/>
      <c r="AN285" s="8"/>
      <c r="AO285" s="8"/>
      <c r="AP285" s="8"/>
      <c r="AQ285" s="8"/>
      <c r="AR285" s="8"/>
      <c r="AS285" s="8"/>
    </row>
    <row r="286" spans="1:45" x14ac:dyDescent="0.2">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c r="AA286" s="8"/>
      <c r="AB286" s="8"/>
      <c r="AC286" s="8"/>
      <c r="AD286" s="8"/>
      <c r="AE286" s="8"/>
      <c r="AF286" s="8"/>
      <c r="AG286" s="8"/>
      <c r="AH286" s="8"/>
      <c r="AI286" s="8"/>
      <c r="AJ286" s="8"/>
      <c r="AK286" s="8"/>
      <c r="AL286" s="8"/>
      <c r="AM286" s="8"/>
      <c r="AN286" s="8"/>
      <c r="AO286" s="8"/>
      <c r="AP286" s="8"/>
      <c r="AQ286" s="8"/>
      <c r="AR286" s="8"/>
      <c r="AS286" s="8"/>
    </row>
    <row r="287" spans="1:45" x14ac:dyDescent="0.2">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c r="AA287" s="8"/>
      <c r="AB287" s="8"/>
      <c r="AC287" s="8"/>
      <c r="AD287" s="8"/>
      <c r="AE287" s="8"/>
      <c r="AF287" s="8"/>
      <c r="AG287" s="8"/>
      <c r="AH287" s="8"/>
      <c r="AI287" s="8"/>
      <c r="AJ287" s="8"/>
      <c r="AK287" s="8"/>
      <c r="AL287" s="8"/>
      <c r="AM287" s="8"/>
      <c r="AN287" s="8"/>
      <c r="AO287" s="8"/>
      <c r="AP287" s="8"/>
      <c r="AQ287" s="8"/>
      <c r="AR287" s="8"/>
      <c r="AS287" s="8"/>
    </row>
    <row r="288" spans="1:45" x14ac:dyDescent="0.2">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c r="AA288" s="8"/>
      <c r="AB288" s="8"/>
      <c r="AC288" s="8"/>
      <c r="AD288" s="8"/>
      <c r="AE288" s="8"/>
      <c r="AF288" s="8"/>
      <c r="AG288" s="8"/>
      <c r="AH288" s="8"/>
      <c r="AI288" s="8"/>
      <c r="AJ288" s="8"/>
      <c r="AK288" s="8"/>
      <c r="AL288" s="8"/>
      <c r="AM288" s="8"/>
      <c r="AN288" s="8"/>
      <c r="AO288" s="8"/>
      <c r="AP288" s="8"/>
      <c r="AQ288" s="8"/>
      <c r="AR288" s="8"/>
      <c r="AS288" s="8"/>
    </row>
    <row r="289" spans="1:45" x14ac:dyDescent="0.2">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c r="AA289" s="8"/>
      <c r="AB289" s="8"/>
      <c r="AC289" s="8"/>
      <c r="AD289" s="8"/>
      <c r="AE289" s="8"/>
      <c r="AF289" s="8"/>
      <c r="AG289" s="8"/>
      <c r="AH289" s="8"/>
      <c r="AI289" s="8"/>
      <c r="AJ289" s="8"/>
      <c r="AK289" s="8"/>
      <c r="AL289" s="8"/>
      <c r="AM289" s="8"/>
      <c r="AN289" s="8"/>
      <c r="AO289" s="8"/>
      <c r="AP289" s="8"/>
      <c r="AQ289" s="8"/>
      <c r="AR289" s="8"/>
      <c r="AS289" s="8"/>
    </row>
    <row r="290" spans="1:45" x14ac:dyDescent="0.2">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c r="AA290" s="8"/>
      <c r="AB290" s="8"/>
      <c r="AC290" s="8"/>
      <c r="AD290" s="8"/>
      <c r="AE290" s="8"/>
      <c r="AF290" s="8"/>
      <c r="AG290" s="8"/>
      <c r="AH290" s="8"/>
      <c r="AI290" s="8"/>
      <c r="AJ290" s="8"/>
      <c r="AK290" s="8"/>
      <c r="AL290" s="8"/>
      <c r="AM290" s="8"/>
      <c r="AN290" s="8"/>
      <c r="AO290" s="8"/>
      <c r="AP290" s="8"/>
      <c r="AQ290" s="8"/>
      <c r="AR290" s="8"/>
      <c r="AS290" s="8"/>
    </row>
    <row r="291" spans="1:45" x14ac:dyDescent="0.2">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c r="AA291" s="8"/>
      <c r="AB291" s="8"/>
      <c r="AC291" s="8"/>
      <c r="AD291" s="8"/>
      <c r="AE291" s="8"/>
      <c r="AF291" s="8"/>
      <c r="AG291" s="8"/>
      <c r="AH291" s="8"/>
      <c r="AI291" s="8"/>
      <c r="AJ291" s="8"/>
      <c r="AK291" s="8"/>
      <c r="AL291" s="8"/>
      <c r="AM291" s="8"/>
      <c r="AN291" s="8"/>
      <c r="AO291" s="8"/>
      <c r="AP291" s="8"/>
      <c r="AQ291" s="8"/>
      <c r="AR291" s="8"/>
      <c r="AS291" s="8"/>
    </row>
    <row r="292" spans="1:45" x14ac:dyDescent="0.2">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c r="AA292" s="8"/>
      <c r="AB292" s="8"/>
      <c r="AC292" s="8"/>
      <c r="AD292" s="8"/>
      <c r="AE292" s="8"/>
      <c r="AF292" s="8"/>
      <c r="AG292" s="8"/>
      <c r="AH292" s="8"/>
      <c r="AI292" s="8"/>
      <c r="AJ292" s="8"/>
      <c r="AK292" s="8"/>
      <c r="AL292" s="8"/>
      <c r="AM292" s="8"/>
      <c r="AN292" s="8"/>
      <c r="AO292" s="8"/>
      <c r="AP292" s="8"/>
      <c r="AQ292" s="8"/>
      <c r="AR292" s="8"/>
      <c r="AS292" s="8"/>
    </row>
    <row r="293" spans="1:45" x14ac:dyDescent="0.2">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c r="AA293" s="8"/>
      <c r="AB293" s="8"/>
      <c r="AC293" s="8"/>
      <c r="AD293" s="8"/>
      <c r="AE293" s="8"/>
      <c r="AF293" s="8"/>
      <c r="AG293" s="8"/>
      <c r="AH293" s="8"/>
      <c r="AI293" s="8"/>
      <c r="AJ293" s="8"/>
      <c r="AK293" s="8"/>
      <c r="AL293" s="8"/>
      <c r="AM293" s="8"/>
      <c r="AN293" s="8"/>
      <c r="AO293" s="8"/>
      <c r="AP293" s="8"/>
      <c r="AQ293" s="8"/>
      <c r="AR293" s="8"/>
      <c r="AS293" s="8"/>
    </row>
    <row r="294" spans="1:45" x14ac:dyDescent="0.2">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c r="AA294" s="8"/>
      <c r="AB294" s="8"/>
      <c r="AC294" s="8"/>
      <c r="AD294" s="8"/>
      <c r="AE294" s="8"/>
      <c r="AF294" s="8"/>
      <c r="AG294" s="8"/>
      <c r="AH294" s="8"/>
      <c r="AI294" s="8"/>
      <c r="AJ294" s="8"/>
      <c r="AK294" s="8"/>
      <c r="AL294" s="8"/>
      <c r="AM294" s="8"/>
      <c r="AN294" s="8"/>
      <c r="AO294" s="8"/>
      <c r="AP294" s="8"/>
      <c r="AQ294" s="8"/>
      <c r="AR294" s="8"/>
      <c r="AS294" s="8"/>
    </row>
    <row r="295" spans="1:45" x14ac:dyDescent="0.2">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c r="AA295" s="8"/>
      <c r="AB295" s="8"/>
      <c r="AC295" s="8"/>
      <c r="AD295" s="8"/>
      <c r="AE295" s="8"/>
      <c r="AF295" s="8"/>
      <c r="AG295" s="8"/>
      <c r="AH295" s="8"/>
      <c r="AI295" s="8"/>
      <c r="AJ295" s="8"/>
      <c r="AK295" s="8"/>
      <c r="AL295" s="8"/>
      <c r="AM295" s="8"/>
      <c r="AN295" s="8"/>
      <c r="AO295" s="8"/>
      <c r="AP295" s="8"/>
      <c r="AQ295" s="8"/>
      <c r="AR295" s="8"/>
      <c r="AS295" s="8"/>
    </row>
    <row r="296" spans="1:45" x14ac:dyDescent="0.2">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c r="AA296" s="8"/>
      <c r="AB296" s="8"/>
      <c r="AC296" s="8"/>
      <c r="AD296" s="8"/>
      <c r="AE296" s="8"/>
      <c r="AF296" s="8"/>
      <c r="AG296" s="8"/>
      <c r="AH296" s="8"/>
      <c r="AI296" s="8"/>
      <c r="AJ296" s="8"/>
      <c r="AK296" s="8"/>
      <c r="AL296" s="8"/>
      <c r="AM296" s="8"/>
      <c r="AN296" s="8"/>
      <c r="AO296" s="8"/>
      <c r="AP296" s="8"/>
      <c r="AQ296" s="8"/>
      <c r="AR296" s="8"/>
      <c r="AS296" s="8"/>
    </row>
    <row r="297" spans="1:45" x14ac:dyDescent="0.2">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c r="AA297" s="8"/>
      <c r="AB297" s="8"/>
      <c r="AC297" s="8"/>
      <c r="AD297" s="8"/>
      <c r="AE297" s="8"/>
      <c r="AF297" s="8"/>
      <c r="AG297" s="8"/>
      <c r="AH297" s="8"/>
      <c r="AI297" s="8"/>
      <c r="AJ297" s="8"/>
      <c r="AK297" s="8"/>
      <c r="AL297" s="8"/>
      <c r="AM297" s="8"/>
      <c r="AN297" s="8"/>
      <c r="AO297" s="8"/>
      <c r="AP297" s="8"/>
      <c r="AQ297" s="8"/>
      <c r="AR297" s="8"/>
      <c r="AS297" s="8"/>
    </row>
    <row r="298" spans="1:45" x14ac:dyDescent="0.2">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c r="AA298" s="8"/>
      <c r="AB298" s="8"/>
      <c r="AC298" s="8"/>
      <c r="AD298" s="8"/>
      <c r="AE298" s="8"/>
      <c r="AF298" s="8"/>
      <c r="AG298" s="8"/>
      <c r="AH298" s="8"/>
      <c r="AI298" s="8"/>
      <c r="AJ298" s="8"/>
      <c r="AK298" s="8"/>
      <c r="AL298" s="8"/>
      <c r="AM298" s="8"/>
      <c r="AN298" s="8"/>
      <c r="AO298" s="8"/>
      <c r="AP298" s="8"/>
      <c r="AQ298" s="8"/>
      <c r="AR298" s="8"/>
      <c r="AS298" s="8"/>
    </row>
    <row r="299" spans="1:45" x14ac:dyDescent="0.2">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c r="AA299" s="8"/>
      <c r="AB299" s="8"/>
      <c r="AC299" s="8"/>
      <c r="AD299" s="8"/>
      <c r="AE299" s="8"/>
      <c r="AF299" s="8"/>
      <c r="AG299" s="8"/>
      <c r="AH299" s="8"/>
      <c r="AI299" s="8"/>
      <c r="AJ299" s="8"/>
      <c r="AK299" s="8"/>
      <c r="AL299" s="8"/>
      <c r="AM299" s="8"/>
      <c r="AN299" s="8"/>
      <c r="AO299" s="8"/>
      <c r="AP299" s="8"/>
      <c r="AQ299" s="8"/>
      <c r="AR299" s="8"/>
      <c r="AS299" s="8"/>
    </row>
    <row r="300" spans="1:45" x14ac:dyDescent="0.2">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c r="AA300" s="8"/>
      <c r="AB300" s="8"/>
      <c r="AC300" s="8"/>
      <c r="AD300" s="8"/>
      <c r="AE300" s="8"/>
      <c r="AF300" s="8"/>
      <c r="AG300" s="8"/>
      <c r="AH300" s="8"/>
      <c r="AI300" s="8"/>
      <c r="AJ300" s="8"/>
      <c r="AK300" s="8"/>
      <c r="AL300" s="8"/>
      <c r="AM300" s="8"/>
      <c r="AN300" s="8"/>
      <c r="AO300" s="8"/>
      <c r="AP300" s="8"/>
      <c r="AQ300" s="8"/>
      <c r="AR300" s="8"/>
      <c r="AS300" s="8"/>
    </row>
    <row r="301" spans="1:45" x14ac:dyDescent="0.2">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c r="AA301" s="8"/>
      <c r="AB301" s="8"/>
      <c r="AC301" s="8"/>
      <c r="AD301" s="8"/>
      <c r="AE301" s="8"/>
      <c r="AF301" s="8"/>
      <c r="AG301" s="8"/>
      <c r="AH301" s="8"/>
      <c r="AI301" s="8"/>
      <c r="AJ301" s="8"/>
      <c r="AK301" s="8"/>
      <c r="AL301" s="8"/>
      <c r="AM301" s="8"/>
      <c r="AN301" s="8"/>
      <c r="AO301" s="8"/>
      <c r="AP301" s="8"/>
      <c r="AQ301" s="8"/>
      <c r="AR301" s="8"/>
      <c r="AS301" s="8"/>
    </row>
    <row r="302" spans="1:45" x14ac:dyDescent="0.2">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c r="AA302" s="8"/>
      <c r="AB302" s="8"/>
      <c r="AC302" s="8"/>
      <c r="AD302" s="8"/>
      <c r="AE302" s="8"/>
      <c r="AF302" s="8"/>
      <c r="AG302" s="8"/>
      <c r="AH302" s="8"/>
      <c r="AI302" s="8"/>
      <c r="AJ302" s="8"/>
      <c r="AK302" s="8"/>
      <c r="AL302" s="8"/>
      <c r="AM302" s="8"/>
      <c r="AN302" s="8"/>
      <c r="AO302" s="8"/>
      <c r="AP302" s="8"/>
      <c r="AQ302" s="8"/>
      <c r="AR302" s="8"/>
      <c r="AS302" s="8"/>
    </row>
    <row r="303" spans="1:45" x14ac:dyDescent="0.2">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c r="AA303" s="8"/>
      <c r="AB303" s="8"/>
      <c r="AC303" s="8"/>
      <c r="AD303" s="8"/>
      <c r="AE303" s="8"/>
      <c r="AF303" s="8"/>
      <c r="AG303" s="8"/>
      <c r="AH303" s="8"/>
      <c r="AI303" s="8"/>
      <c r="AJ303" s="8"/>
      <c r="AK303" s="8"/>
      <c r="AL303" s="8"/>
      <c r="AM303" s="8"/>
      <c r="AN303" s="8"/>
      <c r="AO303" s="8"/>
      <c r="AP303" s="8"/>
      <c r="AQ303" s="8"/>
      <c r="AR303" s="8"/>
      <c r="AS303" s="8"/>
    </row>
    <row r="304" spans="1:45" x14ac:dyDescent="0.2">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c r="AA304" s="8"/>
      <c r="AB304" s="8"/>
      <c r="AC304" s="8"/>
      <c r="AD304" s="8"/>
      <c r="AE304" s="8"/>
      <c r="AF304" s="8"/>
      <c r="AG304" s="8"/>
      <c r="AH304" s="8"/>
      <c r="AI304" s="8"/>
      <c r="AJ304" s="8"/>
      <c r="AK304" s="8"/>
      <c r="AL304" s="8"/>
      <c r="AM304" s="8"/>
      <c r="AN304" s="8"/>
      <c r="AO304" s="8"/>
      <c r="AP304" s="8"/>
      <c r="AQ304" s="8"/>
      <c r="AR304" s="8"/>
      <c r="AS304" s="8"/>
    </row>
    <row r="305" spans="1:45" x14ac:dyDescent="0.2">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c r="AA305" s="8"/>
      <c r="AB305" s="8"/>
      <c r="AC305" s="8"/>
      <c r="AD305" s="8"/>
      <c r="AE305" s="8"/>
      <c r="AF305" s="8"/>
      <c r="AG305" s="8"/>
      <c r="AH305" s="8"/>
      <c r="AI305" s="8"/>
      <c r="AJ305" s="8"/>
      <c r="AK305" s="8"/>
      <c r="AL305" s="8"/>
      <c r="AM305" s="8"/>
      <c r="AN305" s="8"/>
      <c r="AO305" s="8"/>
      <c r="AP305" s="8"/>
      <c r="AQ305" s="8"/>
      <c r="AR305" s="8"/>
      <c r="AS305" s="8"/>
    </row>
    <row r="306" spans="1:45" x14ac:dyDescent="0.2">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c r="AA306" s="8"/>
      <c r="AB306" s="8"/>
      <c r="AC306" s="8"/>
      <c r="AD306" s="8"/>
      <c r="AE306" s="8"/>
      <c r="AF306" s="8"/>
      <c r="AG306" s="8"/>
      <c r="AH306" s="8"/>
      <c r="AI306" s="8"/>
      <c r="AJ306" s="8"/>
      <c r="AK306" s="8"/>
      <c r="AL306" s="8"/>
      <c r="AM306" s="8"/>
      <c r="AN306" s="8"/>
      <c r="AO306" s="8"/>
      <c r="AP306" s="8"/>
      <c r="AQ306" s="8"/>
      <c r="AR306" s="8"/>
      <c r="AS306" s="8"/>
    </row>
    <row r="307" spans="1:45" x14ac:dyDescent="0.2">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c r="AA307" s="8"/>
      <c r="AB307" s="8"/>
      <c r="AC307" s="8"/>
      <c r="AD307" s="8"/>
      <c r="AE307" s="8"/>
      <c r="AF307" s="8"/>
      <c r="AG307" s="8"/>
      <c r="AH307" s="8"/>
      <c r="AI307" s="8"/>
      <c r="AJ307" s="8"/>
      <c r="AK307" s="8"/>
      <c r="AL307" s="8"/>
      <c r="AM307" s="8"/>
      <c r="AN307" s="8"/>
      <c r="AO307" s="8"/>
      <c r="AP307" s="8"/>
      <c r="AQ307" s="8"/>
      <c r="AR307" s="8"/>
      <c r="AS307" s="8"/>
    </row>
    <row r="308" spans="1:45" x14ac:dyDescent="0.2">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c r="AA308" s="8"/>
      <c r="AB308" s="8"/>
      <c r="AC308" s="8"/>
      <c r="AD308" s="8"/>
      <c r="AE308" s="8"/>
      <c r="AF308" s="8"/>
      <c r="AG308" s="8"/>
      <c r="AH308" s="8"/>
      <c r="AI308" s="8"/>
      <c r="AJ308" s="8"/>
      <c r="AK308" s="8"/>
      <c r="AL308" s="8"/>
      <c r="AM308" s="8"/>
      <c r="AN308" s="8"/>
      <c r="AO308" s="8"/>
      <c r="AP308" s="8"/>
      <c r="AQ308" s="8"/>
      <c r="AR308" s="8"/>
      <c r="AS308" s="8"/>
    </row>
    <row r="309" spans="1:45" x14ac:dyDescent="0.2">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c r="AA309" s="8"/>
      <c r="AB309" s="8"/>
      <c r="AC309" s="8"/>
      <c r="AD309" s="8"/>
      <c r="AE309" s="8"/>
      <c r="AF309" s="8"/>
      <c r="AG309" s="8"/>
      <c r="AH309" s="8"/>
      <c r="AI309" s="8"/>
      <c r="AJ309" s="8"/>
      <c r="AK309" s="8"/>
      <c r="AL309" s="8"/>
      <c r="AM309" s="8"/>
      <c r="AN309" s="8"/>
      <c r="AO309" s="8"/>
      <c r="AP309" s="8"/>
      <c r="AQ309" s="8"/>
      <c r="AR309" s="8"/>
      <c r="AS309" s="8"/>
    </row>
    <row r="310" spans="1:45" x14ac:dyDescent="0.2">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c r="AA310" s="8"/>
      <c r="AB310" s="8"/>
      <c r="AC310" s="8"/>
      <c r="AD310" s="8"/>
      <c r="AE310" s="8"/>
      <c r="AF310" s="8"/>
      <c r="AG310" s="8"/>
      <c r="AH310" s="8"/>
      <c r="AI310" s="8"/>
      <c r="AJ310" s="8"/>
      <c r="AK310" s="8"/>
      <c r="AL310" s="8"/>
      <c r="AM310" s="8"/>
      <c r="AN310" s="8"/>
      <c r="AO310" s="8"/>
      <c r="AP310" s="8"/>
      <c r="AQ310" s="8"/>
      <c r="AR310" s="8"/>
      <c r="AS310" s="8"/>
    </row>
    <row r="311" spans="1:45" x14ac:dyDescent="0.2">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c r="AA311" s="8"/>
      <c r="AB311" s="8"/>
      <c r="AC311" s="8"/>
      <c r="AD311" s="8"/>
      <c r="AE311" s="8"/>
      <c r="AF311" s="8"/>
      <c r="AG311" s="8"/>
      <c r="AH311" s="8"/>
      <c r="AI311" s="8"/>
      <c r="AJ311" s="8"/>
      <c r="AK311" s="8"/>
      <c r="AL311" s="8"/>
      <c r="AM311" s="8"/>
      <c r="AN311" s="8"/>
      <c r="AO311" s="8"/>
      <c r="AP311" s="8"/>
      <c r="AQ311" s="8"/>
      <c r="AR311" s="8"/>
      <c r="AS311" s="8"/>
    </row>
    <row r="312" spans="1:45" x14ac:dyDescent="0.2">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c r="AA312" s="8"/>
      <c r="AB312" s="8"/>
      <c r="AC312" s="8"/>
      <c r="AD312" s="8"/>
      <c r="AE312" s="8"/>
      <c r="AF312" s="8"/>
      <c r="AG312" s="8"/>
      <c r="AH312" s="8"/>
      <c r="AI312" s="8"/>
      <c r="AJ312" s="8"/>
      <c r="AK312" s="8"/>
      <c r="AL312" s="8"/>
      <c r="AM312" s="8"/>
      <c r="AN312" s="8"/>
      <c r="AO312" s="8"/>
      <c r="AP312" s="8"/>
      <c r="AQ312" s="8"/>
      <c r="AR312" s="8"/>
      <c r="AS312" s="8"/>
    </row>
    <row r="313" spans="1:45" x14ac:dyDescent="0.2">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c r="AA313" s="8"/>
      <c r="AB313" s="8"/>
      <c r="AC313" s="8"/>
      <c r="AD313" s="8"/>
      <c r="AE313" s="8"/>
      <c r="AF313" s="8"/>
      <c r="AG313" s="8"/>
      <c r="AH313" s="8"/>
      <c r="AI313" s="8"/>
      <c r="AJ313" s="8"/>
      <c r="AK313" s="8"/>
      <c r="AL313" s="8"/>
      <c r="AM313" s="8"/>
      <c r="AN313" s="8"/>
      <c r="AO313" s="8"/>
      <c r="AP313" s="8"/>
      <c r="AQ313" s="8"/>
      <c r="AR313" s="8"/>
      <c r="AS313" s="8"/>
    </row>
    <row r="314" spans="1:45" x14ac:dyDescent="0.2">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c r="AA314" s="8"/>
      <c r="AB314" s="8"/>
      <c r="AC314" s="8"/>
      <c r="AD314" s="8"/>
      <c r="AE314" s="8"/>
      <c r="AF314" s="8"/>
      <c r="AG314" s="8"/>
      <c r="AH314" s="8"/>
      <c r="AI314" s="8"/>
      <c r="AJ314" s="8"/>
      <c r="AK314" s="8"/>
      <c r="AL314" s="8"/>
      <c r="AM314" s="8"/>
      <c r="AN314" s="8"/>
      <c r="AO314" s="8"/>
      <c r="AP314" s="8"/>
      <c r="AQ314" s="8"/>
      <c r="AR314" s="8"/>
      <c r="AS314" s="8"/>
    </row>
    <row r="315" spans="1:45" x14ac:dyDescent="0.2">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c r="AA315" s="8"/>
      <c r="AB315" s="8"/>
      <c r="AC315" s="8"/>
      <c r="AD315" s="8"/>
      <c r="AE315" s="8"/>
      <c r="AF315" s="8"/>
      <c r="AG315" s="8"/>
      <c r="AH315" s="8"/>
      <c r="AI315" s="8"/>
      <c r="AJ315" s="8"/>
      <c r="AK315" s="8"/>
      <c r="AL315" s="8"/>
      <c r="AM315" s="8"/>
      <c r="AN315" s="8"/>
      <c r="AO315" s="8"/>
      <c r="AP315" s="8"/>
      <c r="AQ315" s="8"/>
      <c r="AR315" s="8"/>
      <c r="AS315" s="8"/>
    </row>
    <row r="316" spans="1:45" x14ac:dyDescent="0.2">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c r="AA316" s="8"/>
      <c r="AB316" s="8"/>
      <c r="AC316" s="8"/>
      <c r="AD316" s="8"/>
      <c r="AE316" s="8"/>
      <c r="AF316" s="8"/>
      <c r="AG316" s="8"/>
      <c r="AH316" s="8"/>
      <c r="AI316" s="8"/>
      <c r="AJ316" s="8"/>
      <c r="AK316" s="8"/>
      <c r="AL316" s="8"/>
      <c r="AM316" s="8"/>
      <c r="AN316" s="8"/>
      <c r="AO316" s="8"/>
      <c r="AP316" s="8"/>
      <c r="AQ316" s="8"/>
      <c r="AR316" s="8"/>
      <c r="AS316" s="8"/>
    </row>
    <row r="317" spans="1:45" x14ac:dyDescent="0.2">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c r="AA317" s="8"/>
      <c r="AB317" s="8"/>
      <c r="AC317" s="8"/>
      <c r="AD317" s="8"/>
      <c r="AE317" s="8"/>
      <c r="AF317" s="8"/>
      <c r="AG317" s="8"/>
      <c r="AH317" s="8"/>
      <c r="AI317" s="8"/>
      <c r="AJ317" s="8"/>
      <c r="AK317" s="8"/>
      <c r="AL317" s="8"/>
      <c r="AM317" s="8"/>
      <c r="AN317" s="8"/>
      <c r="AO317" s="8"/>
      <c r="AP317" s="8"/>
      <c r="AQ317" s="8"/>
      <c r="AR317" s="8"/>
      <c r="AS317" s="8"/>
    </row>
    <row r="318" spans="1:45" x14ac:dyDescent="0.2">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c r="AA318" s="8"/>
      <c r="AB318" s="8"/>
      <c r="AC318" s="8"/>
      <c r="AD318" s="8"/>
      <c r="AE318" s="8"/>
      <c r="AF318" s="8"/>
      <c r="AG318" s="8"/>
      <c r="AH318" s="8"/>
      <c r="AI318" s="8"/>
      <c r="AJ318" s="8"/>
      <c r="AK318" s="8"/>
      <c r="AL318" s="8"/>
      <c r="AM318" s="8"/>
      <c r="AN318" s="8"/>
      <c r="AO318" s="8"/>
      <c r="AP318" s="8"/>
      <c r="AQ318" s="8"/>
      <c r="AR318" s="8"/>
      <c r="AS318" s="8"/>
    </row>
    <row r="319" spans="1:45" x14ac:dyDescent="0.2">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c r="AA319" s="8"/>
      <c r="AB319" s="8"/>
      <c r="AC319" s="8"/>
      <c r="AD319" s="8"/>
      <c r="AE319" s="8"/>
      <c r="AF319" s="8"/>
      <c r="AG319" s="8"/>
      <c r="AH319" s="8"/>
      <c r="AI319" s="8"/>
      <c r="AJ319" s="8"/>
      <c r="AK319" s="8"/>
      <c r="AL319" s="8"/>
      <c r="AM319" s="8"/>
      <c r="AN319" s="8"/>
      <c r="AO319" s="8"/>
      <c r="AP319" s="8"/>
      <c r="AQ319" s="8"/>
      <c r="AR319" s="8"/>
      <c r="AS319" s="8"/>
    </row>
    <row r="320" spans="1:45" x14ac:dyDescent="0.2">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c r="AA320" s="8"/>
      <c r="AB320" s="8"/>
      <c r="AC320" s="8"/>
      <c r="AD320" s="8"/>
      <c r="AE320" s="8"/>
      <c r="AF320" s="8"/>
      <c r="AG320" s="8"/>
      <c r="AH320" s="8"/>
      <c r="AI320" s="8"/>
      <c r="AJ320" s="8"/>
      <c r="AK320" s="8"/>
      <c r="AL320" s="8"/>
      <c r="AM320" s="8"/>
      <c r="AN320" s="8"/>
      <c r="AO320" s="8"/>
      <c r="AP320" s="8"/>
      <c r="AQ320" s="8"/>
      <c r="AR320" s="8"/>
      <c r="AS320" s="8"/>
    </row>
    <row r="321" spans="1:45" x14ac:dyDescent="0.2">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c r="AA321" s="8"/>
      <c r="AB321" s="8"/>
      <c r="AC321" s="8"/>
      <c r="AD321" s="8"/>
      <c r="AE321" s="8"/>
      <c r="AF321" s="8"/>
      <c r="AG321" s="8"/>
      <c r="AH321" s="8"/>
      <c r="AI321" s="8"/>
      <c r="AJ321" s="8"/>
      <c r="AK321" s="8"/>
      <c r="AL321" s="8"/>
      <c r="AM321" s="8"/>
      <c r="AN321" s="8"/>
      <c r="AO321" s="8"/>
      <c r="AP321" s="8"/>
      <c r="AQ321" s="8"/>
      <c r="AR321" s="8"/>
      <c r="AS321" s="8"/>
    </row>
    <row r="322" spans="1:45" x14ac:dyDescent="0.2">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c r="AA322" s="8"/>
      <c r="AB322" s="8"/>
      <c r="AC322" s="8"/>
      <c r="AD322" s="8"/>
      <c r="AE322" s="8"/>
      <c r="AF322" s="8"/>
      <c r="AG322" s="8"/>
      <c r="AH322" s="8"/>
      <c r="AI322" s="8"/>
      <c r="AJ322" s="8"/>
      <c r="AK322" s="8"/>
      <c r="AL322" s="8"/>
      <c r="AM322" s="8"/>
      <c r="AN322" s="8"/>
      <c r="AO322" s="8"/>
      <c r="AP322" s="8"/>
      <c r="AQ322" s="8"/>
      <c r="AR322" s="8"/>
      <c r="AS322" s="8"/>
    </row>
    <row r="323" spans="1:45" x14ac:dyDescent="0.2">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c r="AA323" s="8"/>
      <c r="AB323" s="8"/>
      <c r="AC323" s="8"/>
      <c r="AD323" s="8"/>
      <c r="AE323" s="8"/>
      <c r="AF323" s="8"/>
      <c r="AG323" s="8"/>
      <c r="AH323" s="8"/>
      <c r="AI323" s="8"/>
      <c r="AJ323" s="8"/>
      <c r="AK323" s="8"/>
      <c r="AL323" s="8"/>
      <c r="AM323" s="8"/>
      <c r="AN323" s="8"/>
      <c r="AO323" s="8"/>
      <c r="AP323" s="8"/>
      <c r="AQ323" s="8"/>
      <c r="AR323" s="8"/>
      <c r="AS323" s="8"/>
    </row>
    <row r="324" spans="1:45" x14ac:dyDescent="0.2">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c r="AA324" s="8"/>
      <c r="AB324" s="8"/>
      <c r="AC324" s="8"/>
      <c r="AD324" s="8"/>
      <c r="AE324" s="8"/>
      <c r="AF324" s="8"/>
      <c r="AG324" s="8"/>
      <c r="AH324" s="8"/>
      <c r="AI324" s="8"/>
      <c r="AJ324" s="8"/>
      <c r="AK324" s="8"/>
      <c r="AL324" s="8"/>
      <c r="AM324" s="8"/>
      <c r="AN324" s="8"/>
      <c r="AO324" s="8"/>
      <c r="AP324" s="8"/>
      <c r="AQ324" s="8"/>
      <c r="AR324" s="8"/>
      <c r="AS324" s="8"/>
    </row>
    <row r="325" spans="1:45" x14ac:dyDescent="0.2">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c r="AA325" s="8"/>
      <c r="AB325" s="8"/>
      <c r="AC325" s="8"/>
      <c r="AD325" s="8"/>
      <c r="AE325" s="8"/>
      <c r="AF325" s="8"/>
      <c r="AG325" s="8"/>
      <c r="AH325" s="8"/>
      <c r="AI325" s="8"/>
      <c r="AJ325" s="8"/>
      <c r="AK325" s="8"/>
      <c r="AL325" s="8"/>
      <c r="AM325" s="8"/>
      <c r="AN325" s="8"/>
      <c r="AO325" s="8"/>
      <c r="AP325" s="8"/>
      <c r="AQ325" s="8"/>
      <c r="AR325" s="8"/>
      <c r="AS325" s="8"/>
    </row>
    <row r="326" spans="1:45" x14ac:dyDescent="0.2">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c r="AA326" s="8"/>
      <c r="AB326" s="8"/>
      <c r="AC326" s="8"/>
      <c r="AD326" s="8"/>
      <c r="AE326" s="8"/>
      <c r="AF326" s="8"/>
      <c r="AG326" s="8"/>
      <c r="AH326" s="8"/>
      <c r="AI326" s="8"/>
      <c r="AJ326" s="8"/>
      <c r="AK326" s="8"/>
      <c r="AL326" s="8"/>
      <c r="AM326" s="8"/>
      <c r="AN326" s="8"/>
      <c r="AO326" s="8"/>
      <c r="AP326" s="8"/>
      <c r="AQ326" s="8"/>
      <c r="AR326" s="8"/>
      <c r="AS326" s="8"/>
    </row>
    <row r="327" spans="1:45" x14ac:dyDescent="0.2">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c r="AA327" s="8"/>
      <c r="AB327" s="8"/>
      <c r="AC327" s="8"/>
      <c r="AD327" s="8"/>
      <c r="AE327" s="8"/>
      <c r="AF327" s="8"/>
      <c r="AG327" s="8"/>
      <c r="AH327" s="8"/>
      <c r="AI327" s="8"/>
      <c r="AJ327" s="8"/>
      <c r="AK327" s="8"/>
      <c r="AL327" s="8"/>
      <c r="AM327" s="8"/>
      <c r="AN327" s="8"/>
      <c r="AO327" s="8"/>
      <c r="AP327" s="8"/>
      <c r="AQ327" s="8"/>
      <c r="AR327" s="8"/>
      <c r="AS327" s="8"/>
    </row>
    <row r="328" spans="1:45" x14ac:dyDescent="0.2">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c r="AA328" s="8"/>
      <c r="AB328" s="8"/>
      <c r="AC328" s="8"/>
      <c r="AD328" s="8"/>
      <c r="AE328" s="8"/>
      <c r="AF328" s="8"/>
      <c r="AG328" s="8"/>
      <c r="AH328" s="8"/>
      <c r="AI328" s="8"/>
      <c r="AJ328" s="8"/>
      <c r="AK328" s="8"/>
      <c r="AL328" s="8"/>
      <c r="AM328" s="8"/>
      <c r="AN328" s="8"/>
      <c r="AO328" s="8"/>
      <c r="AP328" s="8"/>
      <c r="AQ328" s="8"/>
      <c r="AR328" s="8"/>
      <c r="AS328" s="8"/>
    </row>
    <row r="329" spans="1:45" x14ac:dyDescent="0.2">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c r="AA329" s="8"/>
      <c r="AB329" s="8"/>
      <c r="AC329" s="8"/>
      <c r="AD329" s="8"/>
      <c r="AE329" s="8"/>
      <c r="AF329" s="8"/>
      <c r="AG329" s="8"/>
      <c r="AH329" s="8"/>
      <c r="AI329" s="8"/>
      <c r="AJ329" s="8"/>
      <c r="AK329" s="8"/>
      <c r="AL329" s="8"/>
      <c r="AM329" s="8"/>
      <c r="AN329" s="8"/>
      <c r="AO329" s="8"/>
      <c r="AP329" s="8"/>
      <c r="AQ329" s="8"/>
      <c r="AR329" s="8"/>
      <c r="AS329" s="8"/>
    </row>
    <row r="330" spans="1:45" x14ac:dyDescent="0.2">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c r="AA330" s="8"/>
      <c r="AB330" s="8"/>
      <c r="AC330" s="8"/>
      <c r="AD330" s="8"/>
      <c r="AE330" s="8"/>
      <c r="AF330" s="8"/>
      <c r="AG330" s="8"/>
      <c r="AH330" s="8"/>
      <c r="AI330" s="8"/>
      <c r="AJ330" s="8"/>
      <c r="AK330" s="8"/>
      <c r="AL330" s="8"/>
      <c r="AM330" s="8"/>
      <c r="AN330" s="8"/>
      <c r="AO330" s="8"/>
      <c r="AP330" s="8"/>
      <c r="AQ330" s="8"/>
      <c r="AR330" s="8"/>
      <c r="AS330" s="8"/>
    </row>
    <row r="331" spans="1:45" x14ac:dyDescent="0.2">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c r="AA331" s="8"/>
      <c r="AB331" s="8"/>
      <c r="AC331" s="8"/>
      <c r="AD331" s="8"/>
      <c r="AE331" s="8"/>
      <c r="AF331" s="8"/>
      <c r="AG331" s="8"/>
      <c r="AH331" s="8"/>
      <c r="AI331" s="8"/>
      <c r="AJ331" s="8"/>
      <c r="AK331" s="8"/>
      <c r="AL331" s="8"/>
      <c r="AM331" s="8"/>
      <c r="AN331" s="8"/>
      <c r="AO331" s="8"/>
      <c r="AP331" s="8"/>
      <c r="AQ331" s="8"/>
      <c r="AR331" s="8"/>
      <c r="AS331" s="8"/>
    </row>
    <row r="332" spans="1:45" x14ac:dyDescent="0.2">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c r="AA332" s="8"/>
      <c r="AB332" s="8"/>
      <c r="AC332" s="8"/>
      <c r="AD332" s="8"/>
      <c r="AE332" s="8"/>
      <c r="AF332" s="8"/>
      <c r="AG332" s="8"/>
      <c r="AH332" s="8"/>
      <c r="AI332" s="8"/>
      <c r="AJ332" s="8"/>
      <c r="AK332" s="8"/>
      <c r="AL332" s="8"/>
      <c r="AM332" s="8"/>
      <c r="AN332" s="8"/>
      <c r="AO332" s="8"/>
      <c r="AP332" s="8"/>
      <c r="AQ332" s="8"/>
      <c r="AR332" s="8"/>
      <c r="AS332" s="8"/>
    </row>
    <row r="333" spans="1:45" x14ac:dyDescent="0.2">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c r="AA333" s="8"/>
      <c r="AB333" s="8"/>
      <c r="AC333" s="8"/>
      <c r="AD333" s="8"/>
      <c r="AE333" s="8"/>
      <c r="AF333" s="8"/>
      <c r="AG333" s="8"/>
      <c r="AH333" s="8"/>
      <c r="AI333" s="8"/>
      <c r="AJ333" s="8"/>
      <c r="AK333" s="8"/>
      <c r="AL333" s="8"/>
      <c r="AM333" s="8"/>
      <c r="AN333" s="8"/>
      <c r="AO333" s="8"/>
      <c r="AP333" s="8"/>
      <c r="AQ333" s="8"/>
      <c r="AR333" s="8"/>
      <c r="AS333" s="8"/>
    </row>
    <row r="334" spans="1:45" x14ac:dyDescent="0.2">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c r="AA334" s="8"/>
      <c r="AB334" s="8"/>
      <c r="AC334" s="8"/>
      <c r="AD334" s="8"/>
      <c r="AE334" s="8"/>
      <c r="AF334" s="8"/>
      <c r="AG334" s="8"/>
      <c r="AH334" s="8"/>
      <c r="AI334" s="8"/>
      <c r="AJ334" s="8"/>
      <c r="AK334" s="8"/>
      <c r="AL334" s="8"/>
      <c r="AM334" s="8"/>
      <c r="AN334" s="8"/>
      <c r="AO334" s="8"/>
      <c r="AP334" s="8"/>
      <c r="AQ334" s="8"/>
      <c r="AR334" s="8"/>
      <c r="AS334" s="8"/>
    </row>
    <row r="335" spans="1:45" x14ac:dyDescent="0.2">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c r="AA335" s="8"/>
      <c r="AB335" s="8"/>
      <c r="AC335" s="8"/>
      <c r="AD335" s="8"/>
      <c r="AE335" s="8"/>
      <c r="AF335" s="8"/>
      <c r="AG335" s="8"/>
      <c r="AH335" s="8"/>
      <c r="AI335" s="8"/>
      <c r="AJ335" s="8"/>
      <c r="AK335" s="8"/>
      <c r="AL335" s="8"/>
      <c r="AM335" s="8"/>
      <c r="AN335" s="8"/>
      <c r="AO335" s="8"/>
      <c r="AP335" s="8"/>
      <c r="AQ335" s="8"/>
      <c r="AR335" s="8"/>
      <c r="AS335" s="8"/>
    </row>
    <row r="336" spans="1:45" x14ac:dyDescent="0.2">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c r="AA336" s="8"/>
      <c r="AB336" s="8"/>
      <c r="AC336" s="8"/>
      <c r="AD336" s="8"/>
      <c r="AE336" s="8"/>
      <c r="AF336" s="8"/>
      <c r="AG336" s="8"/>
      <c r="AH336" s="8"/>
      <c r="AI336" s="8"/>
      <c r="AJ336" s="8"/>
      <c r="AK336" s="8"/>
      <c r="AL336" s="8"/>
      <c r="AM336" s="8"/>
      <c r="AN336" s="8"/>
      <c r="AO336" s="8"/>
      <c r="AP336" s="8"/>
      <c r="AQ336" s="8"/>
      <c r="AR336" s="8"/>
      <c r="AS336" s="8"/>
    </row>
    <row r="337" spans="1:45" x14ac:dyDescent="0.2">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c r="AA337" s="8"/>
      <c r="AB337" s="8"/>
      <c r="AC337" s="8"/>
      <c r="AD337" s="8"/>
      <c r="AE337" s="8"/>
      <c r="AF337" s="8"/>
      <c r="AG337" s="8"/>
      <c r="AH337" s="8"/>
      <c r="AI337" s="8"/>
      <c r="AJ337" s="8"/>
      <c r="AK337" s="8"/>
      <c r="AL337" s="8"/>
      <c r="AM337" s="8"/>
      <c r="AN337" s="8"/>
      <c r="AO337" s="8"/>
      <c r="AP337" s="8"/>
      <c r="AQ337" s="8"/>
      <c r="AR337" s="8"/>
      <c r="AS337" s="8"/>
    </row>
    <row r="338" spans="1:45" x14ac:dyDescent="0.2">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c r="AA338" s="8"/>
      <c r="AB338" s="8"/>
      <c r="AC338" s="8"/>
      <c r="AD338" s="8"/>
      <c r="AE338" s="8"/>
      <c r="AF338" s="8"/>
      <c r="AG338" s="8"/>
      <c r="AH338" s="8"/>
      <c r="AI338" s="8"/>
      <c r="AJ338" s="8"/>
      <c r="AK338" s="8"/>
      <c r="AL338" s="8"/>
      <c r="AM338" s="8"/>
      <c r="AN338" s="8"/>
      <c r="AO338" s="8"/>
      <c r="AP338" s="8"/>
      <c r="AQ338" s="8"/>
      <c r="AR338" s="8"/>
      <c r="AS338" s="8"/>
    </row>
    <row r="339" spans="1:45" x14ac:dyDescent="0.2">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c r="AA339" s="8"/>
      <c r="AB339" s="8"/>
      <c r="AC339" s="8"/>
      <c r="AD339" s="8"/>
      <c r="AE339" s="8"/>
      <c r="AF339" s="8"/>
      <c r="AG339" s="8"/>
      <c r="AH339" s="8"/>
      <c r="AI339" s="8"/>
      <c r="AJ339" s="8"/>
      <c r="AK339" s="8"/>
      <c r="AL339" s="8"/>
      <c r="AM339" s="8"/>
      <c r="AN339" s="8"/>
      <c r="AO339" s="8"/>
      <c r="AP339" s="8"/>
      <c r="AQ339" s="8"/>
      <c r="AR339" s="8"/>
      <c r="AS339" s="8"/>
    </row>
    <row r="340" spans="1:45" x14ac:dyDescent="0.2">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c r="AA340" s="8"/>
      <c r="AB340" s="8"/>
      <c r="AC340" s="8"/>
      <c r="AD340" s="8"/>
      <c r="AE340" s="8"/>
      <c r="AF340" s="8"/>
      <c r="AG340" s="8"/>
      <c r="AH340" s="8"/>
      <c r="AI340" s="8"/>
      <c r="AJ340" s="8"/>
      <c r="AK340" s="8"/>
      <c r="AL340" s="8"/>
      <c r="AM340" s="8"/>
      <c r="AN340" s="8"/>
      <c r="AO340" s="8"/>
      <c r="AP340" s="8"/>
      <c r="AQ340" s="8"/>
      <c r="AR340" s="8"/>
      <c r="AS340" s="8"/>
    </row>
    <row r="341" spans="1:45" x14ac:dyDescent="0.2">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c r="AA341" s="8"/>
      <c r="AB341" s="8"/>
      <c r="AC341" s="8"/>
      <c r="AD341" s="8"/>
      <c r="AE341" s="8"/>
      <c r="AF341" s="8"/>
      <c r="AG341" s="8"/>
      <c r="AH341" s="8"/>
      <c r="AI341" s="8"/>
      <c r="AJ341" s="8"/>
      <c r="AK341" s="8"/>
      <c r="AL341" s="8"/>
      <c r="AM341" s="8"/>
      <c r="AN341" s="8"/>
      <c r="AO341" s="8"/>
      <c r="AP341" s="8"/>
      <c r="AQ341" s="8"/>
      <c r="AR341" s="8"/>
      <c r="AS341" s="8"/>
    </row>
    <row r="342" spans="1:45" x14ac:dyDescent="0.2">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c r="AA342" s="8"/>
      <c r="AB342" s="8"/>
      <c r="AC342" s="8"/>
      <c r="AD342" s="8"/>
      <c r="AE342" s="8"/>
      <c r="AF342" s="8"/>
      <c r="AG342" s="8"/>
      <c r="AH342" s="8"/>
      <c r="AI342" s="8"/>
      <c r="AJ342" s="8"/>
      <c r="AK342" s="8"/>
      <c r="AL342" s="8"/>
      <c r="AM342" s="8"/>
      <c r="AN342" s="8"/>
      <c r="AO342" s="8"/>
      <c r="AP342" s="8"/>
      <c r="AQ342" s="8"/>
      <c r="AR342" s="8"/>
      <c r="AS342" s="8"/>
    </row>
    <row r="343" spans="1:45" x14ac:dyDescent="0.2">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c r="AA343" s="8"/>
      <c r="AB343" s="8"/>
      <c r="AC343" s="8"/>
      <c r="AD343" s="8"/>
      <c r="AE343" s="8"/>
      <c r="AF343" s="8"/>
      <c r="AG343" s="8"/>
      <c r="AH343" s="8"/>
      <c r="AI343" s="8"/>
      <c r="AJ343" s="8"/>
      <c r="AK343" s="8"/>
      <c r="AL343" s="8"/>
      <c r="AM343" s="8"/>
      <c r="AN343" s="8"/>
      <c r="AO343" s="8"/>
      <c r="AP343" s="8"/>
      <c r="AQ343" s="8"/>
      <c r="AR343" s="8"/>
      <c r="AS343" s="8"/>
    </row>
    <row r="344" spans="1:45" x14ac:dyDescent="0.2">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c r="AA344" s="8"/>
      <c r="AB344" s="8"/>
      <c r="AC344" s="8"/>
      <c r="AD344" s="8"/>
      <c r="AE344" s="8"/>
      <c r="AF344" s="8"/>
      <c r="AG344" s="8"/>
      <c r="AH344" s="8"/>
      <c r="AI344" s="8"/>
      <c r="AJ344" s="8"/>
      <c r="AK344" s="8"/>
      <c r="AL344" s="8"/>
      <c r="AM344" s="8"/>
      <c r="AN344" s="8"/>
      <c r="AO344" s="8"/>
      <c r="AP344" s="8"/>
      <c r="AQ344" s="8"/>
      <c r="AR344" s="8"/>
      <c r="AS344" s="8"/>
    </row>
    <row r="345" spans="1:45" x14ac:dyDescent="0.2">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c r="AA345" s="8"/>
      <c r="AB345" s="8"/>
      <c r="AC345" s="8"/>
      <c r="AD345" s="8"/>
      <c r="AE345" s="8"/>
      <c r="AF345" s="8"/>
      <c r="AG345" s="8"/>
      <c r="AH345" s="8"/>
      <c r="AI345" s="8"/>
      <c r="AJ345" s="8"/>
      <c r="AK345" s="8"/>
      <c r="AL345" s="8"/>
      <c r="AM345" s="8"/>
      <c r="AN345" s="8"/>
      <c r="AO345" s="8"/>
      <c r="AP345" s="8"/>
      <c r="AQ345" s="8"/>
      <c r="AR345" s="8"/>
      <c r="AS345" s="8"/>
    </row>
    <row r="346" spans="1:45" x14ac:dyDescent="0.2">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c r="AA346" s="8"/>
      <c r="AB346" s="8"/>
      <c r="AC346" s="8"/>
      <c r="AD346" s="8"/>
      <c r="AE346" s="8"/>
      <c r="AF346" s="8"/>
      <c r="AG346" s="8"/>
      <c r="AH346" s="8"/>
      <c r="AI346" s="8"/>
      <c r="AJ346" s="8"/>
      <c r="AK346" s="8"/>
      <c r="AL346" s="8"/>
      <c r="AM346" s="8"/>
      <c r="AN346" s="8"/>
      <c r="AO346" s="8"/>
      <c r="AP346" s="8"/>
      <c r="AQ346" s="8"/>
      <c r="AR346" s="8"/>
      <c r="AS346" s="8"/>
    </row>
    <row r="347" spans="1:45" x14ac:dyDescent="0.2">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c r="AA347" s="8"/>
      <c r="AB347" s="8"/>
      <c r="AC347" s="8"/>
      <c r="AD347" s="8"/>
      <c r="AE347" s="8"/>
      <c r="AF347" s="8"/>
      <c r="AG347" s="8"/>
      <c r="AH347" s="8"/>
      <c r="AI347" s="8"/>
      <c r="AJ347" s="8"/>
      <c r="AK347" s="8"/>
      <c r="AL347" s="8"/>
      <c r="AM347" s="8"/>
      <c r="AN347" s="8"/>
      <c r="AO347" s="8"/>
      <c r="AP347" s="8"/>
      <c r="AQ347" s="8"/>
      <c r="AR347" s="8"/>
      <c r="AS347" s="8"/>
    </row>
    <row r="348" spans="1:45" x14ac:dyDescent="0.2">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c r="AA348" s="8"/>
      <c r="AB348" s="8"/>
      <c r="AC348" s="8"/>
      <c r="AD348" s="8"/>
      <c r="AE348" s="8"/>
      <c r="AF348" s="8"/>
      <c r="AG348" s="8"/>
      <c r="AH348" s="8"/>
      <c r="AI348" s="8"/>
      <c r="AJ348" s="8"/>
      <c r="AK348" s="8"/>
      <c r="AL348" s="8"/>
      <c r="AM348" s="8"/>
      <c r="AN348" s="8"/>
      <c r="AO348" s="8"/>
      <c r="AP348" s="8"/>
      <c r="AQ348" s="8"/>
      <c r="AR348" s="8"/>
      <c r="AS348" s="8"/>
    </row>
    <row r="349" spans="1:45" x14ac:dyDescent="0.2">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c r="AA349" s="8"/>
      <c r="AB349" s="8"/>
      <c r="AC349" s="8"/>
      <c r="AD349" s="8"/>
      <c r="AE349" s="8"/>
      <c r="AF349" s="8"/>
      <c r="AG349" s="8"/>
      <c r="AH349" s="8"/>
      <c r="AI349" s="8"/>
      <c r="AJ349" s="8"/>
      <c r="AK349" s="8"/>
      <c r="AL349" s="8"/>
      <c r="AM349" s="8"/>
      <c r="AN349" s="8"/>
      <c r="AO349" s="8"/>
      <c r="AP349" s="8"/>
      <c r="AQ349" s="8"/>
      <c r="AR349" s="8"/>
      <c r="AS349" s="8"/>
    </row>
    <row r="350" spans="1:45" x14ac:dyDescent="0.2">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c r="AA350" s="8"/>
      <c r="AB350" s="8"/>
      <c r="AC350" s="8"/>
      <c r="AD350" s="8"/>
      <c r="AE350" s="8"/>
      <c r="AF350" s="8"/>
      <c r="AG350" s="8"/>
      <c r="AH350" s="8"/>
      <c r="AI350" s="8"/>
      <c r="AJ350" s="8"/>
      <c r="AK350" s="8"/>
      <c r="AL350" s="8"/>
      <c r="AM350" s="8"/>
      <c r="AN350" s="8"/>
      <c r="AO350" s="8"/>
      <c r="AP350" s="8"/>
      <c r="AQ350" s="8"/>
      <c r="AR350" s="8"/>
      <c r="AS350" s="8"/>
    </row>
    <row r="351" spans="1:45" x14ac:dyDescent="0.2">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c r="AA351" s="8"/>
      <c r="AB351" s="8"/>
      <c r="AC351" s="8"/>
      <c r="AD351" s="8"/>
      <c r="AE351" s="8"/>
      <c r="AF351" s="8"/>
      <c r="AG351" s="8"/>
      <c r="AH351" s="8"/>
      <c r="AI351" s="8"/>
      <c r="AJ351" s="8"/>
      <c r="AK351" s="8"/>
      <c r="AL351" s="8"/>
      <c r="AM351" s="8"/>
      <c r="AN351" s="8"/>
      <c r="AO351" s="8"/>
      <c r="AP351" s="8"/>
      <c r="AQ351" s="8"/>
      <c r="AR351" s="8"/>
      <c r="AS351" s="8"/>
    </row>
    <row r="352" spans="1:45" x14ac:dyDescent="0.2">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c r="AA352" s="8"/>
      <c r="AB352" s="8"/>
      <c r="AC352" s="8"/>
      <c r="AD352" s="8"/>
      <c r="AE352" s="8"/>
      <c r="AF352" s="8"/>
      <c r="AG352" s="8"/>
      <c r="AH352" s="8"/>
      <c r="AI352" s="8"/>
      <c r="AJ352" s="8"/>
      <c r="AK352" s="8"/>
      <c r="AL352" s="8"/>
      <c r="AM352" s="8"/>
      <c r="AN352" s="8"/>
      <c r="AO352" s="8"/>
      <c r="AP352" s="8"/>
      <c r="AQ352" s="8"/>
      <c r="AR352" s="8"/>
      <c r="AS352" s="8"/>
    </row>
    <row r="353" spans="1:45" x14ac:dyDescent="0.2">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c r="AA353" s="8"/>
      <c r="AB353" s="8"/>
      <c r="AC353" s="8"/>
      <c r="AD353" s="8"/>
      <c r="AE353" s="8"/>
      <c r="AF353" s="8"/>
      <c r="AG353" s="8"/>
      <c r="AH353" s="8"/>
      <c r="AI353" s="8"/>
      <c r="AJ353" s="8"/>
      <c r="AK353" s="8"/>
      <c r="AL353" s="8"/>
      <c r="AM353" s="8"/>
      <c r="AN353" s="8"/>
      <c r="AO353" s="8"/>
      <c r="AP353" s="8"/>
      <c r="AQ353" s="8"/>
      <c r="AR353" s="8"/>
      <c r="AS353" s="8"/>
    </row>
    <row r="354" spans="1:45" x14ac:dyDescent="0.2">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c r="AA354" s="8"/>
      <c r="AB354" s="8"/>
      <c r="AC354" s="8"/>
      <c r="AD354" s="8"/>
      <c r="AE354" s="8"/>
      <c r="AF354" s="8"/>
      <c r="AG354" s="8"/>
      <c r="AH354" s="8"/>
      <c r="AI354" s="8"/>
      <c r="AJ354" s="8"/>
      <c r="AK354" s="8"/>
      <c r="AL354" s="8"/>
      <c r="AM354" s="8"/>
      <c r="AN354" s="8"/>
      <c r="AO354" s="8"/>
      <c r="AP354" s="8"/>
      <c r="AQ354" s="8"/>
      <c r="AR354" s="8"/>
      <c r="AS354" s="8"/>
    </row>
    <row r="355" spans="1:45" x14ac:dyDescent="0.2">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c r="AA355" s="8"/>
      <c r="AB355" s="8"/>
      <c r="AC355" s="8"/>
      <c r="AD355" s="8"/>
      <c r="AE355" s="8"/>
      <c r="AF355" s="8"/>
      <c r="AG355" s="8"/>
      <c r="AH355" s="8"/>
      <c r="AI355" s="8"/>
      <c r="AJ355" s="8"/>
      <c r="AK355" s="8"/>
      <c r="AL355" s="8"/>
      <c r="AM355" s="8"/>
      <c r="AN355" s="8"/>
      <c r="AO355" s="8"/>
      <c r="AP355" s="8"/>
      <c r="AQ355" s="8"/>
      <c r="AR355" s="8"/>
      <c r="AS355" s="8"/>
    </row>
    <row r="356" spans="1:45" x14ac:dyDescent="0.2">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c r="AA356" s="8"/>
      <c r="AB356" s="8"/>
      <c r="AC356" s="8"/>
      <c r="AD356" s="8"/>
      <c r="AE356" s="8"/>
      <c r="AF356" s="8"/>
      <c r="AG356" s="8"/>
      <c r="AH356" s="8"/>
      <c r="AI356" s="8"/>
      <c r="AJ356" s="8"/>
      <c r="AK356" s="8"/>
      <c r="AL356" s="8"/>
      <c r="AM356" s="8"/>
      <c r="AN356" s="8"/>
      <c r="AO356" s="8"/>
      <c r="AP356" s="8"/>
      <c r="AQ356" s="8"/>
      <c r="AR356" s="8"/>
      <c r="AS356" s="8"/>
    </row>
    <row r="357" spans="1:45" x14ac:dyDescent="0.2">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c r="AA357" s="8"/>
      <c r="AB357" s="8"/>
      <c r="AC357" s="8"/>
      <c r="AD357" s="8"/>
      <c r="AE357" s="8"/>
      <c r="AF357" s="8"/>
      <c r="AG357" s="8"/>
      <c r="AH357" s="8"/>
      <c r="AI357" s="8"/>
      <c r="AJ357" s="8"/>
      <c r="AK357" s="8"/>
      <c r="AL357" s="8"/>
      <c r="AM357" s="8"/>
      <c r="AN357" s="8"/>
      <c r="AO357" s="8"/>
      <c r="AP357" s="8"/>
      <c r="AQ357" s="8"/>
      <c r="AR357" s="8"/>
      <c r="AS357" s="8"/>
    </row>
    <row r="358" spans="1:45" x14ac:dyDescent="0.2">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c r="AA358" s="8"/>
      <c r="AB358" s="8"/>
      <c r="AC358" s="8"/>
      <c r="AD358" s="8"/>
      <c r="AE358" s="8"/>
      <c r="AF358" s="8"/>
      <c r="AG358" s="8"/>
      <c r="AH358" s="8"/>
      <c r="AI358" s="8"/>
      <c r="AJ358" s="8"/>
      <c r="AK358" s="8"/>
      <c r="AL358" s="8"/>
      <c r="AM358" s="8"/>
      <c r="AN358" s="8"/>
      <c r="AO358" s="8"/>
      <c r="AP358" s="8"/>
      <c r="AQ358" s="8"/>
      <c r="AR358" s="8"/>
      <c r="AS358" s="8"/>
    </row>
    <row r="359" spans="1:45" x14ac:dyDescent="0.2">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c r="AA359" s="8"/>
      <c r="AB359" s="8"/>
      <c r="AC359" s="8"/>
      <c r="AD359" s="8"/>
      <c r="AE359" s="8"/>
      <c r="AF359" s="8"/>
      <c r="AG359" s="8"/>
      <c r="AH359" s="8"/>
      <c r="AI359" s="8"/>
      <c r="AJ359" s="8"/>
      <c r="AK359" s="8"/>
      <c r="AL359" s="8"/>
      <c r="AM359" s="8"/>
      <c r="AN359" s="8"/>
      <c r="AO359" s="8"/>
      <c r="AP359" s="8"/>
      <c r="AQ359" s="8"/>
      <c r="AR359" s="8"/>
      <c r="AS359" s="8"/>
    </row>
    <row r="360" spans="1:45" x14ac:dyDescent="0.2">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c r="AA360" s="8"/>
      <c r="AB360" s="8"/>
      <c r="AC360" s="8"/>
      <c r="AD360" s="8"/>
      <c r="AE360" s="8"/>
      <c r="AF360" s="8"/>
      <c r="AG360" s="8"/>
      <c r="AH360" s="8"/>
      <c r="AI360" s="8"/>
      <c r="AJ360" s="8"/>
      <c r="AK360" s="8"/>
      <c r="AL360" s="8"/>
      <c r="AM360" s="8"/>
      <c r="AN360" s="8"/>
      <c r="AO360" s="8"/>
      <c r="AP360" s="8"/>
      <c r="AQ360" s="8"/>
      <c r="AR360" s="8"/>
      <c r="AS360" s="8"/>
    </row>
    <row r="361" spans="1:45" x14ac:dyDescent="0.2">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c r="AA361" s="8"/>
      <c r="AB361" s="8"/>
      <c r="AC361" s="8"/>
      <c r="AD361" s="8"/>
      <c r="AE361" s="8"/>
      <c r="AF361" s="8"/>
      <c r="AG361" s="8"/>
      <c r="AH361" s="8"/>
      <c r="AI361" s="8"/>
      <c r="AJ361" s="8"/>
      <c r="AK361" s="8"/>
      <c r="AL361" s="8"/>
      <c r="AM361" s="8"/>
      <c r="AN361" s="8"/>
      <c r="AO361" s="8"/>
      <c r="AP361" s="8"/>
      <c r="AQ361" s="8"/>
      <c r="AR361" s="8"/>
      <c r="AS361" s="8"/>
    </row>
    <row r="362" spans="1:45" x14ac:dyDescent="0.2">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c r="AA362" s="8"/>
      <c r="AB362" s="8"/>
      <c r="AC362" s="8"/>
      <c r="AD362" s="8"/>
      <c r="AE362" s="8"/>
      <c r="AF362" s="8"/>
      <c r="AG362" s="8"/>
      <c r="AH362" s="8"/>
      <c r="AI362" s="8"/>
      <c r="AJ362" s="8"/>
      <c r="AK362" s="8"/>
      <c r="AL362" s="8"/>
      <c r="AM362" s="8"/>
      <c r="AN362" s="8"/>
      <c r="AO362" s="8"/>
      <c r="AP362" s="8"/>
      <c r="AQ362" s="8"/>
      <c r="AR362" s="8"/>
      <c r="AS362" s="8"/>
    </row>
    <row r="363" spans="1:45" x14ac:dyDescent="0.2">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c r="AA363" s="8"/>
      <c r="AB363" s="8"/>
      <c r="AC363" s="8"/>
      <c r="AD363" s="8"/>
      <c r="AE363" s="8"/>
      <c r="AF363" s="8"/>
      <c r="AG363" s="8"/>
      <c r="AH363" s="8"/>
      <c r="AI363" s="8"/>
      <c r="AJ363" s="8"/>
      <c r="AK363" s="8"/>
      <c r="AL363" s="8"/>
      <c r="AM363" s="8"/>
      <c r="AN363" s="8"/>
      <c r="AO363" s="8"/>
      <c r="AP363" s="8"/>
      <c r="AQ363" s="8"/>
      <c r="AR363" s="8"/>
      <c r="AS363" s="8"/>
    </row>
    <row r="364" spans="1:45" x14ac:dyDescent="0.2">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c r="AA364" s="8"/>
      <c r="AB364" s="8"/>
      <c r="AC364" s="8"/>
      <c r="AD364" s="8"/>
      <c r="AE364" s="8"/>
      <c r="AF364" s="8"/>
      <c r="AG364" s="8"/>
      <c r="AH364" s="8"/>
      <c r="AI364" s="8"/>
      <c r="AJ364" s="8"/>
      <c r="AK364" s="8"/>
      <c r="AL364" s="8"/>
      <c r="AM364" s="8"/>
      <c r="AN364" s="8"/>
      <c r="AO364" s="8"/>
      <c r="AP364" s="8"/>
      <c r="AQ364" s="8"/>
      <c r="AR364" s="8"/>
      <c r="AS364" s="8"/>
    </row>
    <row r="365" spans="1:45" x14ac:dyDescent="0.2">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c r="AA365" s="8"/>
      <c r="AB365" s="8"/>
      <c r="AC365" s="8"/>
      <c r="AD365" s="8"/>
      <c r="AE365" s="8"/>
      <c r="AF365" s="8"/>
      <c r="AG365" s="8"/>
      <c r="AH365" s="8"/>
      <c r="AI365" s="8"/>
      <c r="AJ365" s="8"/>
      <c r="AK365" s="8"/>
      <c r="AL365" s="8"/>
      <c r="AM365" s="8"/>
      <c r="AN365" s="8"/>
      <c r="AO365" s="8"/>
      <c r="AP365" s="8"/>
      <c r="AQ365" s="8"/>
      <c r="AR365" s="8"/>
      <c r="AS365" s="8"/>
    </row>
    <row r="366" spans="1:45" x14ac:dyDescent="0.2">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c r="AA366" s="8"/>
      <c r="AB366" s="8"/>
      <c r="AC366" s="8"/>
      <c r="AD366" s="8"/>
      <c r="AE366" s="8"/>
      <c r="AF366" s="8"/>
      <c r="AG366" s="8"/>
      <c r="AH366" s="8"/>
      <c r="AI366" s="8"/>
      <c r="AJ366" s="8"/>
      <c r="AK366" s="8"/>
      <c r="AL366" s="8"/>
      <c r="AM366" s="8"/>
      <c r="AN366" s="8"/>
      <c r="AO366" s="8"/>
      <c r="AP366" s="8"/>
      <c r="AQ366" s="8"/>
      <c r="AR366" s="8"/>
      <c r="AS366" s="8"/>
    </row>
    <row r="367" spans="1:45" x14ac:dyDescent="0.2">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c r="AA367" s="8"/>
      <c r="AB367" s="8"/>
      <c r="AC367" s="8"/>
      <c r="AD367" s="8"/>
      <c r="AE367" s="8"/>
      <c r="AF367" s="8"/>
      <c r="AG367" s="8"/>
      <c r="AH367" s="8"/>
      <c r="AI367" s="8"/>
      <c r="AJ367" s="8"/>
      <c r="AK367" s="8"/>
      <c r="AL367" s="8"/>
      <c r="AM367" s="8"/>
      <c r="AN367" s="8"/>
      <c r="AO367" s="8"/>
      <c r="AP367" s="8"/>
      <c r="AQ367" s="8"/>
      <c r="AR367" s="8"/>
      <c r="AS367" s="8"/>
    </row>
    <row r="368" spans="1:45" x14ac:dyDescent="0.2">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c r="AA368" s="8"/>
      <c r="AB368" s="8"/>
      <c r="AC368" s="8"/>
      <c r="AD368" s="8"/>
      <c r="AE368" s="8"/>
      <c r="AF368" s="8"/>
      <c r="AG368" s="8"/>
      <c r="AH368" s="8"/>
      <c r="AI368" s="8"/>
      <c r="AJ368" s="8"/>
      <c r="AK368" s="8"/>
      <c r="AL368" s="8"/>
      <c r="AM368" s="8"/>
      <c r="AN368" s="8"/>
      <c r="AO368" s="8"/>
      <c r="AP368" s="8"/>
      <c r="AQ368" s="8"/>
      <c r="AR368" s="8"/>
      <c r="AS368" s="8"/>
    </row>
    <row r="369" spans="1:45" x14ac:dyDescent="0.2">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c r="AA369" s="8"/>
      <c r="AB369" s="8"/>
      <c r="AC369" s="8"/>
      <c r="AD369" s="8"/>
      <c r="AE369" s="8"/>
      <c r="AF369" s="8"/>
      <c r="AG369" s="8"/>
      <c r="AH369" s="8"/>
      <c r="AI369" s="8"/>
      <c r="AJ369" s="8"/>
      <c r="AK369" s="8"/>
      <c r="AL369" s="8"/>
      <c r="AM369" s="8"/>
      <c r="AN369" s="8"/>
      <c r="AO369" s="8"/>
      <c r="AP369" s="8"/>
      <c r="AQ369" s="8"/>
      <c r="AR369" s="8"/>
      <c r="AS369" s="8"/>
    </row>
    <row r="370" spans="1:45" x14ac:dyDescent="0.2">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c r="AA370" s="8"/>
      <c r="AB370" s="8"/>
      <c r="AC370" s="8"/>
      <c r="AD370" s="8"/>
      <c r="AE370" s="8"/>
      <c r="AF370" s="8"/>
      <c r="AG370" s="8"/>
      <c r="AH370" s="8"/>
      <c r="AI370" s="8"/>
      <c r="AJ370" s="8"/>
      <c r="AK370" s="8"/>
      <c r="AL370" s="8"/>
      <c r="AM370" s="8"/>
      <c r="AN370" s="8"/>
      <c r="AO370" s="8"/>
      <c r="AP370" s="8"/>
      <c r="AQ370" s="8"/>
      <c r="AR370" s="8"/>
      <c r="AS370" s="8"/>
    </row>
    <row r="371" spans="1:45" x14ac:dyDescent="0.2">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c r="AA371" s="8"/>
      <c r="AB371" s="8"/>
      <c r="AC371" s="8"/>
      <c r="AD371" s="8"/>
      <c r="AE371" s="8"/>
      <c r="AF371" s="8"/>
      <c r="AG371" s="8"/>
      <c r="AH371" s="8"/>
      <c r="AI371" s="8"/>
      <c r="AJ371" s="8"/>
      <c r="AK371" s="8"/>
      <c r="AL371" s="8"/>
      <c r="AM371" s="8"/>
      <c r="AN371" s="8"/>
      <c r="AO371" s="8"/>
      <c r="AP371" s="8"/>
      <c r="AQ371" s="8"/>
      <c r="AR371" s="8"/>
      <c r="AS371" s="8"/>
    </row>
    <row r="372" spans="1:45" x14ac:dyDescent="0.2">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c r="AA372" s="8"/>
      <c r="AB372" s="8"/>
      <c r="AC372" s="8"/>
      <c r="AD372" s="8"/>
      <c r="AE372" s="8"/>
      <c r="AF372" s="8"/>
      <c r="AG372" s="8"/>
      <c r="AH372" s="8"/>
      <c r="AI372" s="8"/>
      <c r="AJ372" s="8"/>
      <c r="AK372" s="8"/>
      <c r="AL372" s="8"/>
      <c r="AM372" s="8"/>
      <c r="AN372" s="8"/>
      <c r="AO372" s="8"/>
      <c r="AP372" s="8"/>
      <c r="AQ372" s="8"/>
      <c r="AR372" s="8"/>
      <c r="AS372" s="8"/>
    </row>
    <row r="373" spans="1:45" x14ac:dyDescent="0.2">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c r="AA373" s="8"/>
      <c r="AB373" s="8"/>
      <c r="AC373" s="8"/>
      <c r="AD373" s="8"/>
      <c r="AE373" s="8"/>
      <c r="AF373" s="8"/>
      <c r="AG373" s="8"/>
      <c r="AH373" s="8"/>
      <c r="AI373" s="8"/>
      <c r="AJ373" s="8"/>
      <c r="AK373" s="8"/>
      <c r="AL373" s="8"/>
      <c r="AM373" s="8"/>
      <c r="AN373" s="8"/>
      <c r="AO373" s="8"/>
      <c r="AP373" s="8"/>
      <c r="AQ373" s="8"/>
      <c r="AR373" s="8"/>
      <c r="AS373" s="8"/>
    </row>
    <row r="374" spans="1:45" x14ac:dyDescent="0.2">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c r="AA374" s="8"/>
      <c r="AB374" s="8"/>
      <c r="AC374" s="8"/>
      <c r="AD374" s="8"/>
      <c r="AE374" s="8"/>
      <c r="AF374" s="8"/>
      <c r="AG374" s="8"/>
      <c r="AH374" s="8"/>
      <c r="AI374" s="8"/>
      <c r="AJ374" s="8"/>
      <c r="AK374" s="8"/>
      <c r="AL374" s="8"/>
      <c r="AM374" s="8"/>
      <c r="AN374" s="8"/>
      <c r="AO374" s="8"/>
      <c r="AP374" s="8"/>
      <c r="AQ374" s="8"/>
      <c r="AR374" s="8"/>
      <c r="AS374" s="8"/>
    </row>
    <row r="375" spans="1:45" x14ac:dyDescent="0.2">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c r="AA375" s="8"/>
      <c r="AB375" s="8"/>
      <c r="AC375" s="8"/>
      <c r="AD375" s="8"/>
      <c r="AE375" s="8"/>
      <c r="AF375" s="8"/>
      <c r="AG375" s="8"/>
      <c r="AH375" s="8"/>
      <c r="AI375" s="8"/>
      <c r="AJ375" s="8"/>
      <c r="AK375" s="8"/>
      <c r="AL375" s="8"/>
      <c r="AM375" s="8"/>
      <c r="AN375" s="8"/>
      <c r="AO375" s="8"/>
      <c r="AP375" s="8"/>
      <c r="AQ375" s="8"/>
      <c r="AR375" s="8"/>
      <c r="AS375" s="8"/>
    </row>
    <row r="376" spans="1:45" x14ac:dyDescent="0.2">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c r="AA376" s="8"/>
      <c r="AB376" s="8"/>
      <c r="AC376" s="8"/>
      <c r="AD376" s="8"/>
      <c r="AE376" s="8"/>
      <c r="AF376" s="8"/>
      <c r="AG376" s="8"/>
      <c r="AH376" s="8"/>
      <c r="AI376" s="8"/>
      <c r="AJ376" s="8"/>
      <c r="AK376" s="8"/>
      <c r="AL376" s="8"/>
      <c r="AM376" s="8"/>
      <c r="AN376" s="8"/>
      <c r="AO376" s="8"/>
      <c r="AP376" s="8"/>
      <c r="AQ376" s="8"/>
      <c r="AR376" s="8"/>
      <c r="AS376" s="8"/>
    </row>
    <row r="377" spans="1:45" x14ac:dyDescent="0.2">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c r="AA377" s="8"/>
      <c r="AB377" s="8"/>
      <c r="AC377" s="8"/>
      <c r="AD377" s="8"/>
      <c r="AE377" s="8"/>
      <c r="AF377" s="8"/>
      <c r="AG377" s="8"/>
      <c r="AH377" s="8"/>
      <c r="AI377" s="8"/>
      <c r="AJ377" s="8"/>
      <c r="AK377" s="8"/>
      <c r="AL377" s="8"/>
      <c r="AM377" s="8"/>
      <c r="AN377" s="8"/>
      <c r="AO377" s="8"/>
      <c r="AP377" s="8"/>
      <c r="AQ377" s="8"/>
      <c r="AR377" s="8"/>
      <c r="AS377" s="8"/>
    </row>
    <row r="378" spans="1:45" x14ac:dyDescent="0.2">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c r="AA378" s="8"/>
      <c r="AB378" s="8"/>
      <c r="AC378" s="8"/>
      <c r="AD378" s="8"/>
      <c r="AE378" s="8"/>
      <c r="AF378" s="8"/>
      <c r="AG378" s="8"/>
      <c r="AH378" s="8"/>
      <c r="AI378" s="8"/>
      <c r="AJ378" s="8"/>
      <c r="AK378" s="8"/>
      <c r="AL378" s="8"/>
      <c r="AM378" s="8"/>
      <c r="AN378" s="8"/>
      <c r="AO378" s="8"/>
      <c r="AP378" s="8"/>
      <c r="AQ378" s="8"/>
      <c r="AR378" s="8"/>
      <c r="AS378" s="8"/>
    </row>
    <row r="379" spans="1:45" x14ac:dyDescent="0.2">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c r="AA379" s="8"/>
      <c r="AB379" s="8"/>
      <c r="AC379" s="8"/>
      <c r="AD379" s="8"/>
      <c r="AE379" s="8"/>
      <c r="AF379" s="8"/>
      <c r="AG379" s="8"/>
      <c r="AH379" s="8"/>
      <c r="AI379" s="8"/>
      <c r="AJ379" s="8"/>
      <c r="AK379" s="8"/>
      <c r="AL379" s="8"/>
      <c r="AM379" s="8"/>
      <c r="AN379" s="8"/>
      <c r="AO379" s="8"/>
      <c r="AP379" s="8"/>
      <c r="AQ379" s="8"/>
      <c r="AR379" s="8"/>
      <c r="AS379" s="8"/>
    </row>
    <row r="380" spans="1:45" x14ac:dyDescent="0.2">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c r="AA380" s="8"/>
      <c r="AB380" s="8"/>
      <c r="AC380" s="8"/>
      <c r="AD380" s="8"/>
      <c r="AE380" s="8"/>
      <c r="AF380" s="8"/>
      <c r="AG380" s="8"/>
      <c r="AH380" s="8"/>
      <c r="AI380" s="8"/>
      <c r="AJ380" s="8"/>
      <c r="AK380" s="8"/>
      <c r="AL380" s="8"/>
      <c r="AM380" s="8"/>
      <c r="AN380" s="8"/>
      <c r="AO380" s="8"/>
      <c r="AP380" s="8"/>
      <c r="AQ380" s="8"/>
      <c r="AR380" s="8"/>
      <c r="AS380" s="8"/>
    </row>
    <row r="381" spans="1:45" x14ac:dyDescent="0.2">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c r="AA381" s="8"/>
      <c r="AB381" s="8"/>
      <c r="AC381" s="8"/>
      <c r="AD381" s="8"/>
      <c r="AE381" s="8"/>
      <c r="AF381" s="8"/>
      <c r="AG381" s="8"/>
      <c r="AH381" s="8"/>
      <c r="AI381" s="8"/>
      <c r="AJ381" s="8"/>
      <c r="AK381" s="8"/>
      <c r="AL381" s="8"/>
      <c r="AM381" s="8"/>
      <c r="AN381" s="8"/>
      <c r="AO381" s="8"/>
      <c r="AP381" s="8"/>
      <c r="AQ381" s="8"/>
      <c r="AR381" s="8"/>
      <c r="AS381" s="8"/>
    </row>
    <row r="382" spans="1:45" x14ac:dyDescent="0.2">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c r="AA382" s="8"/>
      <c r="AB382" s="8"/>
      <c r="AC382" s="8"/>
      <c r="AD382" s="8"/>
      <c r="AE382" s="8"/>
      <c r="AF382" s="8"/>
      <c r="AG382" s="8"/>
      <c r="AH382" s="8"/>
      <c r="AI382" s="8"/>
      <c r="AJ382" s="8"/>
      <c r="AK382" s="8"/>
      <c r="AL382" s="8"/>
      <c r="AM382" s="8"/>
      <c r="AN382" s="8"/>
      <c r="AO382" s="8"/>
      <c r="AP382" s="8"/>
      <c r="AQ382" s="8"/>
      <c r="AR382" s="8"/>
      <c r="AS382" s="8"/>
    </row>
    <row r="383" spans="1:45" x14ac:dyDescent="0.2">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c r="AA383" s="8"/>
      <c r="AB383" s="8"/>
      <c r="AC383" s="8"/>
      <c r="AD383" s="8"/>
      <c r="AE383" s="8"/>
      <c r="AF383" s="8"/>
      <c r="AG383" s="8"/>
      <c r="AH383" s="8"/>
      <c r="AI383" s="8"/>
      <c r="AJ383" s="8"/>
      <c r="AK383" s="8"/>
      <c r="AL383" s="8"/>
      <c r="AM383" s="8"/>
      <c r="AN383" s="8"/>
      <c r="AO383" s="8"/>
      <c r="AP383" s="8"/>
      <c r="AQ383" s="8"/>
      <c r="AR383" s="8"/>
      <c r="AS383" s="8"/>
    </row>
    <row r="384" spans="1:45" x14ac:dyDescent="0.2">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c r="AA384" s="8"/>
      <c r="AB384" s="8"/>
      <c r="AC384" s="8"/>
      <c r="AD384" s="8"/>
      <c r="AE384" s="8"/>
      <c r="AF384" s="8"/>
      <c r="AG384" s="8"/>
      <c r="AH384" s="8"/>
      <c r="AI384" s="8"/>
      <c r="AJ384" s="8"/>
      <c r="AK384" s="8"/>
      <c r="AL384" s="8"/>
      <c r="AM384" s="8"/>
      <c r="AN384" s="8"/>
      <c r="AO384" s="8"/>
      <c r="AP384" s="8"/>
      <c r="AQ384" s="8"/>
      <c r="AR384" s="8"/>
      <c r="AS384" s="8"/>
    </row>
    <row r="385" spans="1:45" x14ac:dyDescent="0.2">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c r="AA385" s="8"/>
      <c r="AB385" s="8"/>
      <c r="AC385" s="8"/>
      <c r="AD385" s="8"/>
      <c r="AE385" s="8"/>
      <c r="AF385" s="8"/>
      <c r="AG385" s="8"/>
      <c r="AH385" s="8"/>
      <c r="AI385" s="8"/>
      <c r="AJ385" s="8"/>
      <c r="AK385" s="8"/>
      <c r="AL385" s="8"/>
      <c r="AM385" s="8"/>
      <c r="AN385" s="8"/>
      <c r="AO385" s="8"/>
      <c r="AP385" s="8"/>
      <c r="AQ385" s="8"/>
      <c r="AR385" s="8"/>
      <c r="AS385" s="8"/>
    </row>
    <row r="386" spans="1:45" x14ac:dyDescent="0.2">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c r="AA386" s="8"/>
      <c r="AB386" s="8"/>
      <c r="AC386" s="8"/>
      <c r="AD386" s="8"/>
      <c r="AE386" s="8"/>
      <c r="AF386" s="8"/>
      <c r="AG386" s="8"/>
      <c r="AH386" s="8"/>
      <c r="AI386" s="8"/>
      <c r="AJ386" s="8"/>
      <c r="AK386" s="8"/>
      <c r="AL386" s="8"/>
      <c r="AM386" s="8"/>
      <c r="AN386" s="8"/>
      <c r="AO386" s="8"/>
      <c r="AP386" s="8"/>
      <c r="AQ386" s="8"/>
      <c r="AR386" s="8"/>
      <c r="AS386" s="8"/>
    </row>
    <row r="387" spans="1:45" x14ac:dyDescent="0.2">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c r="AA387" s="8"/>
      <c r="AB387" s="8"/>
      <c r="AC387" s="8"/>
      <c r="AD387" s="8"/>
      <c r="AE387" s="8"/>
      <c r="AF387" s="8"/>
      <c r="AG387" s="8"/>
      <c r="AH387" s="8"/>
      <c r="AI387" s="8"/>
      <c r="AJ387" s="8"/>
      <c r="AK387" s="8"/>
      <c r="AL387" s="8"/>
      <c r="AM387" s="8"/>
      <c r="AN387" s="8"/>
      <c r="AO387" s="8"/>
      <c r="AP387" s="8"/>
      <c r="AQ387" s="8"/>
      <c r="AR387" s="8"/>
      <c r="AS387" s="8"/>
    </row>
    <row r="388" spans="1:45" x14ac:dyDescent="0.2">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c r="AA388" s="8"/>
      <c r="AB388" s="8"/>
      <c r="AC388" s="8"/>
      <c r="AD388" s="8"/>
      <c r="AE388" s="8"/>
      <c r="AF388" s="8"/>
      <c r="AG388" s="8"/>
      <c r="AH388" s="8"/>
      <c r="AI388" s="8"/>
      <c r="AJ388" s="8"/>
      <c r="AK388" s="8"/>
      <c r="AL388" s="8"/>
      <c r="AM388" s="8"/>
      <c r="AN388" s="8"/>
      <c r="AO388" s="8"/>
      <c r="AP388" s="8"/>
      <c r="AQ388" s="8"/>
      <c r="AR388" s="8"/>
      <c r="AS388" s="8"/>
    </row>
    <row r="389" spans="1:45" x14ac:dyDescent="0.2">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c r="AA389" s="8"/>
      <c r="AB389" s="8"/>
      <c r="AC389" s="8"/>
      <c r="AD389" s="8"/>
      <c r="AE389" s="8"/>
      <c r="AF389" s="8"/>
      <c r="AG389" s="8"/>
      <c r="AH389" s="8"/>
      <c r="AI389" s="8"/>
      <c r="AJ389" s="8"/>
      <c r="AK389" s="8"/>
      <c r="AL389" s="8"/>
      <c r="AM389" s="8"/>
      <c r="AN389" s="8"/>
      <c r="AO389" s="8"/>
      <c r="AP389" s="8"/>
      <c r="AQ389" s="8"/>
      <c r="AR389" s="8"/>
      <c r="AS389" s="8"/>
    </row>
    <row r="390" spans="1:45" x14ac:dyDescent="0.2">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c r="AA390" s="8"/>
      <c r="AB390" s="8"/>
      <c r="AC390" s="8"/>
      <c r="AD390" s="8"/>
      <c r="AE390" s="8"/>
      <c r="AF390" s="8"/>
      <c r="AG390" s="8"/>
      <c r="AH390" s="8"/>
      <c r="AI390" s="8"/>
      <c r="AJ390" s="8"/>
      <c r="AK390" s="8"/>
      <c r="AL390" s="8"/>
      <c r="AM390" s="8"/>
      <c r="AN390" s="8"/>
      <c r="AO390" s="8"/>
      <c r="AP390" s="8"/>
      <c r="AQ390" s="8"/>
      <c r="AR390" s="8"/>
      <c r="AS390" s="8"/>
    </row>
    <row r="391" spans="1:45" x14ac:dyDescent="0.2">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c r="AA391" s="8"/>
      <c r="AB391" s="8"/>
      <c r="AC391" s="8"/>
      <c r="AD391" s="8"/>
      <c r="AE391" s="8"/>
      <c r="AF391" s="8"/>
      <c r="AG391" s="8"/>
      <c r="AH391" s="8"/>
      <c r="AI391" s="8"/>
      <c r="AJ391" s="8"/>
      <c r="AK391" s="8"/>
      <c r="AL391" s="8"/>
      <c r="AM391" s="8"/>
      <c r="AN391" s="8"/>
      <c r="AO391" s="8"/>
      <c r="AP391" s="8"/>
      <c r="AQ391" s="8"/>
      <c r="AR391" s="8"/>
      <c r="AS391" s="8"/>
    </row>
    <row r="392" spans="1:45" x14ac:dyDescent="0.2">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c r="AA392" s="8"/>
      <c r="AB392" s="8"/>
      <c r="AC392" s="8"/>
      <c r="AD392" s="8"/>
      <c r="AE392" s="8"/>
      <c r="AF392" s="8"/>
      <c r="AG392" s="8"/>
      <c r="AH392" s="8"/>
      <c r="AI392" s="8"/>
      <c r="AJ392" s="8"/>
      <c r="AK392" s="8"/>
      <c r="AL392" s="8"/>
      <c r="AM392" s="8"/>
      <c r="AN392" s="8"/>
      <c r="AO392" s="8"/>
      <c r="AP392" s="8"/>
      <c r="AQ392" s="8"/>
      <c r="AR392" s="8"/>
      <c r="AS392" s="8"/>
    </row>
    <row r="393" spans="1:45" x14ac:dyDescent="0.2">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c r="AA393" s="8"/>
      <c r="AB393" s="8"/>
      <c r="AC393" s="8"/>
      <c r="AD393" s="8"/>
      <c r="AE393" s="8"/>
      <c r="AF393" s="8"/>
      <c r="AG393" s="8"/>
      <c r="AH393" s="8"/>
      <c r="AI393" s="8"/>
      <c r="AJ393" s="8"/>
      <c r="AK393" s="8"/>
      <c r="AL393" s="8"/>
      <c r="AM393" s="8"/>
      <c r="AN393" s="8"/>
      <c r="AO393" s="8"/>
      <c r="AP393" s="8"/>
      <c r="AQ393" s="8"/>
      <c r="AR393" s="8"/>
      <c r="AS393" s="8"/>
    </row>
    <row r="394" spans="1:45" x14ac:dyDescent="0.2">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c r="AA394" s="8"/>
      <c r="AB394" s="8"/>
      <c r="AC394" s="8"/>
      <c r="AD394" s="8"/>
      <c r="AE394" s="8"/>
      <c r="AF394" s="8"/>
      <c r="AG394" s="8"/>
      <c r="AH394" s="8"/>
      <c r="AI394" s="8"/>
      <c r="AJ394" s="8"/>
      <c r="AK394" s="8"/>
      <c r="AL394" s="8"/>
      <c r="AM394" s="8"/>
      <c r="AN394" s="8"/>
      <c r="AO394" s="8"/>
      <c r="AP394" s="8"/>
      <c r="AQ394" s="8"/>
      <c r="AR394" s="8"/>
      <c r="AS394" s="8"/>
    </row>
    <row r="395" spans="1:45" x14ac:dyDescent="0.2">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c r="AA395" s="8"/>
      <c r="AB395" s="8"/>
      <c r="AC395" s="8"/>
      <c r="AD395" s="8"/>
      <c r="AE395" s="8"/>
      <c r="AF395" s="8"/>
      <c r="AG395" s="8"/>
      <c r="AH395" s="8"/>
      <c r="AI395" s="8"/>
      <c r="AJ395" s="8"/>
      <c r="AK395" s="8"/>
      <c r="AL395" s="8"/>
      <c r="AM395" s="8"/>
      <c r="AN395" s="8"/>
      <c r="AO395" s="8"/>
      <c r="AP395" s="8"/>
      <c r="AQ395" s="8"/>
      <c r="AR395" s="8"/>
      <c r="AS395" s="8"/>
    </row>
    <row r="396" spans="1:45" x14ac:dyDescent="0.2">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c r="AA396" s="8"/>
      <c r="AB396" s="8"/>
      <c r="AC396" s="8"/>
      <c r="AD396" s="8"/>
      <c r="AE396" s="8"/>
      <c r="AF396" s="8"/>
      <c r="AG396" s="8"/>
      <c r="AH396" s="8"/>
      <c r="AI396" s="8"/>
      <c r="AJ396" s="8"/>
      <c r="AK396" s="8"/>
      <c r="AL396" s="8"/>
      <c r="AM396" s="8"/>
      <c r="AN396" s="8"/>
      <c r="AO396" s="8"/>
      <c r="AP396" s="8"/>
      <c r="AQ396" s="8"/>
      <c r="AR396" s="8"/>
      <c r="AS396" s="8"/>
    </row>
    <row r="397" spans="1:45" x14ac:dyDescent="0.2">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c r="AA397" s="8"/>
      <c r="AB397" s="8"/>
      <c r="AC397" s="8"/>
      <c r="AD397" s="8"/>
      <c r="AE397" s="8"/>
      <c r="AF397" s="8"/>
      <c r="AG397" s="8"/>
      <c r="AH397" s="8"/>
      <c r="AI397" s="8"/>
      <c r="AJ397" s="8"/>
      <c r="AK397" s="8"/>
      <c r="AL397" s="8"/>
      <c r="AM397" s="8"/>
      <c r="AN397" s="8"/>
      <c r="AO397" s="8"/>
      <c r="AP397" s="8"/>
      <c r="AQ397" s="8"/>
      <c r="AR397" s="8"/>
      <c r="AS397" s="8"/>
    </row>
    <row r="398" spans="1:45" x14ac:dyDescent="0.2">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c r="AA398" s="8"/>
      <c r="AB398" s="8"/>
      <c r="AC398" s="8"/>
      <c r="AD398" s="8"/>
      <c r="AE398" s="8"/>
      <c r="AF398" s="8"/>
      <c r="AG398" s="8"/>
      <c r="AH398" s="8"/>
      <c r="AI398" s="8"/>
      <c r="AJ398" s="8"/>
      <c r="AK398" s="8"/>
      <c r="AL398" s="8"/>
      <c r="AM398" s="8"/>
      <c r="AN398" s="8"/>
      <c r="AO398" s="8"/>
      <c r="AP398" s="8"/>
      <c r="AQ398" s="8"/>
      <c r="AR398" s="8"/>
      <c r="AS398" s="8"/>
    </row>
    <row r="399" spans="1:45" x14ac:dyDescent="0.2">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c r="AA399" s="8"/>
      <c r="AB399" s="8"/>
      <c r="AC399" s="8"/>
      <c r="AD399" s="8"/>
      <c r="AE399" s="8"/>
      <c r="AF399" s="8"/>
      <c r="AG399" s="8"/>
      <c r="AH399" s="8"/>
      <c r="AI399" s="8"/>
      <c r="AJ399" s="8"/>
      <c r="AK399" s="8"/>
      <c r="AL399" s="8"/>
      <c r="AM399" s="8"/>
      <c r="AN399" s="8"/>
      <c r="AO399" s="8"/>
      <c r="AP399" s="8"/>
      <c r="AQ399" s="8"/>
      <c r="AR399" s="8"/>
      <c r="AS399" s="8"/>
    </row>
    <row r="400" spans="1:45" x14ac:dyDescent="0.2">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c r="AA400" s="8"/>
      <c r="AB400" s="8"/>
      <c r="AC400" s="8"/>
      <c r="AD400" s="8"/>
      <c r="AE400" s="8"/>
      <c r="AF400" s="8"/>
      <c r="AG400" s="8"/>
      <c r="AH400" s="8"/>
      <c r="AI400" s="8"/>
      <c r="AJ400" s="8"/>
      <c r="AK400" s="8"/>
      <c r="AL400" s="8"/>
      <c r="AM400" s="8"/>
      <c r="AN400" s="8"/>
      <c r="AO400" s="8"/>
      <c r="AP400" s="8"/>
      <c r="AQ400" s="8"/>
      <c r="AR400" s="8"/>
      <c r="AS400" s="8"/>
    </row>
    <row r="401" spans="1:45" x14ac:dyDescent="0.2">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c r="AA401" s="8"/>
      <c r="AB401" s="8"/>
      <c r="AC401" s="8"/>
      <c r="AD401" s="8"/>
      <c r="AE401" s="8"/>
      <c r="AF401" s="8"/>
      <c r="AG401" s="8"/>
      <c r="AH401" s="8"/>
      <c r="AI401" s="8"/>
      <c r="AJ401" s="8"/>
      <c r="AK401" s="8"/>
      <c r="AL401" s="8"/>
      <c r="AM401" s="8"/>
      <c r="AN401" s="8"/>
      <c r="AO401" s="8"/>
      <c r="AP401" s="8"/>
      <c r="AQ401" s="8"/>
      <c r="AR401" s="8"/>
      <c r="AS401" s="8"/>
    </row>
    <row r="402" spans="1:45" x14ac:dyDescent="0.2">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c r="AA402" s="8"/>
      <c r="AB402" s="8"/>
      <c r="AC402" s="8"/>
      <c r="AD402" s="8"/>
      <c r="AE402" s="8"/>
      <c r="AF402" s="8"/>
      <c r="AG402" s="8"/>
      <c r="AH402" s="8"/>
      <c r="AI402" s="8"/>
      <c r="AJ402" s="8"/>
      <c r="AK402" s="8"/>
      <c r="AL402" s="8"/>
      <c r="AM402" s="8"/>
      <c r="AN402" s="8"/>
      <c r="AO402" s="8"/>
      <c r="AP402" s="8"/>
      <c r="AQ402" s="8"/>
      <c r="AR402" s="8"/>
      <c r="AS402" s="8"/>
    </row>
    <row r="403" spans="1:45" x14ac:dyDescent="0.2">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c r="AA403" s="8"/>
      <c r="AB403" s="8"/>
      <c r="AC403" s="8"/>
      <c r="AD403" s="8"/>
      <c r="AE403" s="8"/>
      <c r="AF403" s="8"/>
      <c r="AG403" s="8"/>
      <c r="AH403" s="8"/>
      <c r="AI403" s="8"/>
      <c r="AJ403" s="8"/>
      <c r="AK403" s="8"/>
      <c r="AL403" s="8"/>
      <c r="AM403" s="8"/>
      <c r="AN403" s="8"/>
      <c r="AO403" s="8"/>
      <c r="AP403" s="8"/>
      <c r="AQ403" s="8"/>
      <c r="AR403" s="8"/>
      <c r="AS403" s="8"/>
    </row>
    <row r="404" spans="1:45" x14ac:dyDescent="0.2">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c r="AA404" s="8"/>
      <c r="AB404" s="8"/>
      <c r="AC404" s="8"/>
      <c r="AD404" s="8"/>
      <c r="AE404" s="8"/>
      <c r="AF404" s="8"/>
      <c r="AG404" s="8"/>
      <c r="AH404" s="8"/>
      <c r="AI404" s="8"/>
      <c r="AJ404" s="8"/>
      <c r="AK404" s="8"/>
      <c r="AL404" s="8"/>
      <c r="AM404" s="8"/>
      <c r="AN404" s="8"/>
      <c r="AO404" s="8"/>
      <c r="AP404" s="8"/>
      <c r="AQ404" s="8"/>
      <c r="AR404" s="8"/>
      <c r="AS404" s="8"/>
    </row>
    <row r="405" spans="1:45" x14ac:dyDescent="0.2">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c r="AA405" s="8"/>
      <c r="AB405" s="8"/>
      <c r="AC405" s="8"/>
      <c r="AD405" s="8"/>
      <c r="AE405" s="8"/>
      <c r="AF405" s="8"/>
      <c r="AG405" s="8"/>
      <c r="AH405" s="8"/>
      <c r="AI405" s="8"/>
      <c r="AJ405" s="8"/>
      <c r="AK405" s="8"/>
      <c r="AL405" s="8"/>
      <c r="AM405" s="8"/>
      <c r="AN405" s="8"/>
      <c r="AO405" s="8"/>
      <c r="AP405" s="8"/>
      <c r="AQ405" s="8"/>
      <c r="AR405" s="8"/>
      <c r="AS405" s="8"/>
    </row>
    <row r="406" spans="1:45" x14ac:dyDescent="0.2">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c r="AA406" s="8"/>
      <c r="AB406" s="8"/>
      <c r="AC406" s="8"/>
      <c r="AD406" s="8"/>
      <c r="AE406" s="8"/>
      <c r="AF406" s="8"/>
      <c r="AG406" s="8"/>
      <c r="AH406" s="8"/>
      <c r="AI406" s="8"/>
      <c r="AJ406" s="8"/>
      <c r="AK406" s="8"/>
      <c r="AL406" s="8"/>
      <c r="AM406" s="8"/>
      <c r="AN406" s="8"/>
      <c r="AO406" s="8"/>
      <c r="AP406" s="8"/>
      <c r="AQ406" s="8"/>
      <c r="AR406" s="8"/>
      <c r="AS406" s="8"/>
    </row>
    <row r="407" spans="1:45" x14ac:dyDescent="0.2">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c r="AA407" s="8"/>
      <c r="AB407" s="8"/>
      <c r="AC407" s="8"/>
      <c r="AD407" s="8"/>
      <c r="AE407" s="8"/>
      <c r="AF407" s="8"/>
      <c r="AG407" s="8"/>
      <c r="AH407" s="8"/>
      <c r="AI407" s="8"/>
      <c r="AJ407" s="8"/>
      <c r="AK407" s="8"/>
      <c r="AL407" s="8"/>
      <c r="AM407" s="8"/>
      <c r="AN407" s="8"/>
      <c r="AO407" s="8"/>
      <c r="AP407" s="8"/>
      <c r="AQ407" s="8"/>
      <c r="AR407" s="8"/>
      <c r="AS407" s="8"/>
    </row>
    <row r="408" spans="1:45" x14ac:dyDescent="0.2">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c r="AA408" s="8"/>
      <c r="AB408" s="8"/>
      <c r="AC408" s="8"/>
      <c r="AD408" s="8"/>
      <c r="AE408" s="8"/>
      <c r="AF408" s="8"/>
      <c r="AG408" s="8"/>
      <c r="AH408" s="8"/>
      <c r="AI408" s="8"/>
      <c r="AJ408" s="8"/>
      <c r="AK408" s="8"/>
      <c r="AL408" s="8"/>
      <c r="AM408" s="8"/>
      <c r="AN408" s="8"/>
      <c r="AO408" s="8"/>
      <c r="AP408" s="8"/>
      <c r="AQ408" s="8"/>
      <c r="AR408" s="8"/>
      <c r="AS408" s="8"/>
    </row>
    <row r="409" spans="1:45" x14ac:dyDescent="0.2">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c r="AA409" s="8"/>
      <c r="AB409" s="8"/>
      <c r="AC409" s="8"/>
      <c r="AD409" s="8"/>
      <c r="AE409" s="8"/>
      <c r="AF409" s="8"/>
      <c r="AG409" s="8"/>
      <c r="AH409" s="8"/>
      <c r="AI409" s="8"/>
      <c r="AJ409" s="8"/>
      <c r="AK409" s="8"/>
      <c r="AL409" s="8"/>
      <c r="AM409" s="8"/>
      <c r="AN409" s="8"/>
      <c r="AO409" s="8"/>
      <c r="AP409" s="8"/>
      <c r="AQ409" s="8"/>
      <c r="AR409" s="8"/>
      <c r="AS409" s="8"/>
    </row>
    <row r="410" spans="1:45" x14ac:dyDescent="0.2">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c r="AA410" s="8"/>
      <c r="AB410" s="8"/>
      <c r="AC410" s="8"/>
      <c r="AD410" s="8"/>
      <c r="AE410" s="8"/>
      <c r="AF410" s="8"/>
      <c r="AG410" s="8"/>
      <c r="AH410" s="8"/>
      <c r="AI410" s="8"/>
      <c r="AJ410" s="8"/>
      <c r="AK410" s="8"/>
      <c r="AL410" s="8"/>
      <c r="AM410" s="8"/>
      <c r="AN410" s="8"/>
      <c r="AO410" s="8"/>
      <c r="AP410" s="8"/>
      <c r="AQ410" s="8"/>
      <c r="AR410" s="8"/>
      <c r="AS410" s="8"/>
    </row>
    <row r="411" spans="1:45" x14ac:dyDescent="0.2">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c r="AA411" s="8"/>
      <c r="AB411" s="8"/>
      <c r="AC411" s="8"/>
      <c r="AD411" s="8"/>
      <c r="AE411" s="8"/>
      <c r="AF411" s="8"/>
      <c r="AG411" s="8"/>
      <c r="AH411" s="8"/>
      <c r="AI411" s="8"/>
      <c r="AJ411" s="8"/>
      <c r="AK411" s="8"/>
      <c r="AL411" s="8"/>
      <c r="AM411" s="8"/>
      <c r="AN411" s="8"/>
      <c r="AO411" s="8"/>
      <c r="AP411" s="8"/>
      <c r="AQ411" s="8"/>
      <c r="AR411" s="8"/>
      <c r="AS411" s="8"/>
    </row>
    <row r="412" spans="1:45" x14ac:dyDescent="0.2">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c r="AA412" s="8"/>
      <c r="AB412" s="8"/>
      <c r="AC412" s="8"/>
      <c r="AD412" s="8"/>
      <c r="AE412" s="8"/>
      <c r="AF412" s="8"/>
      <c r="AG412" s="8"/>
      <c r="AH412" s="8"/>
      <c r="AI412" s="8"/>
      <c r="AJ412" s="8"/>
      <c r="AK412" s="8"/>
      <c r="AL412" s="8"/>
      <c r="AM412" s="8"/>
      <c r="AN412" s="8"/>
      <c r="AO412" s="8"/>
      <c r="AP412" s="8"/>
      <c r="AQ412" s="8"/>
      <c r="AR412" s="8"/>
      <c r="AS412" s="8"/>
    </row>
    <row r="413" spans="1:45" x14ac:dyDescent="0.2">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c r="AA413" s="8"/>
      <c r="AB413" s="8"/>
      <c r="AC413" s="8"/>
      <c r="AD413" s="8"/>
      <c r="AE413" s="8"/>
      <c r="AF413" s="8"/>
      <c r="AG413" s="8"/>
      <c r="AH413" s="8"/>
      <c r="AI413" s="8"/>
      <c r="AJ413" s="8"/>
      <c r="AK413" s="8"/>
      <c r="AL413" s="8"/>
      <c r="AM413" s="8"/>
      <c r="AN413" s="8"/>
      <c r="AO413" s="8"/>
      <c r="AP413" s="8"/>
      <c r="AQ413" s="8"/>
      <c r="AR413" s="8"/>
      <c r="AS413" s="8"/>
    </row>
    <row r="414" spans="1:45" x14ac:dyDescent="0.2">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c r="AA414" s="8"/>
      <c r="AB414" s="8"/>
      <c r="AC414" s="8"/>
      <c r="AD414" s="8"/>
      <c r="AE414" s="8"/>
      <c r="AF414" s="8"/>
      <c r="AG414" s="8"/>
      <c r="AH414" s="8"/>
      <c r="AI414" s="8"/>
      <c r="AJ414" s="8"/>
      <c r="AK414" s="8"/>
      <c r="AL414" s="8"/>
      <c r="AM414" s="8"/>
      <c r="AN414" s="8"/>
      <c r="AO414" s="8"/>
      <c r="AP414" s="8"/>
      <c r="AQ414" s="8"/>
      <c r="AR414" s="8"/>
      <c r="AS414" s="8"/>
    </row>
    <row r="415" spans="1:45" x14ac:dyDescent="0.2">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c r="AA415" s="8"/>
      <c r="AB415" s="8"/>
      <c r="AC415" s="8"/>
      <c r="AD415" s="8"/>
      <c r="AE415" s="8"/>
      <c r="AF415" s="8"/>
      <c r="AG415" s="8"/>
      <c r="AH415" s="8"/>
      <c r="AI415" s="8"/>
      <c r="AJ415" s="8"/>
      <c r="AK415" s="8"/>
      <c r="AL415" s="8"/>
      <c r="AM415" s="8"/>
      <c r="AN415" s="8"/>
      <c r="AO415" s="8"/>
      <c r="AP415" s="8"/>
      <c r="AQ415" s="8"/>
      <c r="AR415" s="8"/>
      <c r="AS415" s="8"/>
    </row>
    <row r="416" spans="1:45" x14ac:dyDescent="0.2">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c r="AA416" s="8"/>
      <c r="AB416" s="8"/>
      <c r="AC416" s="8"/>
      <c r="AD416" s="8"/>
      <c r="AE416" s="8"/>
      <c r="AF416" s="8"/>
      <c r="AG416" s="8"/>
      <c r="AH416" s="8"/>
      <c r="AI416" s="8"/>
      <c r="AJ416" s="8"/>
      <c r="AK416" s="8"/>
      <c r="AL416" s="8"/>
      <c r="AM416" s="8"/>
      <c r="AN416" s="8"/>
      <c r="AO416" s="8"/>
      <c r="AP416" s="8"/>
      <c r="AQ416" s="8"/>
      <c r="AR416" s="8"/>
      <c r="AS416" s="8"/>
    </row>
    <row r="417" spans="1:45" x14ac:dyDescent="0.2">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c r="AA417" s="8"/>
      <c r="AB417" s="8"/>
      <c r="AC417" s="8"/>
      <c r="AD417" s="8"/>
      <c r="AE417" s="8"/>
      <c r="AF417" s="8"/>
      <c r="AG417" s="8"/>
      <c r="AH417" s="8"/>
      <c r="AI417" s="8"/>
      <c r="AJ417" s="8"/>
      <c r="AK417" s="8"/>
      <c r="AL417" s="8"/>
      <c r="AM417" s="8"/>
      <c r="AN417" s="8"/>
      <c r="AO417" s="8"/>
      <c r="AP417" s="8"/>
      <c r="AQ417" s="8"/>
      <c r="AR417" s="8"/>
      <c r="AS417" s="8"/>
    </row>
    <row r="418" spans="1:45" x14ac:dyDescent="0.2">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c r="AA418" s="8"/>
      <c r="AB418" s="8"/>
      <c r="AC418" s="8"/>
      <c r="AD418" s="8"/>
      <c r="AE418" s="8"/>
      <c r="AF418" s="8"/>
      <c r="AG418" s="8"/>
      <c r="AH418" s="8"/>
      <c r="AI418" s="8"/>
      <c r="AJ418" s="8"/>
      <c r="AK418" s="8"/>
      <c r="AL418" s="8"/>
      <c r="AM418" s="8"/>
      <c r="AN418" s="8"/>
      <c r="AO418" s="8"/>
      <c r="AP418" s="8"/>
      <c r="AQ418" s="8"/>
      <c r="AR418" s="8"/>
      <c r="AS418" s="8"/>
    </row>
    <row r="419" spans="1:45" x14ac:dyDescent="0.2">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c r="AA419" s="8"/>
      <c r="AB419" s="8"/>
      <c r="AC419" s="8"/>
      <c r="AD419" s="8"/>
      <c r="AE419" s="8"/>
      <c r="AF419" s="8"/>
      <c r="AG419" s="8"/>
      <c r="AH419" s="8"/>
      <c r="AI419" s="8"/>
      <c r="AJ419" s="8"/>
      <c r="AK419" s="8"/>
      <c r="AL419" s="8"/>
      <c r="AM419" s="8"/>
      <c r="AN419" s="8"/>
      <c r="AO419" s="8"/>
      <c r="AP419" s="8"/>
      <c r="AQ419" s="8"/>
      <c r="AR419" s="8"/>
      <c r="AS419" s="8"/>
    </row>
    <row r="420" spans="1:45" x14ac:dyDescent="0.2">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c r="AA420" s="8"/>
      <c r="AB420" s="8"/>
      <c r="AC420" s="8"/>
      <c r="AD420" s="8"/>
      <c r="AE420" s="8"/>
      <c r="AF420" s="8"/>
      <c r="AG420" s="8"/>
      <c r="AH420" s="8"/>
      <c r="AI420" s="8"/>
      <c r="AJ420" s="8"/>
      <c r="AK420" s="8"/>
      <c r="AL420" s="8"/>
      <c r="AM420" s="8"/>
      <c r="AN420" s="8"/>
      <c r="AO420" s="8"/>
      <c r="AP420" s="8"/>
      <c r="AQ420" s="8"/>
      <c r="AR420" s="8"/>
      <c r="AS420" s="8"/>
    </row>
    <row r="421" spans="1:45" x14ac:dyDescent="0.2">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c r="AA421" s="8"/>
      <c r="AB421" s="8"/>
      <c r="AC421" s="8"/>
      <c r="AD421" s="8"/>
      <c r="AE421" s="8"/>
      <c r="AF421" s="8"/>
      <c r="AG421" s="8"/>
      <c r="AH421" s="8"/>
      <c r="AI421" s="8"/>
      <c r="AJ421" s="8"/>
      <c r="AK421" s="8"/>
      <c r="AL421" s="8"/>
      <c r="AM421" s="8"/>
      <c r="AN421" s="8"/>
      <c r="AO421" s="8"/>
      <c r="AP421" s="8"/>
      <c r="AQ421" s="8"/>
      <c r="AR421" s="8"/>
      <c r="AS421" s="8"/>
    </row>
    <row r="422" spans="1:45" x14ac:dyDescent="0.2">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c r="AA422" s="8"/>
      <c r="AB422" s="8"/>
      <c r="AC422" s="8"/>
      <c r="AD422" s="8"/>
      <c r="AE422" s="8"/>
      <c r="AF422" s="8"/>
      <c r="AG422" s="8"/>
      <c r="AH422" s="8"/>
      <c r="AI422" s="8"/>
      <c r="AJ422" s="8"/>
      <c r="AK422" s="8"/>
      <c r="AL422" s="8"/>
      <c r="AM422" s="8"/>
      <c r="AN422" s="8"/>
      <c r="AO422" s="8"/>
      <c r="AP422" s="8"/>
      <c r="AQ422" s="8"/>
      <c r="AR422" s="8"/>
      <c r="AS422" s="8"/>
    </row>
    <row r="423" spans="1:45" x14ac:dyDescent="0.2">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c r="AA423" s="8"/>
      <c r="AB423" s="8"/>
      <c r="AC423" s="8"/>
      <c r="AD423" s="8"/>
      <c r="AE423" s="8"/>
      <c r="AF423" s="8"/>
      <c r="AG423" s="8"/>
      <c r="AH423" s="8"/>
      <c r="AI423" s="8"/>
      <c r="AJ423" s="8"/>
      <c r="AK423" s="8"/>
      <c r="AL423" s="8"/>
      <c r="AM423" s="8"/>
      <c r="AN423" s="8"/>
      <c r="AO423" s="8"/>
      <c r="AP423" s="8"/>
      <c r="AQ423" s="8"/>
      <c r="AR423" s="8"/>
      <c r="AS423" s="8"/>
    </row>
    <row r="424" spans="1:45" x14ac:dyDescent="0.2">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c r="AA424" s="8"/>
      <c r="AB424" s="8"/>
      <c r="AC424" s="8"/>
      <c r="AD424" s="8"/>
      <c r="AE424" s="8"/>
      <c r="AF424" s="8"/>
      <c r="AG424" s="8"/>
      <c r="AH424" s="8"/>
      <c r="AI424" s="8"/>
      <c r="AJ424" s="8"/>
      <c r="AK424" s="8"/>
      <c r="AL424" s="8"/>
      <c r="AM424" s="8"/>
      <c r="AN424" s="8"/>
      <c r="AO424" s="8"/>
      <c r="AP424" s="8"/>
      <c r="AQ424" s="8"/>
      <c r="AR424" s="8"/>
      <c r="AS424" s="8"/>
    </row>
    <row r="425" spans="1:45" x14ac:dyDescent="0.2">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c r="AA425" s="8"/>
      <c r="AB425" s="8"/>
      <c r="AC425" s="8"/>
      <c r="AD425" s="8"/>
      <c r="AE425" s="8"/>
      <c r="AF425" s="8"/>
      <c r="AG425" s="8"/>
      <c r="AH425" s="8"/>
      <c r="AI425" s="8"/>
      <c r="AJ425" s="8"/>
      <c r="AK425" s="8"/>
      <c r="AL425" s="8"/>
      <c r="AM425" s="8"/>
      <c r="AN425" s="8"/>
      <c r="AO425" s="8"/>
      <c r="AP425" s="8"/>
      <c r="AQ425" s="8"/>
      <c r="AR425" s="8"/>
      <c r="AS425" s="8"/>
    </row>
    <row r="426" spans="1:45" x14ac:dyDescent="0.2">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c r="AA426" s="8"/>
      <c r="AB426" s="8"/>
      <c r="AC426" s="8"/>
      <c r="AD426" s="8"/>
      <c r="AE426" s="8"/>
      <c r="AF426" s="8"/>
      <c r="AG426" s="8"/>
      <c r="AH426" s="8"/>
      <c r="AI426" s="8"/>
      <c r="AJ426" s="8"/>
      <c r="AK426" s="8"/>
      <c r="AL426" s="8"/>
      <c r="AM426" s="8"/>
      <c r="AN426" s="8"/>
      <c r="AO426" s="8"/>
      <c r="AP426" s="8"/>
      <c r="AQ426" s="8"/>
      <c r="AR426" s="8"/>
      <c r="AS426" s="8"/>
    </row>
    <row r="427" spans="1:45" x14ac:dyDescent="0.2">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c r="AA427" s="8"/>
      <c r="AB427" s="8"/>
      <c r="AC427" s="8"/>
      <c r="AD427" s="8"/>
      <c r="AE427" s="8"/>
      <c r="AF427" s="8"/>
      <c r="AG427" s="8"/>
      <c r="AH427" s="8"/>
      <c r="AI427" s="8"/>
      <c r="AJ427" s="8"/>
      <c r="AK427" s="8"/>
      <c r="AL427" s="8"/>
      <c r="AM427" s="8"/>
      <c r="AN427" s="8"/>
      <c r="AO427" s="8"/>
      <c r="AP427" s="8"/>
      <c r="AQ427" s="8"/>
      <c r="AR427" s="8"/>
      <c r="AS427" s="8"/>
    </row>
    <row r="428" spans="1:45" x14ac:dyDescent="0.2">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c r="AA428" s="8"/>
      <c r="AB428" s="8"/>
      <c r="AC428" s="8"/>
      <c r="AD428" s="8"/>
      <c r="AE428" s="8"/>
      <c r="AF428" s="8"/>
      <c r="AG428" s="8"/>
      <c r="AH428" s="8"/>
      <c r="AI428" s="8"/>
      <c r="AJ428" s="8"/>
      <c r="AK428" s="8"/>
      <c r="AL428" s="8"/>
      <c r="AM428" s="8"/>
      <c r="AN428" s="8"/>
      <c r="AO428" s="8"/>
      <c r="AP428" s="8"/>
      <c r="AQ428" s="8"/>
      <c r="AR428" s="8"/>
      <c r="AS428" s="8"/>
    </row>
    <row r="429" spans="1:45" x14ac:dyDescent="0.2">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c r="AA429" s="8"/>
      <c r="AB429" s="8"/>
      <c r="AC429" s="8"/>
      <c r="AD429" s="8"/>
      <c r="AE429" s="8"/>
      <c r="AF429" s="8"/>
      <c r="AG429" s="8"/>
      <c r="AH429" s="8"/>
      <c r="AI429" s="8"/>
      <c r="AJ429" s="8"/>
      <c r="AK429" s="8"/>
      <c r="AL429" s="8"/>
      <c r="AM429" s="8"/>
      <c r="AN429" s="8"/>
      <c r="AO429" s="8"/>
      <c r="AP429" s="8"/>
      <c r="AQ429" s="8"/>
      <c r="AR429" s="8"/>
      <c r="AS429" s="8"/>
    </row>
    <row r="430" spans="1:45" x14ac:dyDescent="0.2">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c r="AA430" s="8"/>
      <c r="AB430" s="8"/>
      <c r="AC430" s="8"/>
      <c r="AD430" s="8"/>
      <c r="AE430" s="8"/>
      <c r="AF430" s="8"/>
      <c r="AG430" s="8"/>
      <c r="AH430" s="8"/>
      <c r="AI430" s="8"/>
      <c r="AJ430" s="8"/>
      <c r="AK430" s="8"/>
      <c r="AL430" s="8"/>
      <c r="AM430" s="8"/>
      <c r="AN430" s="8"/>
      <c r="AO430" s="8"/>
      <c r="AP430" s="8"/>
      <c r="AQ430" s="8"/>
      <c r="AR430" s="8"/>
      <c r="AS430" s="8"/>
    </row>
    <row r="431" spans="1:45" x14ac:dyDescent="0.2">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c r="AA431" s="8"/>
      <c r="AB431" s="8"/>
      <c r="AC431" s="8"/>
      <c r="AD431" s="8"/>
      <c r="AE431" s="8"/>
      <c r="AF431" s="8"/>
      <c r="AG431" s="8"/>
      <c r="AH431" s="8"/>
      <c r="AI431" s="8"/>
      <c r="AJ431" s="8"/>
      <c r="AK431" s="8"/>
      <c r="AL431" s="8"/>
      <c r="AM431" s="8"/>
      <c r="AN431" s="8"/>
      <c r="AO431" s="8"/>
      <c r="AP431" s="8"/>
      <c r="AQ431" s="8"/>
      <c r="AR431" s="8"/>
      <c r="AS431" s="8"/>
    </row>
    <row r="432" spans="1:45" x14ac:dyDescent="0.2">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c r="AA432" s="8"/>
      <c r="AB432" s="8"/>
      <c r="AC432" s="8"/>
      <c r="AD432" s="8"/>
      <c r="AE432" s="8"/>
      <c r="AF432" s="8"/>
      <c r="AG432" s="8"/>
      <c r="AH432" s="8"/>
      <c r="AI432" s="8"/>
      <c r="AJ432" s="8"/>
      <c r="AK432" s="8"/>
      <c r="AL432" s="8"/>
      <c r="AM432" s="8"/>
      <c r="AN432" s="8"/>
      <c r="AO432" s="8"/>
      <c r="AP432" s="8"/>
      <c r="AQ432" s="8"/>
      <c r="AR432" s="8"/>
      <c r="AS432" s="8"/>
    </row>
    <row r="433" spans="1:45" x14ac:dyDescent="0.2">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c r="AA433" s="8"/>
      <c r="AB433" s="8"/>
      <c r="AC433" s="8"/>
      <c r="AD433" s="8"/>
      <c r="AE433" s="8"/>
      <c r="AF433" s="8"/>
      <c r="AG433" s="8"/>
      <c r="AH433" s="8"/>
      <c r="AI433" s="8"/>
      <c r="AJ433" s="8"/>
      <c r="AK433" s="8"/>
      <c r="AL433" s="8"/>
      <c r="AM433" s="8"/>
      <c r="AN433" s="8"/>
      <c r="AO433" s="8"/>
      <c r="AP433" s="8"/>
      <c r="AQ433" s="8"/>
      <c r="AR433" s="8"/>
      <c r="AS433" s="8"/>
    </row>
    <row r="434" spans="1:45" x14ac:dyDescent="0.2">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c r="AA434" s="8"/>
      <c r="AB434" s="8"/>
      <c r="AC434" s="8"/>
      <c r="AD434" s="8"/>
      <c r="AE434" s="8"/>
      <c r="AF434" s="8"/>
      <c r="AG434" s="8"/>
      <c r="AH434" s="8"/>
      <c r="AI434" s="8"/>
      <c r="AJ434" s="8"/>
      <c r="AK434" s="8"/>
      <c r="AL434" s="8"/>
      <c r="AM434" s="8"/>
      <c r="AN434" s="8"/>
      <c r="AO434" s="8"/>
      <c r="AP434" s="8"/>
      <c r="AQ434" s="8"/>
      <c r="AR434" s="8"/>
      <c r="AS434" s="8"/>
    </row>
    <row r="435" spans="1:45" x14ac:dyDescent="0.2">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c r="AA435" s="8"/>
      <c r="AB435" s="8"/>
      <c r="AC435" s="8"/>
      <c r="AD435" s="8"/>
      <c r="AE435" s="8"/>
      <c r="AF435" s="8"/>
      <c r="AG435" s="8"/>
      <c r="AH435" s="8"/>
      <c r="AI435" s="8"/>
      <c r="AJ435" s="8"/>
      <c r="AK435" s="8"/>
      <c r="AL435" s="8"/>
      <c r="AM435" s="8"/>
      <c r="AN435" s="8"/>
      <c r="AO435" s="8"/>
      <c r="AP435" s="8"/>
      <c r="AQ435" s="8"/>
      <c r="AR435" s="8"/>
      <c r="AS435" s="8"/>
    </row>
    <row r="436" spans="1:45" x14ac:dyDescent="0.2">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c r="AA436" s="8"/>
      <c r="AB436" s="8"/>
      <c r="AC436" s="8"/>
      <c r="AD436" s="8"/>
      <c r="AE436" s="8"/>
      <c r="AF436" s="8"/>
      <c r="AG436" s="8"/>
      <c r="AH436" s="8"/>
      <c r="AI436" s="8"/>
      <c r="AJ436" s="8"/>
      <c r="AK436" s="8"/>
      <c r="AL436" s="8"/>
      <c r="AM436" s="8"/>
      <c r="AN436" s="8"/>
      <c r="AO436" s="8"/>
      <c r="AP436" s="8"/>
      <c r="AQ436" s="8"/>
      <c r="AR436" s="8"/>
      <c r="AS436" s="8"/>
    </row>
    <row r="437" spans="1:45" x14ac:dyDescent="0.2">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c r="AA437" s="8"/>
      <c r="AB437" s="8"/>
      <c r="AC437" s="8"/>
      <c r="AD437" s="8"/>
      <c r="AE437" s="8"/>
      <c r="AF437" s="8"/>
      <c r="AG437" s="8"/>
      <c r="AH437" s="8"/>
      <c r="AI437" s="8"/>
      <c r="AJ437" s="8"/>
      <c r="AK437" s="8"/>
      <c r="AL437" s="8"/>
      <c r="AM437" s="8"/>
      <c r="AN437" s="8"/>
      <c r="AO437" s="8"/>
      <c r="AP437" s="8"/>
      <c r="AQ437" s="8"/>
      <c r="AR437" s="8"/>
      <c r="AS437" s="8"/>
    </row>
    <row r="438" spans="1:45" x14ac:dyDescent="0.2">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c r="AA438" s="8"/>
      <c r="AB438" s="8"/>
      <c r="AC438" s="8"/>
      <c r="AD438" s="8"/>
      <c r="AE438" s="8"/>
      <c r="AF438" s="8"/>
      <c r="AG438" s="8"/>
      <c r="AH438" s="8"/>
      <c r="AI438" s="8"/>
      <c r="AJ438" s="8"/>
      <c r="AK438" s="8"/>
      <c r="AL438" s="8"/>
      <c r="AM438" s="8"/>
      <c r="AN438" s="8"/>
      <c r="AO438" s="8"/>
      <c r="AP438" s="8"/>
      <c r="AQ438" s="8"/>
      <c r="AR438" s="8"/>
      <c r="AS438" s="8"/>
    </row>
    <row r="439" spans="1:45" x14ac:dyDescent="0.2">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c r="AA439" s="8"/>
      <c r="AB439" s="8"/>
      <c r="AC439" s="8"/>
      <c r="AD439" s="8"/>
      <c r="AE439" s="8"/>
      <c r="AF439" s="8"/>
      <c r="AG439" s="8"/>
      <c r="AH439" s="8"/>
      <c r="AI439" s="8"/>
      <c r="AJ439" s="8"/>
      <c r="AK439" s="8"/>
      <c r="AL439" s="8"/>
      <c r="AM439" s="8"/>
      <c r="AN439" s="8"/>
      <c r="AO439" s="8"/>
      <c r="AP439" s="8"/>
      <c r="AQ439" s="8"/>
      <c r="AR439" s="8"/>
      <c r="AS439" s="8"/>
    </row>
    <row r="440" spans="1:45" x14ac:dyDescent="0.2">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c r="AA440" s="8"/>
      <c r="AB440" s="8"/>
      <c r="AC440" s="8"/>
      <c r="AD440" s="8"/>
      <c r="AE440" s="8"/>
      <c r="AF440" s="8"/>
      <c r="AG440" s="8"/>
      <c r="AH440" s="8"/>
      <c r="AI440" s="8"/>
      <c r="AJ440" s="8"/>
      <c r="AK440" s="8"/>
      <c r="AL440" s="8"/>
      <c r="AM440" s="8"/>
      <c r="AN440" s="8"/>
      <c r="AO440" s="8"/>
      <c r="AP440" s="8"/>
      <c r="AQ440" s="8"/>
      <c r="AR440" s="8"/>
      <c r="AS440" s="8"/>
    </row>
    <row r="441" spans="1:45" x14ac:dyDescent="0.2">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c r="AA441" s="8"/>
      <c r="AB441" s="8"/>
      <c r="AC441" s="8"/>
      <c r="AD441" s="8"/>
      <c r="AE441" s="8"/>
      <c r="AF441" s="8"/>
      <c r="AG441" s="8"/>
      <c r="AH441" s="8"/>
      <c r="AI441" s="8"/>
      <c r="AJ441" s="8"/>
      <c r="AK441" s="8"/>
      <c r="AL441" s="8"/>
      <c r="AM441" s="8"/>
      <c r="AN441" s="8"/>
      <c r="AO441" s="8"/>
      <c r="AP441" s="8"/>
      <c r="AQ441" s="8"/>
      <c r="AR441" s="8"/>
      <c r="AS441" s="8"/>
    </row>
    <row r="442" spans="1:45" x14ac:dyDescent="0.2">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c r="AA442" s="8"/>
      <c r="AB442" s="8"/>
      <c r="AC442" s="8"/>
      <c r="AD442" s="8"/>
      <c r="AE442" s="8"/>
      <c r="AF442" s="8"/>
      <c r="AG442" s="8"/>
      <c r="AH442" s="8"/>
      <c r="AI442" s="8"/>
      <c r="AJ442" s="8"/>
      <c r="AK442" s="8"/>
      <c r="AL442" s="8"/>
      <c r="AM442" s="8"/>
      <c r="AN442" s="8"/>
      <c r="AO442" s="8"/>
      <c r="AP442" s="8"/>
      <c r="AQ442" s="8"/>
      <c r="AR442" s="8"/>
      <c r="AS442" s="8"/>
    </row>
    <row r="443" spans="1:45" x14ac:dyDescent="0.2">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c r="AA443" s="8"/>
      <c r="AB443" s="8"/>
      <c r="AC443" s="8"/>
      <c r="AD443" s="8"/>
      <c r="AE443" s="8"/>
      <c r="AF443" s="8"/>
      <c r="AG443" s="8"/>
      <c r="AH443" s="8"/>
      <c r="AI443" s="8"/>
      <c r="AJ443" s="8"/>
      <c r="AK443" s="8"/>
      <c r="AL443" s="8"/>
      <c r="AM443" s="8"/>
      <c r="AN443" s="8"/>
      <c r="AO443" s="8"/>
      <c r="AP443" s="8"/>
      <c r="AQ443" s="8"/>
      <c r="AR443" s="8"/>
      <c r="AS443" s="8"/>
    </row>
    <row r="444" spans="1:45" x14ac:dyDescent="0.2">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c r="AA444" s="8"/>
      <c r="AB444" s="8"/>
      <c r="AC444" s="8"/>
      <c r="AD444" s="8"/>
      <c r="AE444" s="8"/>
      <c r="AF444" s="8"/>
      <c r="AG444" s="8"/>
      <c r="AH444" s="8"/>
      <c r="AI444" s="8"/>
      <c r="AJ444" s="8"/>
      <c r="AK444" s="8"/>
      <c r="AL444" s="8"/>
      <c r="AM444" s="8"/>
      <c r="AN444" s="8"/>
      <c r="AO444" s="8"/>
      <c r="AP444" s="8"/>
      <c r="AQ444" s="8"/>
      <c r="AR444" s="8"/>
      <c r="AS444" s="8"/>
    </row>
    <row r="445" spans="1:45" x14ac:dyDescent="0.2">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c r="AA445" s="8"/>
      <c r="AB445" s="8"/>
      <c r="AC445" s="8"/>
      <c r="AD445" s="8"/>
      <c r="AE445" s="8"/>
      <c r="AF445" s="8"/>
      <c r="AG445" s="8"/>
      <c r="AH445" s="8"/>
      <c r="AI445" s="8"/>
      <c r="AJ445" s="8"/>
      <c r="AK445" s="8"/>
      <c r="AL445" s="8"/>
      <c r="AM445" s="8"/>
      <c r="AN445" s="8"/>
      <c r="AO445" s="8"/>
      <c r="AP445" s="8"/>
      <c r="AQ445" s="8"/>
      <c r="AR445" s="8"/>
      <c r="AS445" s="8"/>
    </row>
    <row r="446" spans="1:45" x14ac:dyDescent="0.2">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c r="AA446" s="8"/>
      <c r="AB446" s="8"/>
      <c r="AC446" s="8"/>
      <c r="AD446" s="8"/>
      <c r="AE446" s="8"/>
      <c r="AF446" s="8"/>
      <c r="AG446" s="8"/>
      <c r="AH446" s="8"/>
      <c r="AI446" s="8"/>
      <c r="AJ446" s="8"/>
      <c r="AK446" s="8"/>
      <c r="AL446" s="8"/>
      <c r="AM446" s="8"/>
      <c r="AN446" s="8"/>
      <c r="AO446" s="8"/>
      <c r="AP446" s="8"/>
      <c r="AQ446" s="8"/>
      <c r="AR446" s="8"/>
      <c r="AS446" s="8"/>
    </row>
    <row r="447" spans="1:45" x14ac:dyDescent="0.2">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c r="AA447" s="8"/>
      <c r="AB447" s="8"/>
      <c r="AC447" s="8"/>
      <c r="AD447" s="8"/>
      <c r="AE447" s="8"/>
      <c r="AF447" s="8"/>
      <c r="AG447" s="8"/>
      <c r="AH447" s="8"/>
      <c r="AI447" s="8"/>
      <c r="AJ447" s="8"/>
      <c r="AK447" s="8"/>
      <c r="AL447" s="8"/>
      <c r="AM447" s="8"/>
      <c r="AN447" s="8"/>
      <c r="AO447" s="8"/>
      <c r="AP447" s="8"/>
      <c r="AQ447" s="8"/>
      <c r="AR447" s="8"/>
      <c r="AS447" s="8"/>
    </row>
    <row r="448" spans="1:45" x14ac:dyDescent="0.2">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c r="AA448" s="8"/>
      <c r="AB448" s="8"/>
      <c r="AC448" s="8"/>
      <c r="AD448" s="8"/>
      <c r="AE448" s="8"/>
      <c r="AF448" s="8"/>
      <c r="AG448" s="8"/>
      <c r="AH448" s="8"/>
      <c r="AI448" s="8"/>
      <c r="AJ448" s="8"/>
      <c r="AK448" s="8"/>
      <c r="AL448" s="8"/>
      <c r="AM448" s="8"/>
      <c r="AN448" s="8"/>
      <c r="AO448" s="8"/>
      <c r="AP448" s="8"/>
      <c r="AQ448" s="8"/>
      <c r="AR448" s="8"/>
      <c r="AS448" s="8"/>
    </row>
    <row r="449" spans="1:45" x14ac:dyDescent="0.2">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c r="AA449" s="8"/>
      <c r="AB449" s="8"/>
      <c r="AC449" s="8"/>
      <c r="AD449" s="8"/>
      <c r="AE449" s="8"/>
      <c r="AF449" s="8"/>
      <c r="AG449" s="8"/>
      <c r="AH449" s="8"/>
      <c r="AI449" s="8"/>
      <c r="AJ449" s="8"/>
      <c r="AK449" s="8"/>
      <c r="AL449" s="8"/>
      <c r="AM449" s="8"/>
      <c r="AN449" s="8"/>
      <c r="AO449" s="8"/>
      <c r="AP449" s="8"/>
      <c r="AQ449" s="8"/>
      <c r="AR449" s="8"/>
      <c r="AS449" s="8"/>
    </row>
    <row r="450" spans="1:45" x14ac:dyDescent="0.2">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c r="AA450" s="8"/>
      <c r="AB450" s="8"/>
      <c r="AC450" s="8"/>
      <c r="AD450" s="8"/>
      <c r="AE450" s="8"/>
      <c r="AF450" s="8"/>
      <c r="AG450" s="8"/>
      <c r="AH450" s="8"/>
      <c r="AI450" s="8"/>
      <c r="AJ450" s="8"/>
      <c r="AK450" s="8"/>
      <c r="AL450" s="8"/>
      <c r="AM450" s="8"/>
      <c r="AN450" s="8"/>
      <c r="AO450" s="8"/>
      <c r="AP450" s="8"/>
      <c r="AQ450" s="8"/>
      <c r="AR450" s="8"/>
      <c r="AS450" s="8"/>
    </row>
    <row r="451" spans="1:45" x14ac:dyDescent="0.2">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c r="AA451" s="8"/>
      <c r="AB451" s="8"/>
      <c r="AC451" s="8"/>
      <c r="AD451" s="8"/>
      <c r="AE451" s="8"/>
      <c r="AF451" s="8"/>
      <c r="AG451" s="8"/>
      <c r="AH451" s="8"/>
      <c r="AI451" s="8"/>
      <c r="AJ451" s="8"/>
      <c r="AK451" s="8"/>
      <c r="AL451" s="8"/>
      <c r="AM451" s="8"/>
      <c r="AN451" s="8"/>
      <c r="AO451" s="8"/>
      <c r="AP451" s="8"/>
      <c r="AQ451" s="8"/>
      <c r="AR451" s="8"/>
      <c r="AS451" s="8"/>
    </row>
    <row r="452" spans="1:45" x14ac:dyDescent="0.2">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c r="AA452" s="8"/>
      <c r="AB452" s="8"/>
      <c r="AC452" s="8"/>
      <c r="AD452" s="8"/>
      <c r="AE452" s="8"/>
      <c r="AF452" s="8"/>
      <c r="AG452" s="8"/>
      <c r="AH452" s="8"/>
      <c r="AI452" s="8"/>
      <c r="AJ452" s="8"/>
      <c r="AK452" s="8"/>
      <c r="AL452" s="8"/>
      <c r="AM452" s="8"/>
      <c r="AN452" s="8"/>
      <c r="AO452" s="8"/>
      <c r="AP452" s="8"/>
      <c r="AQ452" s="8"/>
      <c r="AR452" s="8"/>
      <c r="AS452" s="8"/>
    </row>
    <row r="453" spans="1:45" x14ac:dyDescent="0.2">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c r="AA453" s="8"/>
      <c r="AB453" s="8"/>
      <c r="AC453" s="8"/>
      <c r="AD453" s="8"/>
      <c r="AE453" s="8"/>
      <c r="AF453" s="8"/>
      <c r="AG453" s="8"/>
      <c r="AH453" s="8"/>
      <c r="AI453" s="8"/>
      <c r="AJ453" s="8"/>
      <c r="AK453" s="8"/>
      <c r="AL453" s="8"/>
      <c r="AM453" s="8"/>
      <c r="AN453" s="8"/>
      <c r="AO453" s="8"/>
      <c r="AP453" s="8"/>
      <c r="AQ453" s="8"/>
      <c r="AR453" s="8"/>
      <c r="AS453" s="8"/>
    </row>
    <row r="454" spans="1:45" x14ac:dyDescent="0.2">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c r="AA454" s="8"/>
      <c r="AB454" s="8"/>
      <c r="AC454" s="8"/>
      <c r="AD454" s="8"/>
      <c r="AE454" s="8"/>
      <c r="AF454" s="8"/>
      <c r="AG454" s="8"/>
      <c r="AH454" s="8"/>
      <c r="AI454" s="8"/>
      <c r="AJ454" s="8"/>
      <c r="AK454" s="8"/>
      <c r="AL454" s="8"/>
      <c r="AM454" s="8"/>
      <c r="AN454" s="8"/>
      <c r="AO454" s="8"/>
      <c r="AP454" s="8"/>
      <c r="AQ454" s="8"/>
      <c r="AR454" s="8"/>
      <c r="AS454" s="8"/>
    </row>
    <row r="455" spans="1:45" x14ac:dyDescent="0.2">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c r="AA455" s="8"/>
      <c r="AB455" s="8"/>
      <c r="AC455" s="8"/>
      <c r="AD455" s="8"/>
      <c r="AE455" s="8"/>
      <c r="AF455" s="8"/>
      <c r="AG455" s="8"/>
      <c r="AH455" s="8"/>
      <c r="AI455" s="8"/>
      <c r="AJ455" s="8"/>
      <c r="AK455" s="8"/>
      <c r="AL455" s="8"/>
      <c r="AM455" s="8"/>
      <c r="AN455" s="8"/>
      <c r="AO455" s="8"/>
      <c r="AP455" s="8"/>
      <c r="AQ455" s="8"/>
      <c r="AR455" s="8"/>
      <c r="AS455" s="8"/>
    </row>
    <row r="456" spans="1:45" x14ac:dyDescent="0.2">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c r="AA456" s="8"/>
      <c r="AB456" s="8"/>
      <c r="AC456" s="8"/>
      <c r="AD456" s="8"/>
      <c r="AE456" s="8"/>
      <c r="AF456" s="8"/>
      <c r="AG456" s="8"/>
      <c r="AH456" s="8"/>
      <c r="AI456" s="8"/>
      <c r="AJ456" s="8"/>
      <c r="AK456" s="8"/>
      <c r="AL456" s="8"/>
      <c r="AM456" s="8"/>
      <c r="AN456" s="8"/>
      <c r="AO456" s="8"/>
      <c r="AP456" s="8"/>
      <c r="AQ456" s="8"/>
      <c r="AR456" s="8"/>
      <c r="AS456" s="8"/>
    </row>
    <row r="457" spans="1:45" x14ac:dyDescent="0.2">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c r="AA457" s="8"/>
      <c r="AB457" s="8"/>
      <c r="AC457" s="8"/>
      <c r="AD457" s="8"/>
      <c r="AE457" s="8"/>
      <c r="AF457" s="8"/>
      <c r="AG457" s="8"/>
      <c r="AH457" s="8"/>
      <c r="AI457" s="8"/>
      <c r="AJ457" s="8"/>
      <c r="AK457" s="8"/>
      <c r="AL457" s="8"/>
      <c r="AM457" s="8"/>
      <c r="AN457" s="8"/>
      <c r="AO457" s="8"/>
      <c r="AP457" s="8"/>
      <c r="AQ457" s="8"/>
      <c r="AR457" s="8"/>
      <c r="AS457" s="8"/>
    </row>
    <row r="458" spans="1:45" x14ac:dyDescent="0.2">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c r="AA458" s="8"/>
      <c r="AB458" s="8"/>
      <c r="AC458" s="8"/>
      <c r="AD458" s="8"/>
      <c r="AE458" s="8"/>
      <c r="AF458" s="8"/>
      <c r="AG458" s="8"/>
      <c r="AH458" s="8"/>
      <c r="AI458" s="8"/>
      <c r="AJ458" s="8"/>
      <c r="AK458" s="8"/>
      <c r="AL458" s="8"/>
      <c r="AM458" s="8"/>
      <c r="AN458" s="8"/>
      <c r="AO458" s="8"/>
      <c r="AP458" s="8"/>
      <c r="AQ458" s="8"/>
      <c r="AR458" s="8"/>
      <c r="AS458" s="8"/>
    </row>
    <row r="459" spans="1:45" x14ac:dyDescent="0.2">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c r="AA459" s="8"/>
      <c r="AB459" s="8"/>
      <c r="AC459" s="8"/>
      <c r="AD459" s="8"/>
      <c r="AE459" s="8"/>
      <c r="AF459" s="8"/>
      <c r="AG459" s="8"/>
      <c r="AH459" s="8"/>
      <c r="AI459" s="8"/>
      <c r="AJ459" s="8"/>
      <c r="AK459" s="8"/>
      <c r="AL459" s="8"/>
      <c r="AM459" s="8"/>
      <c r="AN459" s="8"/>
      <c r="AO459" s="8"/>
      <c r="AP459" s="8"/>
      <c r="AQ459" s="8"/>
      <c r="AR459" s="8"/>
      <c r="AS459" s="8"/>
    </row>
    <row r="460" spans="1:45" x14ac:dyDescent="0.2">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c r="AA460" s="8"/>
      <c r="AB460" s="8"/>
      <c r="AC460" s="8"/>
      <c r="AD460" s="8"/>
      <c r="AE460" s="8"/>
      <c r="AF460" s="8"/>
      <c r="AG460" s="8"/>
      <c r="AH460" s="8"/>
      <c r="AI460" s="8"/>
      <c r="AJ460" s="8"/>
      <c r="AK460" s="8"/>
      <c r="AL460" s="8"/>
      <c r="AM460" s="8"/>
      <c r="AN460" s="8"/>
      <c r="AO460" s="8"/>
      <c r="AP460" s="8"/>
      <c r="AQ460" s="8"/>
      <c r="AR460" s="8"/>
      <c r="AS460" s="8"/>
    </row>
    <row r="461" spans="1:45" x14ac:dyDescent="0.2">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c r="AA461" s="8"/>
      <c r="AB461" s="8"/>
      <c r="AC461" s="8"/>
      <c r="AD461" s="8"/>
      <c r="AE461" s="8"/>
      <c r="AF461" s="8"/>
      <c r="AG461" s="8"/>
      <c r="AH461" s="8"/>
      <c r="AI461" s="8"/>
      <c r="AJ461" s="8"/>
      <c r="AK461" s="8"/>
      <c r="AL461" s="8"/>
      <c r="AM461" s="8"/>
      <c r="AN461" s="8"/>
      <c r="AO461" s="8"/>
      <c r="AP461" s="8"/>
      <c r="AQ461" s="8"/>
      <c r="AR461" s="8"/>
      <c r="AS461" s="8"/>
    </row>
    <row r="462" spans="1:45" x14ac:dyDescent="0.2">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c r="AA462" s="8"/>
      <c r="AB462" s="8"/>
      <c r="AC462" s="8"/>
      <c r="AD462" s="8"/>
      <c r="AE462" s="8"/>
      <c r="AF462" s="8"/>
      <c r="AG462" s="8"/>
      <c r="AH462" s="8"/>
      <c r="AI462" s="8"/>
      <c r="AJ462" s="8"/>
      <c r="AK462" s="8"/>
      <c r="AL462" s="8"/>
      <c r="AM462" s="8"/>
      <c r="AN462" s="8"/>
      <c r="AO462" s="8"/>
      <c r="AP462" s="8"/>
      <c r="AQ462" s="8"/>
      <c r="AR462" s="8"/>
      <c r="AS462" s="8"/>
    </row>
    <row r="463" spans="1:45" x14ac:dyDescent="0.2">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c r="AA463" s="8"/>
      <c r="AB463" s="8"/>
      <c r="AC463" s="8"/>
      <c r="AD463" s="8"/>
      <c r="AE463" s="8"/>
      <c r="AF463" s="8"/>
      <c r="AG463" s="8"/>
      <c r="AH463" s="8"/>
      <c r="AI463" s="8"/>
      <c r="AJ463" s="8"/>
      <c r="AK463" s="8"/>
      <c r="AL463" s="8"/>
      <c r="AM463" s="8"/>
      <c r="AN463" s="8"/>
      <c r="AO463" s="8"/>
      <c r="AP463" s="8"/>
      <c r="AQ463" s="8"/>
      <c r="AR463" s="8"/>
      <c r="AS463" s="8"/>
    </row>
    <row r="464" spans="1:45" x14ac:dyDescent="0.2">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c r="AA464" s="8"/>
    </row>
    <row r="465" spans="1:27" x14ac:dyDescent="0.2">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c r="AA465" s="8"/>
    </row>
    <row r="466" spans="1:27" x14ac:dyDescent="0.2">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c r="AA466" s="8"/>
    </row>
    <row r="467" spans="1:27" x14ac:dyDescent="0.2">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c r="AA467" s="8"/>
    </row>
    <row r="468" spans="1:27" x14ac:dyDescent="0.2">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c r="AA468" s="8"/>
    </row>
    <row r="469" spans="1:27" x14ac:dyDescent="0.2">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c r="AA469" s="8"/>
    </row>
    <row r="470" spans="1:27" x14ac:dyDescent="0.2">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c r="AA470" s="8"/>
    </row>
    <row r="471" spans="1:27" x14ac:dyDescent="0.2">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c r="AA471" s="8"/>
    </row>
    <row r="472" spans="1:27" x14ac:dyDescent="0.2">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c r="AA472" s="8"/>
    </row>
    <row r="473" spans="1:27" x14ac:dyDescent="0.2">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c r="AA473" s="8"/>
    </row>
    <row r="474" spans="1:27" x14ac:dyDescent="0.2">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c r="AA474" s="8"/>
    </row>
    <row r="475" spans="1:27" x14ac:dyDescent="0.2">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c r="AA475" s="8"/>
    </row>
    <row r="476" spans="1:27" x14ac:dyDescent="0.2">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c r="AA476" s="8"/>
    </row>
    <row r="477" spans="1:27" x14ac:dyDescent="0.2">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c r="AA477" s="8"/>
    </row>
    <row r="478" spans="1:27" x14ac:dyDescent="0.2">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c r="AA478" s="8"/>
    </row>
    <row r="479" spans="1:27" x14ac:dyDescent="0.2">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c r="AA479" s="8"/>
    </row>
    <row r="480" spans="1:27" x14ac:dyDescent="0.2">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c r="AA480" s="8"/>
    </row>
    <row r="481" spans="1:27" x14ac:dyDescent="0.2">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c r="AA481" s="8"/>
    </row>
    <row r="482" spans="1:27" x14ac:dyDescent="0.2">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c r="AA482" s="8"/>
    </row>
    <row r="483" spans="1:27" x14ac:dyDescent="0.2">
      <c r="A483" s="8"/>
      <c r="B483" s="8"/>
      <c r="C483" s="8"/>
      <c r="D483" s="8"/>
      <c r="E483" s="8"/>
      <c r="F483" s="8"/>
      <c r="G483" s="8"/>
      <c r="H483" s="8"/>
      <c r="I483" s="8"/>
      <c r="J483" s="8"/>
      <c r="K483" s="8"/>
      <c r="L483" s="8"/>
      <c r="M483" s="8"/>
      <c r="N483" s="8"/>
      <c r="O483" s="8"/>
      <c r="P483" s="8"/>
      <c r="Q483" s="8"/>
      <c r="R483" s="8"/>
      <c r="S483" s="8"/>
      <c r="T483" s="8"/>
      <c r="U483" s="8"/>
      <c r="V483" s="8"/>
      <c r="W483" s="8"/>
      <c r="X483" s="8"/>
      <c r="Y483" s="8"/>
      <c r="Z483" s="8"/>
      <c r="AA483" s="8"/>
    </row>
    <row r="484" spans="1:27" x14ac:dyDescent="0.2">
      <c r="A484" s="8"/>
      <c r="B484" s="8"/>
      <c r="C484" s="8"/>
      <c r="D484" s="8"/>
      <c r="E484" s="8"/>
      <c r="F484" s="8"/>
      <c r="G484" s="8"/>
      <c r="H484" s="8"/>
      <c r="I484" s="8"/>
      <c r="J484" s="8"/>
      <c r="K484" s="8"/>
      <c r="L484" s="8"/>
      <c r="M484" s="8"/>
      <c r="N484" s="8"/>
      <c r="O484" s="8"/>
      <c r="P484" s="8"/>
      <c r="Q484" s="8"/>
      <c r="R484" s="8"/>
      <c r="S484" s="8"/>
      <c r="T484" s="8"/>
      <c r="U484" s="8"/>
      <c r="V484" s="8"/>
      <c r="W484" s="8"/>
      <c r="X484" s="8"/>
      <c r="Y484" s="8"/>
      <c r="Z484" s="8"/>
      <c r="AA484" s="8"/>
    </row>
    <row r="485" spans="1:27" x14ac:dyDescent="0.2">
      <c r="A485" s="8"/>
      <c r="B485" s="8"/>
      <c r="C485" s="8"/>
      <c r="D485" s="8"/>
      <c r="E485" s="8"/>
      <c r="F485" s="8"/>
      <c r="G485" s="8"/>
      <c r="H485" s="8"/>
      <c r="I485" s="8"/>
      <c r="J485" s="8"/>
      <c r="K485" s="8"/>
      <c r="L485" s="8"/>
      <c r="M485" s="8"/>
      <c r="N485" s="8"/>
      <c r="O485" s="8"/>
      <c r="P485" s="8"/>
      <c r="Q485" s="8"/>
      <c r="R485" s="8"/>
      <c r="S485" s="8"/>
      <c r="T485" s="8"/>
      <c r="U485" s="8"/>
      <c r="V485" s="8"/>
      <c r="W485" s="8"/>
      <c r="X485" s="8"/>
      <c r="Y485" s="8"/>
      <c r="Z485" s="8"/>
      <c r="AA485" s="8"/>
    </row>
    <row r="486" spans="1:27" x14ac:dyDescent="0.2">
      <c r="A486" s="8"/>
      <c r="B486" s="8"/>
      <c r="C486" s="8"/>
      <c r="D486" s="8"/>
      <c r="E486" s="8"/>
      <c r="F486" s="8"/>
      <c r="G486" s="8"/>
      <c r="H486" s="8"/>
      <c r="I486" s="8"/>
      <c r="J486" s="8"/>
      <c r="K486" s="8"/>
      <c r="L486" s="8"/>
      <c r="M486" s="8"/>
      <c r="N486" s="8"/>
      <c r="O486" s="8"/>
      <c r="P486" s="8"/>
      <c r="Q486" s="8"/>
      <c r="R486" s="8"/>
      <c r="S486" s="8"/>
      <c r="T486" s="8"/>
      <c r="U486" s="8"/>
      <c r="V486" s="8"/>
      <c r="W486" s="8"/>
      <c r="X486" s="8"/>
      <c r="Y486" s="8"/>
      <c r="Z486" s="8"/>
      <c r="AA486" s="8"/>
    </row>
    <row r="487" spans="1:27" x14ac:dyDescent="0.2">
      <c r="A487" s="8"/>
      <c r="B487" s="8"/>
      <c r="C487" s="8"/>
      <c r="D487" s="8"/>
      <c r="E487" s="8"/>
      <c r="F487" s="8"/>
      <c r="G487" s="8"/>
      <c r="H487" s="8"/>
      <c r="I487" s="8"/>
      <c r="J487" s="8"/>
      <c r="K487" s="8"/>
      <c r="L487" s="8"/>
      <c r="M487" s="8"/>
      <c r="N487" s="8"/>
      <c r="O487" s="8"/>
      <c r="P487" s="8"/>
      <c r="Q487" s="8"/>
      <c r="R487" s="8"/>
      <c r="S487" s="8"/>
      <c r="T487" s="8"/>
      <c r="U487" s="8"/>
      <c r="V487" s="8"/>
      <c r="W487" s="8"/>
      <c r="X487" s="8"/>
      <c r="Y487" s="8"/>
      <c r="Z487" s="8"/>
      <c r="AA487" s="8"/>
    </row>
    <row r="488" spans="1:27" x14ac:dyDescent="0.2">
      <c r="A488" s="8"/>
      <c r="B488" s="8"/>
      <c r="C488" s="8"/>
      <c r="D488" s="8"/>
      <c r="E488" s="8"/>
      <c r="F488" s="8"/>
      <c r="G488" s="8"/>
      <c r="H488" s="8"/>
      <c r="I488" s="8"/>
      <c r="J488" s="8"/>
      <c r="K488" s="8"/>
      <c r="L488" s="8"/>
      <c r="M488" s="8"/>
      <c r="N488" s="8"/>
      <c r="O488" s="8"/>
      <c r="P488" s="8"/>
      <c r="Q488" s="8"/>
      <c r="R488" s="8"/>
      <c r="S488" s="8"/>
      <c r="T488" s="8"/>
      <c r="U488" s="8"/>
      <c r="V488" s="8"/>
      <c r="W488" s="8"/>
      <c r="X488" s="8"/>
      <c r="Y488" s="8"/>
      <c r="Z488" s="8"/>
      <c r="AA488" s="8"/>
    </row>
    <row r="489" spans="1:27" x14ac:dyDescent="0.2">
      <c r="A489" s="8"/>
      <c r="B489" s="8"/>
      <c r="C489" s="8"/>
      <c r="D489" s="8"/>
      <c r="E489" s="8"/>
      <c r="F489" s="8"/>
      <c r="G489" s="8"/>
      <c r="H489" s="8"/>
      <c r="I489" s="8"/>
      <c r="J489" s="8"/>
      <c r="K489" s="8"/>
      <c r="L489" s="8"/>
      <c r="M489" s="8"/>
      <c r="N489" s="8"/>
      <c r="O489" s="8"/>
      <c r="P489" s="8"/>
      <c r="Q489" s="8"/>
      <c r="R489" s="8"/>
      <c r="S489" s="8"/>
      <c r="T489" s="8"/>
      <c r="U489" s="8"/>
      <c r="V489" s="8"/>
      <c r="W489" s="8"/>
      <c r="X489" s="8"/>
      <c r="Y489" s="8"/>
      <c r="Z489" s="8"/>
      <c r="AA489" s="8"/>
    </row>
    <row r="490" spans="1:27" x14ac:dyDescent="0.2">
      <c r="A490" s="8"/>
      <c r="B490" s="8"/>
      <c r="C490" s="8"/>
      <c r="D490" s="8"/>
      <c r="E490" s="8"/>
      <c r="F490" s="8"/>
      <c r="G490" s="8"/>
      <c r="H490" s="8"/>
      <c r="I490" s="8"/>
      <c r="J490" s="8"/>
      <c r="K490" s="8"/>
      <c r="L490" s="8"/>
      <c r="M490" s="8"/>
      <c r="N490" s="8"/>
      <c r="O490" s="8"/>
      <c r="P490" s="8"/>
      <c r="Q490" s="8"/>
      <c r="R490" s="8"/>
      <c r="S490" s="8"/>
      <c r="T490" s="8"/>
      <c r="U490" s="8"/>
      <c r="V490" s="8"/>
      <c r="W490" s="8"/>
      <c r="X490" s="8"/>
      <c r="Y490" s="8"/>
      <c r="Z490" s="8"/>
      <c r="AA490" s="8"/>
    </row>
    <row r="491" spans="1:27" x14ac:dyDescent="0.2">
      <c r="A491" s="8"/>
      <c r="B491" s="8"/>
      <c r="C491" s="8"/>
      <c r="D491" s="8"/>
      <c r="E491" s="8"/>
      <c r="F491" s="8"/>
      <c r="G491" s="8"/>
      <c r="H491" s="8"/>
      <c r="I491" s="8"/>
      <c r="J491" s="8"/>
      <c r="K491" s="8"/>
      <c r="L491" s="8"/>
      <c r="M491" s="8"/>
      <c r="N491" s="8"/>
      <c r="O491" s="8"/>
      <c r="P491" s="8"/>
      <c r="Q491" s="8"/>
      <c r="R491" s="8"/>
      <c r="S491" s="8"/>
      <c r="T491" s="8"/>
      <c r="U491" s="8"/>
      <c r="V491" s="8"/>
      <c r="W491" s="8"/>
      <c r="X491" s="8"/>
      <c r="Y491" s="8"/>
      <c r="Z491" s="8"/>
      <c r="AA491" s="8"/>
    </row>
    <row r="492" spans="1:27" x14ac:dyDescent="0.2">
      <c r="A492" s="8"/>
      <c r="B492" s="8"/>
      <c r="C492" s="8"/>
      <c r="D492" s="8"/>
      <c r="E492" s="8"/>
      <c r="F492" s="8"/>
      <c r="G492" s="8"/>
      <c r="H492" s="8"/>
      <c r="I492" s="8"/>
      <c r="J492" s="8"/>
      <c r="K492" s="8"/>
      <c r="L492" s="8"/>
      <c r="M492" s="8"/>
      <c r="N492" s="8"/>
      <c r="O492" s="8"/>
      <c r="P492" s="8"/>
      <c r="Q492" s="8"/>
      <c r="R492" s="8"/>
      <c r="S492" s="8"/>
      <c r="T492" s="8"/>
      <c r="U492" s="8"/>
      <c r="V492" s="8"/>
      <c r="W492" s="8"/>
      <c r="X492" s="8"/>
      <c r="Y492" s="8"/>
      <c r="Z492" s="8"/>
      <c r="AA492" s="8"/>
    </row>
    <row r="493" spans="1:27" x14ac:dyDescent="0.2">
      <c r="A493" s="8"/>
      <c r="B493" s="8"/>
      <c r="C493" s="8"/>
      <c r="D493" s="8"/>
      <c r="E493" s="8"/>
      <c r="F493" s="8"/>
      <c r="G493" s="8"/>
      <c r="H493" s="8"/>
      <c r="I493" s="8"/>
      <c r="J493" s="8"/>
      <c r="K493" s="8"/>
      <c r="L493" s="8"/>
      <c r="M493" s="8"/>
      <c r="N493" s="8"/>
      <c r="O493" s="8"/>
      <c r="P493" s="8"/>
      <c r="Q493" s="8"/>
      <c r="R493" s="8"/>
      <c r="S493" s="8"/>
      <c r="T493" s="8"/>
      <c r="U493" s="8"/>
      <c r="V493" s="8"/>
      <c r="W493" s="8"/>
      <c r="X493" s="8"/>
      <c r="Y493" s="8"/>
      <c r="Z493" s="8"/>
      <c r="AA493" s="8"/>
    </row>
    <row r="494" spans="1:27" x14ac:dyDescent="0.2">
      <c r="A494" s="8"/>
      <c r="B494" s="8"/>
      <c r="C494" s="8"/>
      <c r="D494" s="8"/>
      <c r="E494" s="8"/>
      <c r="F494" s="8"/>
      <c r="G494" s="8"/>
      <c r="H494" s="8"/>
      <c r="I494" s="8"/>
      <c r="J494" s="8"/>
      <c r="K494" s="8"/>
      <c r="L494" s="8"/>
      <c r="M494" s="8"/>
      <c r="N494" s="8"/>
      <c r="O494" s="8"/>
      <c r="P494" s="8"/>
      <c r="Q494" s="8"/>
      <c r="R494" s="8"/>
      <c r="S494" s="8"/>
      <c r="T494" s="8"/>
      <c r="U494" s="8"/>
      <c r="V494" s="8"/>
      <c r="W494" s="8"/>
      <c r="X494" s="8"/>
      <c r="Y494" s="8"/>
      <c r="Z494" s="8"/>
      <c r="AA494" s="8"/>
    </row>
    <row r="495" spans="1:27" x14ac:dyDescent="0.2">
      <c r="A495" s="8"/>
      <c r="B495" s="8"/>
      <c r="C495" s="8"/>
      <c r="D495" s="8"/>
      <c r="E495" s="8"/>
      <c r="F495" s="8"/>
      <c r="G495" s="8"/>
      <c r="H495" s="8"/>
      <c r="I495" s="8"/>
      <c r="J495" s="8"/>
      <c r="K495" s="8"/>
      <c r="L495" s="8"/>
      <c r="M495" s="8"/>
      <c r="N495" s="8"/>
      <c r="O495" s="8"/>
      <c r="P495" s="8"/>
      <c r="Q495" s="8"/>
      <c r="R495" s="8"/>
      <c r="S495" s="8"/>
      <c r="T495" s="8"/>
      <c r="U495" s="8"/>
      <c r="V495" s="8"/>
      <c r="W495" s="8"/>
      <c r="X495" s="8"/>
      <c r="Y495" s="8"/>
      <c r="Z495" s="8"/>
      <c r="AA495" s="8"/>
    </row>
    <row r="496" spans="1:27" x14ac:dyDescent="0.2">
      <c r="A496" s="8"/>
      <c r="B496" s="8"/>
      <c r="C496" s="8"/>
      <c r="D496" s="8"/>
      <c r="E496" s="8"/>
      <c r="F496" s="8"/>
      <c r="G496" s="8"/>
      <c r="H496" s="8"/>
      <c r="I496" s="8"/>
      <c r="J496" s="8"/>
      <c r="K496" s="8"/>
      <c r="L496" s="8"/>
      <c r="M496" s="8"/>
      <c r="N496" s="8"/>
      <c r="O496" s="8"/>
      <c r="P496" s="8"/>
      <c r="Q496" s="8"/>
      <c r="R496" s="8"/>
      <c r="S496" s="8"/>
      <c r="T496" s="8"/>
      <c r="U496" s="8"/>
      <c r="V496" s="8"/>
      <c r="W496" s="8"/>
      <c r="X496" s="8"/>
      <c r="Y496" s="8"/>
      <c r="Z496" s="8"/>
      <c r="AA496" s="8"/>
    </row>
    <row r="497" spans="1:27" x14ac:dyDescent="0.2">
      <c r="A497" s="8"/>
      <c r="B497" s="8"/>
      <c r="C497" s="8"/>
      <c r="D497" s="8"/>
      <c r="E497" s="8"/>
      <c r="F497" s="8"/>
      <c r="G497" s="8"/>
      <c r="H497" s="8"/>
      <c r="I497" s="8"/>
      <c r="J497" s="8"/>
      <c r="K497" s="8"/>
      <c r="L497" s="8"/>
      <c r="M497" s="8"/>
      <c r="N497" s="8"/>
      <c r="O497" s="8"/>
      <c r="P497" s="8"/>
      <c r="Q497" s="8"/>
      <c r="R497" s="8"/>
      <c r="S497" s="8"/>
      <c r="T497" s="8"/>
      <c r="U497" s="8"/>
      <c r="V497" s="8"/>
      <c r="W497" s="8"/>
      <c r="X497" s="8"/>
      <c r="Y497" s="8"/>
      <c r="Z497" s="8"/>
      <c r="AA497" s="8"/>
    </row>
    <row r="498" spans="1:27" x14ac:dyDescent="0.2">
      <c r="A498" s="8"/>
      <c r="B498" s="8"/>
      <c r="C498" s="8"/>
      <c r="D498" s="8"/>
      <c r="E498" s="8"/>
      <c r="F498" s="8"/>
      <c r="G498" s="8"/>
      <c r="H498" s="8"/>
      <c r="I498" s="8"/>
      <c r="J498" s="8"/>
      <c r="K498" s="8"/>
      <c r="L498" s="8"/>
      <c r="M498" s="8"/>
      <c r="N498" s="8"/>
      <c r="O498" s="8"/>
      <c r="P498" s="8"/>
      <c r="Q498" s="8"/>
      <c r="R498" s="8"/>
      <c r="S498" s="8"/>
      <c r="T498" s="8"/>
      <c r="U498" s="8"/>
      <c r="V498" s="8"/>
      <c r="W498" s="8"/>
      <c r="X498" s="8"/>
      <c r="Y498" s="8"/>
      <c r="Z498" s="8"/>
      <c r="AA498" s="8"/>
    </row>
    <row r="499" spans="1:27" x14ac:dyDescent="0.2">
      <c r="A499" s="8"/>
      <c r="B499" s="8"/>
      <c r="C499" s="8"/>
      <c r="D499" s="8"/>
      <c r="E499" s="8"/>
      <c r="F499" s="8"/>
      <c r="G499" s="8"/>
      <c r="H499" s="8"/>
      <c r="I499" s="8"/>
      <c r="J499" s="8"/>
      <c r="K499" s="8"/>
      <c r="L499" s="8"/>
      <c r="M499" s="8"/>
      <c r="N499" s="8"/>
      <c r="O499" s="8"/>
      <c r="P499" s="8"/>
      <c r="Q499" s="8"/>
      <c r="R499" s="8"/>
      <c r="S499" s="8"/>
      <c r="T499" s="8"/>
      <c r="U499" s="8"/>
      <c r="V499" s="8"/>
      <c r="W499" s="8"/>
      <c r="X499" s="8"/>
      <c r="Y499" s="8"/>
      <c r="Z499" s="8"/>
      <c r="AA499" s="8"/>
    </row>
    <row r="500" spans="1:27" x14ac:dyDescent="0.2">
      <c r="A500" s="8"/>
      <c r="B500" s="8"/>
      <c r="C500" s="8"/>
      <c r="D500" s="8"/>
      <c r="E500" s="8"/>
      <c r="F500" s="8"/>
      <c r="G500" s="8"/>
      <c r="H500" s="8"/>
      <c r="I500" s="8"/>
      <c r="J500" s="8"/>
      <c r="K500" s="8"/>
      <c r="L500" s="8"/>
      <c r="M500" s="8"/>
      <c r="N500" s="8"/>
      <c r="O500" s="8"/>
      <c r="P500" s="8"/>
      <c r="Q500" s="8"/>
      <c r="R500" s="8"/>
      <c r="S500" s="8"/>
      <c r="T500" s="8"/>
      <c r="U500" s="8"/>
      <c r="V500" s="8"/>
      <c r="W500" s="8"/>
      <c r="X500" s="8"/>
      <c r="Y500" s="8"/>
      <c r="Z500" s="8"/>
      <c r="AA500" s="8"/>
    </row>
    <row r="501" spans="1:27" x14ac:dyDescent="0.2">
      <c r="A501" s="8"/>
      <c r="B501" s="8"/>
      <c r="C501" s="8"/>
      <c r="D501" s="8"/>
      <c r="E501" s="8"/>
      <c r="F501" s="8"/>
      <c r="G501" s="8"/>
      <c r="H501" s="8"/>
      <c r="I501" s="8"/>
      <c r="J501" s="8"/>
      <c r="K501" s="8"/>
      <c r="L501" s="8"/>
      <c r="M501" s="8"/>
      <c r="N501" s="8"/>
      <c r="O501" s="8"/>
      <c r="P501" s="8"/>
      <c r="Q501" s="8"/>
      <c r="R501" s="8"/>
      <c r="S501" s="8"/>
      <c r="T501" s="8"/>
      <c r="U501" s="8"/>
      <c r="V501" s="8"/>
      <c r="W501" s="8"/>
      <c r="X501" s="8"/>
      <c r="Y501" s="8"/>
      <c r="Z501" s="8"/>
      <c r="AA501" s="8"/>
    </row>
    <row r="502" spans="1:27" x14ac:dyDescent="0.2">
      <c r="A502" s="8"/>
      <c r="B502" s="8"/>
      <c r="C502" s="8"/>
      <c r="D502" s="8"/>
      <c r="E502" s="8"/>
      <c r="F502" s="8"/>
      <c r="G502" s="8"/>
      <c r="H502" s="8"/>
      <c r="I502" s="8"/>
      <c r="J502" s="8"/>
      <c r="K502" s="8"/>
      <c r="L502" s="8"/>
      <c r="M502" s="8"/>
      <c r="N502" s="8"/>
      <c r="O502" s="8"/>
      <c r="P502" s="8"/>
      <c r="Q502" s="8"/>
      <c r="R502" s="8"/>
      <c r="S502" s="8"/>
      <c r="T502" s="8"/>
      <c r="U502" s="8"/>
      <c r="V502" s="8"/>
      <c r="W502" s="8"/>
      <c r="X502" s="8"/>
      <c r="Y502" s="8"/>
      <c r="Z502" s="8"/>
      <c r="AA502" s="8"/>
    </row>
    <row r="503" spans="1:27" x14ac:dyDescent="0.2">
      <c r="A503" s="8"/>
      <c r="B503" s="8"/>
      <c r="C503" s="8"/>
      <c r="D503" s="8"/>
      <c r="E503" s="8"/>
      <c r="F503" s="8"/>
      <c r="G503" s="8"/>
      <c r="H503" s="8"/>
      <c r="I503" s="8"/>
      <c r="J503" s="8"/>
      <c r="K503" s="8"/>
      <c r="L503" s="8"/>
      <c r="M503" s="8"/>
      <c r="N503" s="8"/>
      <c r="O503" s="8"/>
      <c r="P503" s="8"/>
      <c r="Q503" s="8"/>
      <c r="R503" s="8"/>
      <c r="S503" s="8"/>
      <c r="T503" s="8"/>
      <c r="U503" s="8"/>
      <c r="V503" s="8"/>
      <c r="W503" s="8"/>
      <c r="X503" s="8"/>
      <c r="Y503" s="8"/>
      <c r="Z503" s="8"/>
      <c r="AA503" s="8"/>
    </row>
    <row r="504" spans="1:27" x14ac:dyDescent="0.2">
      <c r="A504" s="8"/>
      <c r="B504" s="8"/>
      <c r="C504" s="8"/>
      <c r="D504" s="8"/>
      <c r="E504" s="8"/>
      <c r="F504" s="8"/>
      <c r="G504" s="8"/>
      <c r="H504" s="8"/>
      <c r="I504" s="8"/>
      <c r="J504" s="8"/>
      <c r="K504" s="8"/>
      <c r="L504" s="8"/>
      <c r="M504" s="8"/>
      <c r="N504" s="8"/>
      <c r="O504" s="8"/>
      <c r="P504" s="8"/>
      <c r="Q504" s="8"/>
      <c r="R504" s="8"/>
      <c r="S504" s="8"/>
      <c r="T504" s="8"/>
      <c r="U504" s="8"/>
      <c r="V504" s="8"/>
      <c r="W504" s="8"/>
      <c r="X504" s="8"/>
      <c r="Y504" s="8"/>
      <c r="Z504" s="8"/>
      <c r="AA504" s="8"/>
    </row>
    <row r="505" spans="1:27" x14ac:dyDescent="0.2">
      <c r="A505" s="8"/>
      <c r="B505" s="8"/>
      <c r="C505" s="8"/>
      <c r="D505" s="8"/>
      <c r="E505" s="8"/>
      <c r="F505" s="8"/>
      <c r="G505" s="8"/>
      <c r="H505" s="8"/>
      <c r="I505" s="8"/>
      <c r="J505" s="8"/>
      <c r="K505" s="8"/>
      <c r="L505" s="8"/>
      <c r="M505" s="8"/>
      <c r="N505" s="8"/>
      <c r="O505" s="8"/>
      <c r="P505" s="8"/>
      <c r="Q505" s="8"/>
      <c r="R505" s="8"/>
      <c r="S505" s="8"/>
      <c r="T505" s="8"/>
      <c r="U505" s="8"/>
      <c r="V505" s="8"/>
      <c r="W505" s="8"/>
      <c r="X505" s="8"/>
      <c r="Y505" s="8"/>
      <c r="Z505" s="8"/>
      <c r="AA505" s="8"/>
    </row>
    <row r="506" spans="1:27" x14ac:dyDescent="0.2">
      <c r="A506" s="8"/>
      <c r="B506" s="8"/>
      <c r="C506" s="8"/>
      <c r="D506" s="8"/>
      <c r="E506" s="8"/>
      <c r="F506" s="8"/>
      <c r="G506" s="8"/>
      <c r="H506" s="8"/>
      <c r="I506" s="8"/>
      <c r="J506" s="8"/>
      <c r="K506" s="8"/>
      <c r="L506" s="8"/>
      <c r="M506" s="8"/>
      <c r="N506" s="8"/>
      <c r="O506" s="8"/>
      <c r="P506" s="8"/>
      <c r="Q506" s="8"/>
      <c r="R506" s="8"/>
      <c r="S506" s="8"/>
      <c r="T506" s="8"/>
      <c r="U506" s="8"/>
      <c r="V506" s="8"/>
      <c r="W506" s="8"/>
      <c r="X506" s="8"/>
      <c r="Y506" s="8"/>
      <c r="Z506" s="8"/>
      <c r="AA506" s="8"/>
    </row>
    <row r="507" spans="1:27" x14ac:dyDescent="0.2">
      <c r="A507" s="8"/>
      <c r="B507" s="8"/>
      <c r="C507" s="8"/>
      <c r="D507" s="8"/>
      <c r="E507" s="8"/>
      <c r="F507" s="8"/>
      <c r="G507" s="8"/>
      <c r="H507" s="8"/>
      <c r="I507" s="8"/>
      <c r="J507" s="8"/>
      <c r="K507" s="8"/>
      <c r="L507" s="8"/>
      <c r="M507" s="8"/>
      <c r="N507" s="8"/>
      <c r="O507" s="8"/>
      <c r="P507" s="8"/>
      <c r="Q507" s="8"/>
      <c r="R507" s="8"/>
      <c r="S507" s="8"/>
      <c r="T507" s="8"/>
      <c r="U507" s="8"/>
      <c r="V507" s="8"/>
      <c r="W507" s="8"/>
      <c r="X507" s="8"/>
      <c r="Y507" s="8"/>
      <c r="Z507" s="8"/>
      <c r="AA507" s="8"/>
    </row>
    <row r="508" spans="1:27" x14ac:dyDescent="0.2">
      <c r="A508" s="8"/>
      <c r="B508" s="8"/>
      <c r="C508" s="8"/>
      <c r="D508" s="8"/>
      <c r="E508" s="8"/>
      <c r="F508" s="8"/>
      <c r="G508" s="8"/>
      <c r="H508" s="8"/>
      <c r="I508" s="8"/>
      <c r="J508" s="8"/>
      <c r="K508" s="8"/>
      <c r="L508" s="8"/>
      <c r="M508" s="8"/>
      <c r="N508" s="8"/>
      <c r="O508" s="8"/>
      <c r="P508" s="8"/>
      <c r="Q508" s="8"/>
      <c r="R508" s="8"/>
      <c r="S508" s="8"/>
      <c r="T508" s="8"/>
      <c r="U508" s="8"/>
      <c r="V508" s="8"/>
      <c r="W508" s="8"/>
      <c r="X508" s="8"/>
      <c r="Y508" s="8"/>
      <c r="Z508" s="8"/>
      <c r="AA508" s="8"/>
    </row>
    <row r="509" spans="1:27" x14ac:dyDescent="0.2">
      <c r="A509" s="8"/>
      <c r="B509" s="8"/>
      <c r="C509" s="8"/>
      <c r="D509" s="8"/>
      <c r="E509" s="8"/>
      <c r="F509" s="8"/>
      <c r="G509" s="8"/>
      <c r="H509" s="8"/>
      <c r="I509" s="8"/>
      <c r="J509" s="8"/>
      <c r="K509" s="8"/>
      <c r="L509" s="8"/>
      <c r="M509" s="8"/>
      <c r="N509" s="8"/>
      <c r="O509" s="8"/>
      <c r="P509" s="8"/>
      <c r="Q509" s="8"/>
      <c r="R509" s="8"/>
      <c r="S509" s="8"/>
      <c r="T509" s="8"/>
      <c r="U509" s="8"/>
      <c r="V509" s="8"/>
      <c r="W509" s="8"/>
      <c r="X509" s="8"/>
      <c r="Y509" s="8"/>
      <c r="Z509" s="8"/>
      <c r="AA509" s="8"/>
    </row>
    <row r="510" spans="1:27" x14ac:dyDescent="0.2">
      <c r="A510" s="8"/>
      <c r="B510" s="8"/>
      <c r="C510" s="8"/>
      <c r="D510" s="8"/>
      <c r="E510" s="8"/>
      <c r="F510" s="8"/>
      <c r="G510" s="8"/>
      <c r="H510" s="8"/>
      <c r="I510" s="8"/>
      <c r="J510" s="8"/>
      <c r="K510" s="8"/>
      <c r="L510" s="8"/>
      <c r="M510" s="8"/>
      <c r="N510" s="8"/>
      <c r="O510" s="8"/>
      <c r="P510" s="8"/>
      <c r="Q510" s="8"/>
      <c r="R510" s="8"/>
      <c r="S510" s="8"/>
      <c r="T510" s="8"/>
      <c r="U510" s="8"/>
      <c r="V510" s="8"/>
      <c r="W510" s="8"/>
      <c r="X510" s="8"/>
      <c r="Y510" s="8"/>
      <c r="Z510" s="8"/>
      <c r="AA510" s="8"/>
    </row>
    <row r="511" spans="1:27" x14ac:dyDescent="0.2">
      <c r="A511" s="8"/>
      <c r="B511" s="8"/>
      <c r="C511" s="8"/>
      <c r="D511" s="8"/>
      <c r="E511" s="8"/>
      <c r="F511" s="8"/>
      <c r="G511" s="8"/>
      <c r="H511" s="8"/>
      <c r="I511" s="8"/>
      <c r="J511" s="8"/>
      <c r="K511" s="8"/>
      <c r="L511" s="8"/>
      <c r="M511" s="8"/>
      <c r="N511" s="8"/>
      <c r="O511" s="8"/>
      <c r="P511" s="8"/>
      <c r="Q511" s="8"/>
      <c r="R511" s="8"/>
      <c r="S511" s="8"/>
      <c r="T511" s="8"/>
      <c r="U511" s="8"/>
      <c r="V511" s="8"/>
      <c r="W511" s="8"/>
      <c r="X511" s="8"/>
      <c r="Y511" s="8"/>
      <c r="Z511" s="8"/>
      <c r="AA511" s="8"/>
    </row>
    <row r="512" spans="1:27" x14ac:dyDescent="0.2">
      <c r="A512" s="8"/>
      <c r="B512" s="8"/>
      <c r="C512" s="8"/>
      <c r="D512" s="8"/>
      <c r="E512" s="8"/>
      <c r="F512" s="8"/>
      <c r="G512" s="8"/>
      <c r="H512" s="8"/>
      <c r="I512" s="8"/>
      <c r="J512" s="8"/>
      <c r="K512" s="8"/>
      <c r="L512" s="8"/>
      <c r="M512" s="8"/>
      <c r="N512" s="8"/>
      <c r="O512" s="8"/>
      <c r="P512" s="8"/>
      <c r="Q512" s="8"/>
      <c r="R512" s="8"/>
      <c r="S512" s="8"/>
      <c r="T512" s="8"/>
      <c r="U512" s="8"/>
      <c r="V512" s="8"/>
      <c r="W512" s="8"/>
      <c r="X512" s="8"/>
      <c r="Y512" s="8"/>
      <c r="Z512" s="8"/>
      <c r="AA512" s="8"/>
    </row>
    <row r="513" spans="1:27" x14ac:dyDescent="0.2">
      <c r="A513" s="8"/>
      <c r="B513" s="8"/>
      <c r="C513" s="8"/>
      <c r="D513" s="8"/>
      <c r="E513" s="8"/>
      <c r="F513" s="8"/>
      <c r="G513" s="8"/>
      <c r="H513" s="8"/>
      <c r="I513" s="8"/>
      <c r="J513" s="8"/>
      <c r="K513" s="8"/>
      <c r="L513" s="8"/>
      <c r="M513" s="8"/>
      <c r="N513" s="8"/>
      <c r="O513" s="8"/>
      <c r="P513" s="8"/>
      <c r="Q513" s="8"/>
      <c r="R513" s="8"/>
      <c r="S513" s="8"/>
      <c r="T513" s="8"/>
      <c r="U513" s="8"/>
      <c r="V513" s="8"/>
      <c r="W513" s="8"/>
      <c r="X513" s="8"/>
      <c r="Y513" s="8"/>
      <c r="Z513" s="8"/>
      <c r="AA513" s="8"/>
    </row>
    <row r="514" spans="1:27" x14ac:dyDescent="0.2">
      <c r="A514" s="8"/>
      <c r="B514" s="8"/>
      <c r="C514" s="8"/>
      <c r="D514" s="8"/>
      <c r="E514" s="8"/>
      <c r="F514" s="8"/>
      <c r="G514" s="8"/>
      <c r="H514" s="8"/>
      <c r="I514" s="8"/>
      <c r="J514" s="8"/>
      <c r="K514" s="8"/>
      <c r="L514" s="8"/>
      <c r="M514" s="8"/>
      <c r="N514" s="8"/>
      <c r="O514" s="8"/>
      <c r="P514" s="8"/>
      <c r="Q514" s="8"/>
      <c r="R514" s="8"/>
      <c r="S514" s="8"/>
      <c r="T514" s="8"/>
      <c r="U514" s="8"/>
      <c r="V514" s="8"/>
      <c r="W514" s="8"/>
      <c r="X514" s="8"/>
      <c r="Y514" s="8"/>
      <c r="Z514" s="8"/>
      <c r="AA514" s="8"/>
    </row>
    <row r="515" spans="1:27" x14ac:dyDescent="0.2">
      <c r="A515" s="8"/>
      <c r="B515" s="8"/>
      <c r="C515" s="8"/>
      <c r="D515" s="8"/>
      <c r="E515" s="8"/>
      <c r="F515" s="8"/>
      <c r="G515" s="8"/>
      <c r="H515" s="8"/>
      <c r="I515" s="8"/>
      <c r="J515" s="8"/>
      <c r="K515" s="8"/>
      <c r="L515" s="8"/>
      <c r="M515" s="8"/>
      <c r="N515" s="8"/>
      <c r="O515" s="8"/>
      <c r="P515" s="8"/>
      <c r="Q515" s="8"/>
      <c r="R515" s="8"/>
      <c r="S515" s="8"/>
      <c r="T515" s="8"/>
      <c r="U515" s="8"/>
      <c r="V515" s="8"/>
      <c r="W515" s="8"/>
      <c r="X515" s="8"/>
      <c r="Y515" s="8"/>
      <c r="Z515" s="8"/>
      <c r="AA515" s="8"/>
    </row>
    <row r="516" spans="1:27" x14ac:dyDescent="0.2">
      <c r="A516" s="8"/>
      <c r="B516" s="8"/>
      <c r="C516" s="8"/>
      <c r="D516" s="8"/>
      <c r="E516" s="8"/>
      <c r="F516" s="8"/>
      <c r="G516" s="8"/>
      <c r="H516" s="8"/>
      <c r="I516" s="8"/>
      <c r="J516" s="8"/>
      <c r="K516" s="8"/>
      <c r="L516" s="8"/>
      <c r="M516" s="8"/>
      <c r="N516" s="8"/>
      <c r="O516" s="8"/>
      <c r="P516" s="8"/>
      <c r="Q516" s="8"/>
      <c r="R516" s="8"/>
      <c r="S516" s="8"/>
      <c r="T516" s="8"/>
      <c r="U516" s="8"/>
      <c r="V516" s="8"/>
      <c r="W516" s="8"/>
      <c r="X516" s="8"/>
      <c r="Y516" s="8"/>
      <c r="Z516" s="8"/>
      <c r="AA516" s="8"/>
    </row>
    <row r="517" spans="1:27" x14ac:dyDescent="0.2">
      <c r="A517" s="8"/>
      <c r="B517" s="8"/>
      <c r="C517" s="8"/>
      <c r="D517" s="8"/>
      <c r="E517" s="8"/>
      <c r="F517" s="8"/>
      <c r="G517" s="8"/>
      <c r="H517" s="8"/>
      <c r="I517" s="8"/>
      <c r="J517" s="8"/>
      <c r="K517" s="8"/>
      <c r="L517" s="8"/>
      <c r="M517" s="8"/>
      <c r="N517" s="8"/>
      <c r="O517" s="8"/>
      <c r="P517" s="8"/>
      <c r="Q517" s="8"/>
      <c r="R517" s="8"/>
      <c r="S517" s="8"/>
      <c r="T517" s="8"/>
      <c r="U517" s="8"/>
      <c r="V517" s="8"/>
      <c r="W517" s="8"/>
      <c r="X517" s="8"/>
      <c r="Y517" s="8"/>
      <c r="Z517" s="8"/>
      <c r="AA517" s="8"/>
    </row>
    <row r="518" spans="1:27" x14ac:dyDescent="0.2">
      <c r="A518" s="8"/>
      <c r="B518" s="8"/>
      <c r="C518" s="8"/>
      <c r="D518" s="8"/>
      <c r="E518" s="8"/>
      <c r="F518" s="8"/>
      <c r="G518" s="8"/>
      <c r="H518" s="8"/>
      <c r="I518" s="8"/>
      <c r="J518" s="8"/>
      <c r="K518" s="8"/>
      <c r="L518" s="8"/>
      <c r="M518" s="8"/>
      <c r="N518" s="8"/>
      <c r="O518" s="8"/>
      <c r="P518" s="8"/>
      <c r="Q518" s="8"/>
      <c r="R518" s="8"/>
      <c r="S518" s="8"/>
      <c r="T518" s="8"/>
      <c r="U518" s="8"/>
      <c r="V518" s="8"/>
      <c r="W518" s="8"/>
      <c r="X518" s="8"/>
      <c r="Y518" s="8"/>
      <c r="Z518" s="8"/>
      <c r="AA518" s="8"/>
    </row>
    <row r="519" spans="1:27" x14ac:dyDescent="0.2">
      <c r="A519" s="8"/>
      <c r="B519" s="8"/>
      <c r="C519" s="8"/>
      <c r="D519" s="8"/>
      <c r="E519" s="8"/>
      <c r="F519" s="8"/>
      <c r="G519" s="8"/>
      <c r="H519" s="8"/>
      <c r="I519" s="8"/>
      <c r="J519" s="8"/>
      <c r="K519" s="8"/>
      <c r="L519" s="8"/>
      <c r="M519" s="8"/>
      <c r="N519" s="8"/>
      <c r="O519" s="8"/>
      <c r="P519" s="8"/>
      <c r="Q519" s="8"/>
      <c r="R519" s="8"/>
      <c r="S519" s="8"/>
      <c r="T519" s="8"/>
      <c r="U519" s="8"/>
      <c r="V519" s="8"/>
      <c r="W519" s="8"/>
      <c r="X519" s="8"/>
      <c r="Y519" s="8"/>
      <c r="Z519" s="8"/>
      <c r="AA519" s="8"/>
    </row>
    <row r="520" spans="1:27" x14ac:dyDescent="0.2">
      <c r="A520" s="8"/>
      <c r="B520" s="8"/>
      <c r="C520" s="8"/>
      <c r="D520" s="8"/>
      <c r="E520" s="8"/>
      <c r="F520" s="8"/>
      <c r="G520" s="8"/>
      <c r="H520" s="8"/>
      <c r="I520" s="8"/>
      <c r="J520" s="8"/>
      <c r="K520" s="8"/>
      <c r="L520" s="8"/>
      <c r="M520" s="8"/>
      <c r="N520" s="8"/>
      <c r="O520" s="8"/>
      <c r="P520" s="8"/>
      <c r="Q520" s="8"/>
      <c r="R520" s="8"/>
      <c r="S520" s="8"/>
      <c r="T520" s="8"/>
      <c r="U520" s="8"/>
      <c r="V520" s="8"/>
      <c r="W520" s="8"/>
      <c r="X520" s="8"/>
      <c r="Y520" s="8"/>
      <c r="Z520" s="8"/>
      <c r="AA520" s="8"/>
    </row>
    <row r="521" spans="1:27" x14ac:dyDescent="0.2">
      <c r="A521" s="8"/>
      <c r="B521" s="8"/>
      <c r="C521" s="8"/>
      <c r="D521" s="8"/>
      <c r="E521" s="8"/>
      <c r="F521" s="8"/>
      <c r="G521" s="8"/>
      <c r="H521" s="8"/>
      <c r="I521" s="8"/>
      <c r="J521" s="8"/>
      <c r="K521" s="8"/>
      <c r="L521" s="8"/>
      <c r="M521" s="8"/>
      <c r="N521" s="8"/>
      <c r="O521" s="8"/>
      <c r="P521" s="8"/>
      <c r="Q521" s="8"/>
      <c r="R521" s="8"/>
      <c r="S521" s="8"/>
      <c r="T521" s="8"/>
      <c r="U521" s="8"/>
      <c r="V521" s="8"/>
      <c r="W521" s="8"/>
      <c r="X521" s="8"/>
      <c r="Y521" s="8"/>
      <c r="Z521" s="8"/>
      <c r="AA521" s="8"/>
    </row>
    <row r="522" spans="1:27" x14ac:dyDescent="0.2">
      <c r="A522" s="8"/>
      <c r="B522" s="8"/>
      <c r="C522" s="8"/>
      <c r="D522" s="8"/>
      <c r="E522" s="8"/>
      <c r="F522" s="8"/>
      <c r="G522" s="8"/>
      <c r="H522" s="8"/>
      <c r="I522" s="8"/>
      <c r="J522" s="8"/>
      <c r="K522" s="8"/>
      <c r="L522" s="8"/>
      <c r="M522" s="8"/>
      <c r="N522" s="8"/>
      <c r="O522" s="8"/>
      <c r="P522" s="8"/>
      <c r="Q522" s="8"/>
      <c r="R522" s="8"/>
      <c r="S522" s="8"/>
      <c r="T522" s="8"/>
      <c r="U522" s="8"/>
      <c r="V522" s="8"/>
      <c r="W522" s="8"/>
      <c r="X522" s="8"/>
      <c r="Y522" s="8"/>
      <c r="Z522" s="8"/>
      <c r="AA522" s="8"/>
    </row>
    <row r="523" spans="1:27" x14ac:dyDescent="0.2">
      <c r="A523" s="8"/>
      <c r="B523" s="8"/>
      <c r="C523" s="8"/>
      <c r="D523" s="8"/>
      <c r="E523" s="8"/>
      <c r="F523" s="8"/>
      <c r="G523" s="8"/>
      <c r="H523" s="8"/>
      <c r="I523" s="8"/>
      <c r="J523" s="8"/>
      <c r="K523" s="8"/>
      <c r="L523" s="8"/>
      <c r="M523" s="8"/>
      <c r="N523" s="8"/>
      <c r="O523" s="8"/>
      <c r="P523" s="8"/>
      <c r="Q523" s="8"/>
      <c r="R523" s="8"/>
      <c r="S523" s="8"/>
      <c r="T523" s="8"/>
      <c r="U523" s="8"/>
      <c r="V523" s="8"/>
      <c r="W523" s="8"/>
      <c r="X523" s="8"/>
      <c r="Y523" s="8"/>
      <c r="Z523" s="8"/>
      <c r="AA523" s="8"/>
    </row>
    <row r="524" spans="1:27" x14ac:dyDescent="0.2">
      <c r="A524" s="8"/>
      <c r="B524" s="8"/>
      <c r="C524" s="8"/>
      <c r="D524" s="8"/>
      <c r="E524" s="8"/>
      <c r="F524" s="8"/>
      <c r="G524" s="8"/>
      <c r="H524" s="8"/>
      <c r="I524" s="8"/>
      <c r="J524" s="8"/>
      <c r="K524" s="8"/>
      <c r="L524" s="8"/>
      <c r="M524" s="8"/>
      <c r="N524" s="8"/>
      <c r="O524" s="8"/>
      <c r="P524" s="8"/>
      <c r="Q524" s="8"/>
      <c r="R524" s="8"/>
      <c r="S524" s="8"/>
      <c r="T524" s="8"/>
      <c r="U524" s="8"/>
      <c r="V524" s="8"/>
      <c r="W524" s="8"/>
      <c r="X524" s="8"/>
      <c r="Y524" s="8"/>
      <c r="Z524" s="8"/>
      <c r="AA524" s="8"/>
    </row>
    <row r="525" spans="1:27" x14ac:dyDescent="0.2">
      <c r="A525" s="8"/>
      <c r="B525" s="8"/>
      <c r="C525" s="8"/>
      <c r="D525" s="8"/>
      <c r="E525" s="8"/>
      <c r="F525" s="8"/>
      <c r="G525" s="8"/>
      <c r="H525" s="8"/>
      <c r="I525" s="8"/>
      <c r="J525" s="8"/>
      <c r="K525" s="8"/>
      <c r="L525" s="8"/>
      <c r="M525" s="8"/>
      <c r="N525" s="8"/>
      <c r="O525" s="8"/>
      <c r="P525" s="8"/>
      <c r="Q525" s="8"/>
      <c r="R525" s="8"/>
      <c r="S525" s="8"/>
      <c r="T525" s="8"/>
      <c r="U525" s="8"/>
      <c r="V525" s="8"/>
      <c r="W525" s="8"/>
      <c r="X525" s="8"/>
      <c r="Y525" s="8"/>
      <c r="Z525" s="8"/>
      <c r="AA525" s="8"/>
    </row>
    <row r="526" spans="1:27" x14ac:dyDescent="0.2">
      <c r="A526" s="8"/>
      <c r="B526" s="8"/>
      <c r="C526" s="8"/>
      <c r="D526" s="8"/>
      <c r="E526" s="8"/>
      <c r="F526" s="8"/>
      <c r="G526" s="8"/>
      <c r="H526" s="8"/>
      <c r="I526" s="8"/>
      <c r="J526" s="8"/>
      <c r="K526" s="8"/>
      <c r="L526" s="8"/>
      <c r="M526" s="8"/>
      <c r="N526" s="8"/>
      <c r="O526" s="8"/>
      <c r="P526" s="8"/>
      <c r="Q526" s="8"/>
      <c r="R526" s="8"/>
      <c r="S526" s="8"/>
      <c r="T526" s="8"/>
      <c r="U526" s="8"/>
      <c r="V526" s="8"/>
      <c r="W526" s="8"/>
      <c r="X526" s="8"/>
      <c r="Y526" s="8"/>
      <c r="Z526" s="8"/>
      <c r="AA526" s="8"/>
    </row>
    <row r="527" spans="1:27" x14ac:dyDescent="0.2">
      <c r="A527" s="8"/>
      <c r="B527" s="8"/>
      <c r="C527" s="8"/>
      <c r="D527" s="8"/>
      <c r="E527" s="8"/>
      <c r="F527" s="8"/>
      <c r="G527" s="8"/>
      <c r="H527" s="8"/>
      <c r="I527" s="8"/>
      <c r="J527" s="8"/>
      <c r="K527" s="8"/>
      <c r="L527" s="8"/>
      <c r="M527" s="8"/>
      <c r="N527" s="8"/>
      <c r="O527" s="8"/>
      <c r="P527" s="8"/>
      <c r="Q527" s="8"/>
      <c r="R527" s="8"/>
      <c r="S527" s="8"/>
      <c r="T527" s="8"/>
      <c r="U527" s="8"/>
      <c r="V527" s="8"/>
      <c r="W527" s="8"/>
      <c r="X527" s="8"/>
      <c r="Y527" s="8"/>
      <c r="Z527" s="8"/>
      <c r="AA527" s="8"/>
    </row>
    <row r="528" spans="1:27" x14ac:dyDescent="0.2">
      <c r="A528" s="8"/>
      <c r="B528" s="8"/>
      <c r="C528" s="8"/>
      <c r="D528" s="8"/>
      <c r="E528" s="8"/>
      <c r="F528" s="8"/>
      <c r="G528" s="8"/>
      <c r="H528" s="8"/>
      <c r="I528" s="8"/>
      <c r="J528" s="8"/>
      <c r="K528" s="8"/>
      <c r="L528" s="8"/>
      <c r="M528" s="8"/>
      <c r="N528" s="8"/>
      <c r="O528" s="8"/>
      <c r="P528" s="8"/>
      <c r="Q528" s="8"/>
      <c r="R528" s="8"/>
      <c r="S528" s="8"/>
      <c r="T528" s="8"/>
      <c r="U528" s="8"/>
      <c r="V528" s="8"/>
      <c r="W528" s="8"/>
      <c r="X528" s="8"/>
      <c r="Y528" s="8"/>
      <c r="Z528" s="8"/>
      <c r="AA528" s="8"/>
    </row>
    <row r="529" spans="1:27" x14ac:dyDescent="0.2">
      <c r="A529" s="8"/>
      <c r="B529" s="8"/>
      <c r="C529" s="8"/>
      <c r="D529" s="8"/>
      <c r="E529" s="8"/>
      <c r="F529" s="8"/>
      <c r="G529" s="8"/>
      <c r="H529" s="8"/>
      <c r="I529" s="8"/>
      <c r="J529" s="8"/>
      <c r="K529" s="8"/>
      <c r="L529" s="8"/>
      <c r="M529" s="8"/>
      <c r="N529" s="8"/>
      <c r="O529" s="8"/>
      <c r="P529" s="8"/>
      <c r="Q529" s="8"/>
      <c r="R529" s="8"/>
      <c r="S529" s="8"/>
      <c r="T529" s="8"/>
      <c r="U529" s="8"/>
      <c r="V529" s="8"/>
      <c r="W529" s="8"/>
      <c r="X529" s="8"/>
      <c r="Y529" s="8"/>
      <c r="Z529" s="8"/>
      <c r="AA529" s="8"/>
    </row>
    <row r="530" spans="1:27" x14ac:dyDescent="0.2">
      <c r="A530" s="8"/>
      <c r="B530" s="8"/>
      <c r="C530" s="8"/>
      <c r="D530" s="8"/>
      <c r="E530" s="8"/>
      <c r="F530" s="8"/>
      <c r="G530" s="8"/>
      <c r="H530" s="8"/>
      <c r="I530" s="8"/>
      <c r="J530" s="8"/>
      <c r="K530" s="8"/>
      <c r="L530" s="8"/>
      <c r="M530" s="8"/>
      <c r="N530" s="8"/>
      <c r="O530" s="8"/>
      <c r="P530" s="8"/>
      <c r="Q530" s="8"/>
      <c r="R530" s="8"/>
      <c r="S530" s="8"/>
      <c r="T530" s="8"/>
      <c r="U530" s="8"/>
      <c r="V530" s="8"/>
      <c r="W530" s="8"/>
      <c r="X530" s="8"/>
      <c r="Y530" s="8"/>
      <c r="Z530" s="8"/>
      <c r="AA530" s="8"/>
    </row>
    <row r="531" spans="1:27" x14ac:dyDescent="0.2">
      <c r="A531" s="8"/>
      <c r="B531" s="8"/>
      <c r="C531" s="8"/>
      <c r="D531" s="8"/>
      <c r="E531" s="8"/>
      <c r="F531" s="8"/>
      <c r="G531" s="8"/>
      <c r="H531" s="8"/>
      <c r="I531" s="8"/>
      <c r="J531" s="8"/>
      <c r="K531" s="8"/>
      <c r="L531" s="8"/>
      <c r="M531" s="8"/>
      <c r="N531" s="8"/>
      <c r="O531" s="8"/>
      <c r="P531" s="8"/>
      <c r="Q531" s="8"/>
      <c r="R531" s="8"/>
      <c r="S531" s="8"/>
      <c r="T531" s="8"/>
      <c r="U531" s="8"/>
      <c r="V531" s="8"/>
      <c r="W531" s="8"/>
      <c r="X531" s="8"/>
      <c r="Y531" s="8"/>
      <c r="Z531" s="8"/>
      <c r="AA531" s="8"/>
    </row>
    <row r="532" spans="1:27" x14ac:dyDescent="0.2">
      <c r="A532" s="8"/>
      <c r="B532" s="8"/>
      <c r="C532" s="8"/>
      <c r="D532" s="8"/>
      <c r="E532" s="8"/>
      <c r="F532" s="8"/>
      <c r="G532" s="8"/>
      <c r="H532" s="8"/>
      <c r="I532" s="8"/>
      <c r="J532" s="8"/>
      <c r="K532" s="8"/>
      <c r="L532" s="8"/>
      <c r="M532" s="8"/>
      <c r="N532" s="8"/>
      <c r="O532" s="8"/>
      <c r="P532" s="8"/>
      <c r="Q532" s="8"/>
      <c r="R532" s="8"/>
      <c r="S532" s="8"/>
      <c r="T532" s="8"/>
      <c r="U532" s="8"/>
      <c r="V532" s="8"/>
      <c r="W532" s="8"/>
      <c r="X532" s="8"/>
      <c r="Y532" s="8"/>
      <c r="Z532" s="8"/>
      <c r="AA532" s="8"/>
    </row>
    <row r="533" spans="1:27" x14ac:dyDescent="0.2">
      <c r="A533" s="8"/>
      <c r="B533" s="8"/>
      <c r="C533" s="8"/>
      <c r="D533" s="8"/>
      <c r="E533" s="8"/>
      <c r="F533" s="8"/>
      <c r="G533" s="8"/>
      <c r="H533" s="8"/>
      <c r="I533" s="8"/>
      <c r="J533" s="8"/>
      <c r="K533" s="8"/>
      <c r="L533" s="8"/>
      <c r="M533" s="8"/>
      <c r="N533" s="8"/>
      <c r="O533" s="8"/>
      <c r="P533" s="8"/>
      <c r="Q533" s="8"/>
      <c r="R533" s="8"/>
      <c r="S533" s="8"/>
      <c r="T533" s="8"/>
      <c r="U533" s="8"/>
      <c r="V533" s="8"/>
      <c r="W533" s="8"/>
      <c r="X533" s="8"/>
      <c r="Y533" s="8"/>
      <c r="Z533" s="8"/>
      <c r="AA533" s="8"/>
    </row>
    <row r="534" spans="1:27" x14ac:dyDescent="0.2">
      <c r="A534" s="8"/>
      <c r="B534" s="8"/>
      <c r="C534" s="8"/>
      <c r="D534" s="8"/>
      <c r="E534" s="8"/>
      <c r="F534" s="8"/>
      <c r="G534" s="8"/>
      <c r="H534" s="8"/>
      <c r="I534" s="8"/>
      <c r="J534" s="8"/>
      <c r="K534" s="8"/>
      <c r="L534" s="8"/>
      <c r="M534" s="8"/>
      <c r="N534" s="8"/>
      <c r="O534" s="8"/>
      <c r="P534" s="8"/>
      <c r="Q534" s="8"/>
      <c r="R534" s="8"/>
      <c r="S534" s="8"/>
      <c r="T534" s="8"/>
      <c r="U534" s="8"/>
      <c r="V534" s="8"/>
      <c r="W534" s="8"/>
      <c r="X534" s="8"/>
      <c r="Y534" s="8"/>
      <c r="Z534" s="8"/>
      <c r="AA534" s="8"/>
    </row>
    <row r="535" spans="1:27" x14ac:dyDescent="0.2">
      <c r="A535" s="8"/>
      <c r="B535" s="8"/>
      <c r="C535" s="8"/>
      <c r="D535" s="8"/>
      <c r="E535" s="8"/>
      <c r="F535" s="8"/>
      <c r="G535" s="8"/>
      <c r="H535" s="8"/>
      <c r="I535" s="8"/>
      <c r="J535" s="8"/>
      <c r="K535" s="8"/>
      <c r="L535" s="8"/>
      <c r="M535" s="8"/>
      <c r="N535" s="8"/>
      <c r="O535" s="8"/>
      <c r="P535" s="8"/>
      <c r="Q535" s="8"/>
      <c r="R535" s="8"/>
      <c r="S535" s="8"/>
      <c r="T535" s="8"/>
      <c r="U535" s="8"/>
      <c r="V535" s="8"/>
      <c r="W535" s="8"/>
      <c r="X535" s="8"/>
      <c r="Y535" s="8"/>
      <c r="Z535" s="8"/>
      <c r="AA535" s="8"/>
    </row>
    <row r="536" spans="1:27" x14ac:dyDescent="0.2">
      <c r="A536" s="8"/>
      <c r="B536" s="8"/>
      <c r="C536" s="8"/>
      <c r="D536" s="8"/>
      <c r="E536" s="8"/>
      <c r="F536" s="8"/>
      <c r="G536" s="8"/>
      <c r="H536" s="8"/>
      <c r="I536" s="8"/>
      <c r="J536" s="8"/>
      <c r="K536" s="8"/>
      <c r="L536" s="8"/>
      <c r="M536" s="8"/>
      <c r="N536" s="8"/>
      <c r="O536" s="8"/>
      <c r="P536" s="8"/>
      <c r="Q536" s="8"/>
      <c r="R536" s="8"/>
      <c r="S536" s="8"/>
      <c r="T536" s="8"/>
      <c r="U536" s="8"/>
      <c r="V536" s="8"/>
      <c r="W536" s="8"/>
      <c r="X536" s="8"/>
      <c r="Y536" s="8"/>
      <c r="Z536" s="8"/>
      <c r="AA536" s="8"/>
    </row>
    <row r="537" spans="1:27" x14ac:dyDescent="0.2">
      <c r="A537" s="8"/>
      <c r="B537" s="8"/>
      <c r="C537" s="8"/>
      <c r="D537" s="8"/>
      <c r="E537" s="8"/>
      <c r="F537" s="8"/>
      <c r="G537" s="8"/>
      <c r="H537" s="8"/>
      <c r="I537" s="8"/>
      <c r="J537" s="8"/>
      <c r="K537" s="8"/>
      <c r="L537" s="8"/>
      <c r="M537" s="8"/>
      <c r="N537" s="8"/>
      <c r="O537" s="8"/>
      <c r="P537" s="8"/>
      <c r="Q537" s="8"/>
      <c r="R537" s="8"/>
      <c r="S537" s="8"/>
      <c r="T537" s="8"/>
      <c r="U537" s="8"/>
      <c r="V537" s="8"/>
      <c r="W537" s="8"/>
      <c r="X537" s="8"/>
      <c r="Y537" s="8"/>
      <c r="Z537" s="8"/>
      <c r="AA537" s="8"/>
    </row>
    <row r="538" spans="1:27" x14ac:dyDescent="0.2">
      <c r="A538" s="8"/>
      <c r="B538" s="8"/>
      <c r="C538" s="8"/>
      <c r="D538" s="8"/>
      <c r="E538" s="8"/>
      <c r="F538" s="8"/>
      <c r="G538" s="8"/>
      <c r="H538" s="8"/>
      <c r="I538" s="8"/>
      <c r="J538" s="8"/>
      <c r="K538" s="8"/>
      <c r="L538" s="8"/>
      <c r="M538" s="8"/>
      <c r="N538" s="8"/>
      <c r="O538" s="8"/>
      <c r="P538" s="8"/>
      <c r="Q538" s="8"/>
      <c r="R538" s="8"/>
      <c r="S538" s="8"/>
      <c r="T538" s="8"/>
      <c r="U538" s="8"/>
      <c r="V538" s="8"/>
      <c r="W538" s="8"/>
      <c r="X538" s="8"/>
      <c r="Y538" s="8"/>
      <c r="Z538" s="8"/>
      <c r="AA538" s="8"/>
    </row>
    <row r="539" spans="1:27" x14ac:dyDescent="0.2">
      <c r="A539" s="8"/>
      <c r="B539" s="8"/>
      <c r="C539" s="8"/>
      <c r="D539" s="8"/>
      <c r="E539" s="8"/>
      <c r="F539" s="8"/>
      <c r="G539" s="8"/>
      <c r="H539" s="8"/>
      <c r="I539" s="8"/>
      <c r="J539" s="8"/>
      <c r="K539" s="8"/>
      <c r="L539" s="8"/>
      <c r="M539" s="8"/>
      <c r="N539" s="8"/>
      <c r="O539" s="8"/>
      <c r="P539" s="8"/>
      <c r="Q539" s="8"/>
      <c r="R539" s="8"/>
      <c r="S539" s="8"/>
      <c r="T539" s="8"/>
      <c r="U539" s="8"/>
      <c r="V539" s="8"/>
      <c r="W539" s="8"/>
      <c r="X539" s="8"/>
      <c r="Y539" s="8"/>
      <c r="Z539" s="8"/>
      <c r="AA539" s="8"/>
    </row>
    <row r="540" spans="1:27" x14ac:dyDescent="0.2">
      <c r="A540" s="8"/>
      <c r="B540" s="8"/>
      <c r="C540" s="8"/>
      <c r="D540" s="8"/>
      <c r="E540" s="8"/>
      <c r="F540" s="8"/>
      <c r="G540" s="8"/>
      <c r="H540" s="8"/>
      <c r="I540" s="8"/>
      <c r="J540" s="8"/>
      <c r="K540" s="8"/>
      <c r="L540" s="8"/>
      <c r="M540" s="8"/>
      <c r="N540" s="8"/>
      <c r="O540" s="8"/>
      <c r="P540" s="8"/>
      <c r="Q540" s="8"/>
      <c r="R540" s="8"/>
      <c r="S540" s="8"/>
      <c r="T540" s="8"/>
      <c r="U540" s="8"/>
      <c r="V540" s="8"/>
      <c r="W540" s="8"/>
      <c r="X540" s="8"/>
      <c r="Y540" s="8"/>
      <c r="Z540" s="8"/>
      <c r="AA540" s="8"/>
    </row>
    <row r="541" spans="1:27" x14ac:dyDescent="0.2">
      <c r="A541" s="8"/>
      <c r="B541" s="8"/>
      <c r="C541" s="8"/>
      <c r="D541" s="8"/>
      <c r="E541" s="8"/>
      <c r="F541" s="8"/>
      <c r="G541" s="8"/>
      <c r="H541" s="8"/>
      <c r="I541" s="8"/>
      <c r="J541" s="8"/>
      <c r="K541" s="8"/>
      <c r="L541" s="8"/>
      <c r="M541" s="8"/>
      <c r="N541" s="8"/>
      <c r="O541" s="8"/>
      <c r="P541" s="8"/>
      <c r="Q541" s="8"/>
      <c r="R541" s="8"/>
      <c r="S541" s="8"/>
      <c r="T541" s="8"/>
      <c r="U541" s="8"/>
      <c r="V541" s="8"/>
      <c r="W541" s="8"/>
      <c r="X541" s="8"/>
      <c r="Y541" s="8"/>
      <c r="Z541" s="8"/>
      <c r="AA541" s="8"/>
    </row>
    <row r="542" spans="1:27" x14ac:dyDescent="0.2">
      <c r="A542" s="8"/>
      <c r="B542" s="8"/>
      <c r="C542" s="8"/>
      <c r="D542" s="8"/>
      <c r="E542" s="8"/>
      <c r="F542" s="8"/>
      <c r="G542" s="8"/>
      <c r="H542" s="8"/>
      <c r="I542" s="8"/>
      <c r="J542" s="8"/>
      <c r="K542" s="8"/>
      <c r="L542" s="8"/>
      <c r="M542" s="8"/>
      <c r="N542" s="8"/>
      <c r="O542" s="8"/>
      <c r="P542" s="8"/>
      <c r="Q542" s="8"/>
      <c r="R542" s="8"/>
      <c r="S542" s="8"/>
      <c r="T542" s="8"/>
      <c r="U542" s="8"/>
      <c r="V542" s="8"/>
      <c r="W542" s="8"/>
      <c r="X542" s="8"/>
      <c r="Y542" s="8"/>
      <c r="Z542" s="8"/>
      <c r="AA542" s="8"/>
    </row>
    <row r="543" spans="1:27" x14ac:dyDescent="0.2">
      <c r="A543" s="8"/>
      <c r="B543" s="8"/>
      <c r="C543" s="8"/>
      <c r="D543" s="8"/>
      <c r="E543" s="8"/>
      <c r="F543" s="8"/>
      <c r="G543" s="8"/>
      <c r="H543" s="8"/>
      <c r="I543" s="8"/>
      <c r="J543" s="8"/>
      <c r="K543" s="8"/>
      <c r="L543" s="8"/>
      <c r="M543" s="8"/>
      <c r="N543" s="8"/>
      <c r="O543" s="8"/>
      <c r="P543" s="8"/>
      <c r="Q543" s="8"/>
      <c r="R543" s="8"/>
      <c r="S543" s="8"/>
      <c r="T543" s="8"/>
      <c r="U543" s="8"/>
      <c r="V543" s="8"/>
      <c r="W543" s="8"/>
      <c r="X543" s="8"/>
      <c r="Y543" s="8"/>
      <c r="Z543" s="8"/>
      <c r="AA543" s="8"/>
    </row>
    <row r="544" spans="1:27" x14ac:dyDescent="0.2">
      <c r="A544" s="8"/>
      <c r="B544" s="8"/>
      <c r="C544" s="8"/>
      <c r="D544" s="8"/>
      <c r="E544" s="8"/>
      <c r="F544" s="8"/>
      <c r="G544" s="8"/>
      <c r="H544" s="8"/>
      <c r="I544" s="8"/>
      <c r="J544" s="8"/>
      <c r="K544" s="8"/>
      <c r="L544" s="8"/>
      <c r="M544" s="8"/>
      <c r="N544" s="8"/>
      <c r="O544" s="8"/>
      <c r="P544" s="8"/>
      <c r="Q544" s="8"/>
      <c r="R544" s="8"/>
      <c r="S544" s="8"/>
      <c r="T544" s="8"/>
      <c r="U544" s="8"/>
      <c r="V544" s="8"/>
      <c r="W544" s="8"/>
      <c r="X544" s="8"/>
      <c r="Y544" s="8"/>
      <c r="Z544" s="8"/>
      <c r="AA544" s="8"/>
    </row>
    <row r="545" spans="1:27" x14ac:dyDescent="0.2">
      <c r="A545" s="8"/>
      <c r="B545" s="8"/>
      <c r="C545" s="8"/>
      <c r="D545" s="8"/>
      <c r="E545" s="8"/>
      <c r="F545" s="8"/>
      <c r="G545" s="8"/>
      <c r="H545" s="8"/>
      <c r="I545" s="8"/>
      <c r="J545" s="8"/>
      <c r="K545" s="8"/>
      <c r="L545" s="8"/>
      <c r="M545" s="8"/>
      <c r="N545" s="8"/>
      <c r="O545" s="8"/>
      <c r="P545" s="8"/>
      <c r="Q545" s="8"/>
      <c r="R545" s="8"/>
      <c r="S545" s="8"/>
      <c r="T545" s="8"/>
      <c r="U545" s="8"/>
      <c r="V545" s="8"/>
      <c r="W545" s="8"/>
      <c r="X545" s="8"/>
      <c r="Y545" s="8"/>
      <c r="Z545" s="8"/>
      <c r="AA545" s="8"/>
    </row>
    <row r="546" spans="1:27" x14ac:dyDescent="0.2">
      <c r="A546" s="8"/>
      <c r="B546" s="8"/>
      <c r="C546" s="8"/>
      <c r="D546" s="8"/>
      <c r="E546" s="8"/>
      <c r="F546" s="8"/>
      <c r="G546" s="8"/>
      <c r="H546" s="8"/>
      <c r="I546" s="8"/>
      <c r="J546" s="8"/>
      <c r="K546" s="8"/>
      <c r="L546" s="8"/>
      <c r="M546" s="8"/>
      <c r="N546" s="8"/>
      <c r="O546" s="8"/>
      <c r="P546" s="8"/>
      <c r="Q546" s="8"/>
      <c r="R546" s="8"/>
      <c r="S546" s="8"/>
      <c r="T546" s="8"/>
      <c r="U546" s="8"/>
      <c r="V546" s="8"/>
      <c r="W546" s="8"/>
      <c r="X546" s="8"/>
      <c r="Y546" s="8"/>
      <c r="Z546" s="8"/>
      <c r="AA546" s="8"/>
    </row>
    <row r="547" spans="1:27" x14ac:dyDescent="0.2">
      <c r="A547" s="8"/>
      <c r="B547" s="8"/>
      <c r="C547" s="8"/>
      <c r="D547" s="8"/>
      <c r="E547" s="8"/>
      <c r="F547" s="8"/>
      <c r="G547" s="8"/>
      <c r="H547" s="8"/>
      <c r="I547" s="8"/>
      <c r="J547" s="8"/>
      <c r="K547" s="8"/>
      <c r="L547" s="8"/>
      <c r="M547" s="8"/>
      <c r="N547" s="8"/>
      <c r="O547" s="8"/>
      <c r="P547" s="8"/>
      <c r="Q547" s="8"/>
      <c r="R547" s="8"/>
      <c r="S547" s="8"/>
      <c r="T547" s="8"/>
      <c r="U547" s="8"/>
      <c r="V547" s="8"/>
      <c r="W547" s="8"/>
      <c r="X547" s="8"/>
      <c r="Y547" s="8"/>
      <c r="Z547" s="8"/>
      <c r="AA547" s="8"/>
    </row>
    <row r="548" spans="1:27" x14ac:dyDescent="0.2">
      <c r="A548" s="8"/>
      <c r="B548" s="8"/>
      <c r="C548" s="8"/>
      <c r="D548" s="8"/>
      <c r="E548" s="8"/>
      <c r="F548" s="8"/>
      <c r="G548" s="8"/>
      <c r="H548" s="8"/>
      <c r="I548" s="8"/>
      <c r="J548" s="8"/>
      <c r="K548" s="8"/>
      <c r="L548" s="8"/>
      <c r="M548" s="8"/>
      <c r="N548" s="8"/>
      <c r="O548" s="8"/>
      <c r="P548" s="8"/>
      <c r="Q548" s="8"/>
      <c r="R548" s="8"/>
      <c r="S548" s="8"/>
      <c r="T548" s="8"/>
      <c r="U548" s="8"/>
      <c r="V548" s="8"/>
      <c r="W548" s="8"/>
      <c r="X548" s="8"/>
      <c r="Y548" s="8"/>
      <c r="Z548" s="8"/>
      <c r="AA548" s="8"/>
    </row>
    <row r="549" spans="1:27" x14ac:dyDescent="0.2">
      <c r="A549" s="8"/>
      <c r="B549" s="8"/>
      <c r="C549" s="8"/>
      <c r="D549" s="8"/>
      <c r="E549" s="8"/>
      <c r="F549" s="8"/>
      <c r="G549" s="8"/>
      <c r="H549" s="8"/>
      <c r="I549" s="8"/>
      <c r="J549" s="8"/>
      <c r="K549" s="8"/>
      <c r="L549" s="8"/>
      <c r="M549" s="8"/>
      <c r="N549" s="8"/>
      <c r="O549" s="8"/>
      <c r="P549" s="8"/>
      <c r="Q549" s="8"/>
      <c r="R549" s="8"/>
      <c r="S549" s="8"/>
      <c r="T549" s="8"/>
      <c r="U549" s="8"/>
      <c r="V549" s="8"/>
      <c r="W549" s="8"/>
      <c r="X549" s="8"/>
      <c r="Y549" s="8"/>
      <c r="Z549" s="8"/>
      <c r="AA549" s="8"/>
    </row>
    <row r="550" spans="1:27" x14ac:dyDescent="0.2">
      <c r="A550" s="8"/>
      <c r="B550" s="8"/>
      <c r="C550" s="8"/>
      <c r="D550" s="8"/>
      <c r="E550" s="8"/>
      <c r="F550" s="8"/>
      <c r="G550" s="8"/>
      <c r="H550" s="8"/>
      <c r="I550" s="8"/>
      <c r="J550" s="8"/>
      <c r="K550" s="8"/>
      <c r="L550" s="8"/>
      <c r="M550" s="8"/>
      <c r="N550" s="8"/>
      <c r="O550" s="8"/>
      <c r="P550" s="8"/>
      <c r="Q550" s="8"/>
      <c r="R550" s="8"/>
      <c r="S550" s="8"/>
      <c r="T550" s="8"/>
      <c r="U550" s="8"/>
      <c r="V550" s="8"/>
      <c r="W550" s="8"/>
      <c r="X550" s="8"/>
      <c r="Y550" s="8"/>
      <c r="Z550" s="8"/>
      <c r="AA550" s="8"/>
    </row>
    <row r="551" spans="1:27" x14ac:dyDescent="0.2">
      <c r="A551" s="8"/>
      <c r="B551" s="8"/>
      <c r="C551" s="8"/>
      <c r="D551" s="8"/>
      <c r="E551" s="8"/>
      <c r="F551" s="8"/>
      <c r="G551" s="8"/>
      <c r="H551" s="8"/>
      <c r="I551" s="8"/>
      <c r="J551" s="8"/>
      <c r="K551" s="8"/>
      <c r="L551" s="8"/>
      <c r="M551" s="8"/>
      <c r="N551" s="8"/>
      <c r="O551" s="8"/>
      <c r="P551" s="8"/>
      <c r="Q551" s="8"/>
      <c r="R551" s="8"/>
      <c r="S551" s="8"/>
      <c r="T551" s="8"/>
      <c r="U551" s="8"/>
      <c r="V551" s="8"/>
      <c r="W551" s="8"/>
      <c r="X551" s="8"/>
      <c r="Y551" s="8"/>
      <c r="Z551" s="8"/>
      <c r="AA551" s="8"/>
    </row>
    <row r="552" spans="1:27" x14ac:dyDescent="0.2">
      <c r="A552" s="8"/>
      <c r="B552" s="8"/>
      <c r="C552" s="8"/>
      <c r="D552" s="8"/>
      <c r="E552" s="8"/>
      <c r="F552" s="8"/>
      <c r="G552" s="8"/>
      <c r="H552" s="8"/>
      <c r="I552" s="8"/>
      <c r="J552" s="8"/>
      <c r="K552" s="8"/>
      <c r="L552" s="8"/>
      <c r="M552" s="8"/>
      <c r="N552" s="8"/>
      <c r="O552" s="8"/>
      <c r="P552" s="8"/>
      <c r="Q552" s="8"/>
      <c r="R552" s="8"/>
      <c r="S552" s="8"/>
      <c r="T552" s="8"/>
      <c r="U552" s="8"/>
      <c r="V552" s="8"/>
      <c r="W552" s="8"/>
      <c r="X552" s="8"/>
      <c r="Y552" s="8"/>
      <c r="Z552" s="8"/>
      <c r="AA552" s="8"/>
    </row>
    <row r="553" spans="1:27" x14ac:dyDescent="0.2">
      <c r="A553" s="8"/>
      <c r="B553" s="8"/>
      <c r="C553" s="8"/>
      <c r="D553" s="8"/>
      <c r="E553" s="8"/>
      <c r="F553" s="8"/>
      <c r="G553" s="8"/>
      <c r="H553" s="8"/>
      <c r="I553" s="8"/>
      <c r="J553" s="8"/>
      <c r="K553" s="8"/>
      <c r="L553" s="8"/>
      <c r="M553" s="8"/>
      <c r="N553" s="8"/>
      <c r="O553" s="8"/>
      <c r="P553" s="8"/>
      <c r="Q553" s="8"/>
      <c r="R553" s="8"/>
      <c r="S553" s="8"/>
      <c r="T553" s="8"/>
      <c r="U553" s="8"/>
      <c r="V553" s="8"/>
      <c r="W553" s="8"/>
      <c r="X553" s="8"/>
      <c r="Y553" s="8"/>
      <c r="Z553" s="8"/>
      <c r="AA553" s="8"/>
    </row>
    <row r="554" spans="1:27" x14ac:dyDescent="0.2">
      <c r="A554" s="8"/>
      <c r="B554" s="8"/>
      <c r="C554" s="8"/>
      <c r="D554" s="8"/>
      <c r="E554" s="8"/>
      <c r="F554" s="8"/>
      <c r="G554" s="8"/>
      <c r="H554" s="8"/>
      <c r="I554" s="8"/>
      <c r="J554" s="8"/>
      <c r="K554" s="8"/>
      <c r="L554" s="8"/>
      <c r="M554" s="8"/>
      <c r="N554" s="8"/>
      <c r="O554" s="8"/>
      <c r="P554" s="8"/>
      <c r="Q554" s="8"/>
      <c r="R554" s="8"/>
      <c r="S554" s="8"/>
      <c r="T554" s="8"/>
      <c r="U554" s="8"/>
      <c r="V554" s="8"/>
      <c r="W554" s="8"/>
      <c r="X554" s="8"/>
      <c r="Y554" s="8"/>
      <c r="Z554" s="8"/>
      <c r="AA554" s="8"/>
    </row>
    <row r="555" spans="1:27" x14ac:dyDescent="0.2">
      <c r="A555" s="8"/>
      <c r="B555" s="8"/>
      <c r="C555" s="8"/>
      <c r="D555" s="8"/>
      <c r="E555" s="8"/>
      <c r="F555" s="8"/>
      <c r="G555" s="8"/>
      <c r="H555" s="8"/>
      <c r="I555" s="8"/>
      <c r="J555" s="8"/>
      <c r="K555" s="8"/>
      <c r="L555" s="8"/>
      <c r="M555" s="8"/>
      <c r="N555" s="8"/>
      <c r="O555" s="8"/>
      <c r="P555" s="8"/>
      <c r="Q555" s="8"/>
      <c r="R555" s="8"/>
      <c r="S555" s="8"/>
      <c r="T555" s="8"/>
      <c r="U555" s="8"/>
      <c r="V555" s="8"/>
      <c r="W555" s="8"/>
      <c r="X555" s="8"/>
      <c r="Y555" s="8"/>
      <c r="Z555" s="8"/>
      <c r="AA555" s="8"/>
    </row>
    <row r="556" spans="1:27" x14ac:dyDescent="0.2">
      <c r="A556" s="8"/>
      <c r="B556" s="8"/>
      <c r="C556" s="8"/>
      <c r="D556" s="8"/>
      <c r="E556" s="8"/>
      <c r="F556" s="8"/>
      <c r="G556" s="8"/>
      <c r="H556" s="8"/>
      <c r="I556" s="8"/>
      <c r="J556" s="8"/>
      <c r="K556" s="8"/>
      <c r="L556" s="8"/>
      <c r="M556" s="8"/>
      <c r="N556" s="8"/>
      <c r="O556" s="8"/>
      <c r="P556" s="8"/>
      <c r="Q556" s="8"/>
      <c r="R556" s="8"/>
      <c r="S556" s="8"/>
      <c r="T556" s="8"/>
      <c r="U556" s="8"/>
      <c r="V556" s="8"/>
      <c r="W556" s="8"/>
      <c r="X556" s="8"/>
      <c r="Y556" s="8"/>
      <c r="Z556" s="8"/>
      <c r="AA556" s="8"/>
    </row>
    <row r="557" spans="1:27" x14ac:dyDescent="0.2">
      <c r="A557" s="8"/>
      <c r="B557" s="8"/>
      <c r="C557" s="8"/>
      <c r="D557" s="8"/>
      <c r="E557" s="8"/>
      <c r="F557" s="8"/>
      <c r="G557" s="8"/>
      <c r="H557" s="8"/>
      <c r="I557" s="8"/>
      <c r="J557" s="8"/>
      <c r="K557" s="8"/>
      <c r="L557" s="8"/>
      <c r="M557" s="8"/>
      <c r="N557" s="8"/>
      <c r="O557" s="8"/>
      <c r="P557" s="8"/>
      <c r="Q557" s="8"/>
      <c r="R557" s="8"/>
      <c r="S557" s="8"/>
      <c r="T557" s="8"/>
      <c r="U557" s="8"/>
      <c r="V557" s="8"/>
      <c r="W557" s="8"/>
      <c r="X557" s="8"/>
      <c r="Y557" s="8"/>
      <c r="Z557" s="8"/>
      <c r="AA557" s="8"/>
    </row>
    <row r="558" spans="1:27" x14ac:dyDescent="0.2">
      <c r="A558" s="8"/>
      <c r="B558" s="8"/>
      <c r="C558" s="8"/>
      <c r="D558" s="8"/>
      <c r="E558" s="8"/>
      <c r="F558" s="8"/>
      <c r="G558" s="8"/>
      <c r="H558" s="8"/>
      <c r="I558" s="8"/>
      <c r="J558" s="8"/>
      <c r="K558" s="8"/>
      <c r="L558" s="8"/>
      <c r="M558" s="8"/>
      <c r="N558" s="8"/>
      <c r="O558" s="8"/>
      <c r="P558" s="8"/>
      <c r="Q558" s="8"/>
      <c r="R558" s="8"/>
      <c r="S558" s="8"/>
      <c r="T558" s="8"/>
      <c r="U558" s="8"/>
      <c r="V558" s="8"/>
      <c r="W558" s="8"/>
      <c r="X558" s="8"/>
      <c r="Y558" s="8"/>
      <c r="Z558" s="8"/>
      <c r="AA558" s="8"/>
    </row>
    <row r="559" spans="1:27" x14ac:dyDescent="0.2">
      <c r="A559" s="8"/>
      <c r="B559" s="8"/>
      <c r="C559" s="8"/>
      <c r="D559" s="8"/>
      <c r="E559" s="8"/>
      <c r="F559" s="8"/>
      <c r="G559" s="8"/>
      <c r="H559" s="8"/>
      <c r="I559" s="8"/>
      <c r="J559" s="8"/>
      <c r="K559" s="8"/>
      <c r="L559" s="8"/>
      <c r="M559" s="8"/>
      <c r="N559" s="8"/>
      <c r="O559" s="8"/>
      <c r="P559" s="8"/>
      <c r="Q559" s="8"/>
      <c r="R559" s="8"/>
      <c r="S559" s="8"/>
      <c r="T559" s="8"/>
      <c r="U559" s="8"/>
      <c r="V559" s="8"/>
      <c r="W559" s="8"/>
      <c r="X559" s="8"/>
      <c r="Y559" s="8"/>
      <c r="Z559" s="8"/>
      <c r="AA559" s="8"/>
    </row>
    <row r="560" spans="1:27" x14ac:dyDescent="0.2">
      <c r="A560" s="8"/>
      <c r="B560" s="8"/>
      <c r="C560" s="8"/>
      <c r="D560" s="8"/>
      <c r="E560" s="8"/>
      <c r="F560" s="8"/>
      <c r="G560" s="8"/>
      <c r="H560" s="8"/>
      <c r="I560" s="8"/>
      <c r="J560" s="8"/>
      <c r="K560" s="8"/>
      <c r="L560" s="8"/>
      <c r="M560" s="8"/>
      <c r="N560" s="8"/>
      <c r="O560" s="8"/>
      <c r="P560" s="8"/>
      <c r="Q560" s="8"/>
      <c r="R560" s="8"/>
      <c r="S560" s="8"/>
      <c r="T560" s="8"/>
      <c r="U560" s="8"/>
      <c r="V560" s="8"/>
      <c r="W560" s="8"/>
      <c r="X560" s="8"/>
      <c r="Y560" s="8"/>
      <c r="Z560" s="8"/>
      <c r="AA560" s="8"/>
    </row>
    <row r="561" spans="1:27" x14ac:dyDescent="0.2">
      <c r="A561" s="8"/>
      <c r="B561" s="8"/>
      <c r="C561" s="8"/>
      <c r="D561" s="8"/>
      <c r="E561" s="8"/>
      <c r="F561" s="8"/>
      <c r="G561" s="8"/>
      <c r="H561" s="8"/>
      <c r="I561" s="8"/>
      <c r="J561" s="8"/>
      <c r="K561" s="8"/>
      <c r="L561" s="8"/>
      <c r="M561" s="8"/>
      <c r="N561" s="8"/>
      <c r="O561" s="8"/>
      <c r="P561" s="8"/>
      <c r="Q561" s="8"/>
      <c r="R561" s="8"/>
      <c r="S561" s="8"/>
      <c r="T561" s="8"/>
      <c r="U561" s="8"/>
      <c r="V561" s="8"/>
      <c r="W561" s="8"/>
      <c r="X561" s="8"/>
      <c r="Y561" s="8"/>
      <c r="Z561" s="8"/>
      <c r="AA561" s="8"/>
    </row>
    <row r="562" spans="1:27" x14ac:dyDescent="0.2">
      <c r="A562" s="8"/>
      <c r="B562" s="8"/>
      <c r="C562" s="8"/>
      <c r="D562" s="8"/>
      <c r="E562" s="8"/>
      <c r="F562" s="8"/>
      <c r="G562" s="8"/>
      <c r="H562" s="8"/>
      <c r="I562" s="8"/>
      <c r="J562" s="8"/>
      <c r="K562" s="8"/>
      <c r="L562" s="8"/>
      <c r="M562" s="8"/>
      <c r="N562" s="8"/>
      <c r="O562" s="8"/>
      <c r="P562" s="8"/>
      <c r="Q562" s="8"/>
      <c r="R562" s="8"/>
      <c r="S562" s="8"/>
      <c r="T562" s="8"/>
      <c r="U562" s="8"/>
      <c r="V562" s="8"/>
      <c r="W562" s="8"/>
      <c r="X562" s="8"/>
      <c r="Y562" s="8"/>
      <c r="Z562" s="8"/>
      <c r="AA562" s="8"/>
    </row>
    <row r="563" spans="1:27" x14ac:dyDescent="0.2">
      <c r="A563" s="8"/>
      <c r="B563" s="8"/>
      <c r="C563" s="8"/>
      <c r="D563" s="8"/>
      <c r="E563" s="8"/>
      <c r="F563" s="8"/>
      <c r="G563" s="8"/>
      <c r="H563" s="8"/>
      <c r="I563" s="8"/>
      <c r="J563" s="8"/>
      <c r="K563" s="8"/>
      <c r="L563" s="8"/>
      <c r="M563" s="8"/>
      <c r="N563" s="8"/>
      <c r="O563" s="8"/>
      <c r="P563" s="8"/>
      <c r="Q563" s="8"/>
      <c r="R563" s="8"/>
      <c r="S563" s="8"/>
      <c r="T563" s="8"/>
      <c r="U563" s="8"/>
      <c r="V563" s="8"/>
      <c r="W563" s="8"/>
      <c r="X563" s="8"/>
      <c r="Y563" s="8"/>
      <c r="Z563" s="8"/>
      <c r="AA563" s="8"/>
    </row>
    <row r="564" spans="1:27" x14ac:dyDescent="0.2">
      <c r="A564" s="8"/>
      <c r="B564" s="8"/>
      <c r="C564" s="8"/>
      <c r="D564" s="8"/>
      <c r="E564" s="8"/>
      <c r="F564" s="8"/>
      <c r="G564" s="8"/>
      <c r="H564" s="8"/>
      <c r="I564" s="8"/>
      <c r="J564" s="8"/>
      <c r="K564" s="8"/>
      <c r="L564" s="8"/>
      <c r="M564" s="8"/>
      <c r="N564" s="8"/>
      <c r="O564" s="8"/>
      <c r="P564" s="8"/>
      <c r="Q564" s="8"/>
      <c r="R564" s="8"/>
      <c r="S564" s="8"/>
      <c r="T564" s="8"/>
      <c r="U564" s="8"/>
      <c r="V564" s="8"/>
      <c r="W564" s="8"/>
      <c r="X564" s="8"/>
      <c r="Y564" s="8"/>
      <c r="Z564" s="8"/>
      <c r="AA564" s="8"/>
    </row>
    <row r="565" spans="1:27" x14ac:dyDescent="0.2">
      <c r="A565" s="8"/>
      <c r="B565" s="8"/>
      <c r="C565" s="8"/>
      <c r="D565" s="8"/>
      <c r="E565" s="8"/>
      <c r="F565" s="8"/>
      <c r="G565" s="8"/>
      <c r="H565" s="8"/>
      <c r="I565" s="8"/>
      <c r="J565" s="8"/>
      <c r="K565" s="8"/>
      <c r="L565" s="8"/>
      <c r="M565" s="8"/>
      <c r="N565" s="8"/>
      <c r="O565" s="8"/>
      <c r="P565" s="8"/>
      <c r="Q565" s="8"/>
      <c r="R565" s="8"/>
      <c r="S565" s="8"/>
      <c r="T565" s="8"/>
      <c r="U565" s="8"/>
      <c r="V565" s="8"/>
      <c r="W565" s="8"/>
      <c r="X565" s="8"/>
      <c r="Y565" s="8"/>
      <c r="Z565" s="8"/>
      <c r="AA565" s="8"/>
    </row>
    <row r="566" spans="1:27" x14ac:dyDescent="0.2">
      <c r="A566" s="8"/>
      <c r="B566" s="8"/>
      <c r="C566" s="8"/>
      <c r="D566" s="8"/>
      <c r="E566" s="8"/>
      <c r="F566" s="8"/>
      <c r="G566" s="8"/>
      <c r="H566" s="8"/>
      <c r="I566" s="8"/>
      <c r="J566" s="8"/>
      <c r="K566" s="8"/>
      <c r="L566" s="8"/>
      <c r="M566" s="8"/>
      <c r="N566" s="8"/>
      <c r="O566" s="8"/>
      <c r="P566" s="8"/>
      <c r="Q566" s="8"/>
      <c r="R566" s="8"/>
      <c r="S566" s="8"/>
      <c r="T566" s="8"/>
      <c r="U566" s="8"/>
      <c r="V566" s="8"/>
      <c r="W566" s="8"/>
      <c r="X566" s="8"/>
      <c r="Y566" s="8"/>
      <c r="Z566" s="8"/>
      <c r="AA566" s="8"/>
    </row>
    <row r="567" spans="1:27" x14ac:dyDescent="0.2">
      <c r="A567" s="8"/>
      <c r="B567" s="8"/>
      <c r="C567" s="8"/>
      <c r="D567" s="8"/>
      <c r="E567" s="8"/>
      <c r="F567" s="8"/>
      <c r="G567" s="8"/>
      <c r="H567" s="8"/>
      <c r="I567" s="8"/>
      <c r="J567" s="8"/>
      <c r="K567" s="8"/>
      <c r="L567" s="8"/>
      <c r="M567" s="8"/>
      <c r="N567" s="8"/>
      <c r="O567" s="8"/>
      <c r="P567" s="8"/>
      <c r="Q567" s="8"/>
      <c r="R567" s="8"/>
      <c r="S567" s="8"/>
      <c r="T567" s="8"/>
      <c r="U567" s="8"/>
      <c r="V567" s="8"/>
      <c r="W567" s="8"/>
      <c r="X567" s="8"/>
      <c r="Y567" s="8"/>
      <c r="Z567" s="8"/>
      <c r="AA567" s="8"/>
    </row>
    <row r="568" spans="1:27" x14ac:dyDescent="0.2">
      <c r="A568" s="8"/>
      <c r="B568" s="8"/>
      <c r="C568" s="8"/>
      <c r="D568" s="8"/>
      <c r="E568" s="8"/>
      <c r="F568" s="8"/>
      <c r="G568" s="8"/>
      <c r="H568" s="8"/>
      <c r="I568" s="8"/>
      <c r="J568" s="8"/>
      <c r="K568" s="8"/>
      <c r="L568" s="8"/>
      <c r="M568" s="8"/>
      <c r="N568" s="8"/>
      <c r="O568" s="8"/>
      <c r="P568" s="8"/>
      <c r="Q568" s="8"/>
      <c r="R568" s="8"/>
      <c r="S568" s="8"/>
      <c r="T568" s="8"/>
      <c r="U568" s="8"/>
      <c r="V568" s="8"/>
      <c r="W568" s="8"/>
      <c r="X568" s="8"/>
      <c r="Y568" s="8"/>
      <c r="Z568" s="8"/>
      <c r="AA568" s="8"/>
    </row>
    <row r="569" spans="1:27" x14ac:dyDescent="0.2">
      <c r="A569" s="8"/>
      <c r="B569" s="8"/>
      <c r="C569" s="8"/>
      <c r="D569" s="8"/>
      <c r="E569" s="8"/>
      <c r="F569" s="8"/>
      <c r="G569" s="8"/>
      <c r="H569" s="8"/>
      <c r="I569" s="8"/>
      <c r="J569" s="8"/>
      <c r="K569" s="8"/>
      <c r="L569" s="8"/>
      <c r="M569" s="8"/>
      <c r="N569" s="8"/>
      <c r="O569" s="8"/>
      <c r="P569" s="8"/>
      <c r="Q569" s="8"/>
      <c r="R569" s="8"/>
      <c r="S569" s="8"/>
      <c r="T569" s="8"/>
      <c r="U569" s="8"/>
      <c r="V569" s="8"/>
      <c r="W569" s="8"/>
      <c r="X569" s="8"/>
      <c r="Y569" s="8"/>
      <c r="Z569" s="8"/>
      <c r="AA569" s="8"/>
    </row>
    <row r="570" spans="1:27" x14ac:dyDescent="0.2">
      <c r="A570" s="8"/>
      <c r="B570" s="8"/>
      <c r="C570" s="8"/>
      <c r="D570" s="8"/>
      <c r="E570" s="8"/>
      <c r="F570" s="8"/>
      <c r="G570" s="8"/>
      <c r="H570" s="8"/>
      <c r="I570" s="8"/>
      <c r="J570" s="8"/>
      <c r="K570" s="8"/>
      <c r="L570" s="8"/>
      <c r="M570" s="8"/>
      <c r="N570" s="8"/>
      <c r="O570" s="8"/>
      <c r="P570" s="8"/>
      <c r="Q570" s="8"/>
      <c r="R570" s="8"/>
      <c r="S570" s="8"/>
      <c r="T570" s="8"/>
      <c r="U570" s="8"/>
      <c r="V570" s="8"/>
      <c r="W570" s="8"/>
      <c r="X570" s="8"/>
      <c r="Y570" s="8"/>
      <c r="Z570" s="8"/>
      <c r="AA570" s="8"/>
    </row>
    <row r="571" spans="1:27" x14ac:dyDescent="0.2">
      <c r="A571" s="8"/>
      <c r="B571" s="8"/>
      <c r="C571" s="8"/>
      <c r="D571" s="8"/>
      <c r="E571" s="8"/>
      <c r="F571" s="8"/>
      <c r="G571" s="8"/>
      <c r="H571" s="8"/>
      <c r="I571" s="8"/>
      <c r="J571" s="8"/>
      <c r="K571" s="8"/>
      <c r="L571" s="8"/>
      <c r="M571" s="8"/>
      <c r="N571" s="8"/>
      <c r="O571" s="8"/>
      <c r="P571" s="8"/>
      <c r="Q571" s="8"/>
      <c r="R571" s="8"/>
      <c r="S571" s="8"/>
      <c r="T571" s="8"/>
      <c r="U571" s="8"/>
      <c r="V571" s="8"/>
      <c r="W571" s="8"/>
      <c r="X571" s="8"/>
      <c r="Y571" s="8"/>
      <c r="Z571" s="8"/>
      <c r="AA571" s="8"/>
    </row>
    <row r="572" spans="1:27" x14ac:dyDescent="0.2">
      <c r="A572" s="8"/>
      <c r="B572" s="8"/>
      <c r="C572" s="8"/>
      <c r="D572" s="8"/>
      <c r="E572" s="8"/>
      <c r="F572" s="8"/>
      <c r="G572" s="8"/>
      <c r="H572" s="8"/>
      <c r="I572" s="8"/>
      <c r="J572" s="8"/>
      <c r="K572" s="8"/>
      <c r="L572" s="8"/>
      <c r="M572" s="8"/>
      <c r="N572" s="8"/>
      <c r="O572" s="8"/>
      <c r="P572" s="8"/>
      <c r="Q572" s="8"/>
      <c r="R572" s="8"/>
      <c r="S572" s="8"/>
      <c r="T572" s="8"/>
      <c r="U572" s="8"/>
      <c r="V572" s="8"/>
      <c r="W572" s="8"/>
      <c r="X572" s="8"/>
      <c r="Y572" s="8"/>
      <c r="Z572" s="8"/>
      <c r="AA572" s="8"/>
    </row>
    <row r="573" spans="1:27" x14ac:dyDescent="0.2">
      <c r="A573" s="8"/>
      <c r="B573" s="8"/>
      <c r="C573" s="8"/>
      <c r="D573" s="8"/>
      <c r="E573" s="8"/>
      <c r="F573" s="8"/>
      <c r="G573" s="8"/>
      <c r="H573" s="8"/>
      <c r="I573" s="8"/>
      <c r="J573" s="8"/>
      <c r="K573" s="8"/>
      <c r="L573" s="8"/>
      <c r="M573" s="8"/>
      <c r="N573" s="8"/>
      <c r="O573" s="8"/>
      <c r="P573" s="8"/>
      <c r="Q573" s="8"/>
      <c r="R573" s="8"/>
      <c r="S573" s="8"/>
      <c r="T573" s="8"/>
      <c r="U573" s="8"/>
      <c r="V573" s="8"/>
      <c r="W573" s="8"/>
      <c r="X573" s="8"/>
      <c r="Y573" s="8"/>
      <c r="Z573" s="8"/>
      <c r="AA573" s="8"/>
    </row>
    <row r="574" spans="1:27" x14ac:dyDescent="0.2">
      <c r="A574" s="8"/>
      <c r="B574" s="8"/>
      <c r="C574" s="8"/>
      <c r="D574" s="8"/>
      <c r="E574" s="8"/>
      <c r="F574" s="8"/>
      <c r="G574" s="8"/>
      <c r="H574" s="8"/>
      <c r="I574" s="8"/>
      <c r="J574" s="8"/>
      <c r="K574" s="8"/>
      <c r="L574" s="8"/>
      <c r="M574" s="8"/>
      <c r="N574" s="8"/>
      <c r="O574" s="8"/>
      <c r="P574" s="8"/>
      <c r="Q574" s="8"/>
      <c r="R574" s="8"/>
      <c r="S574" s="8"/>
      <c r="T574" s="8"/>
      <c r="U574" s="8"/>
      <c r="V574" s="8"/>
      <c r="W574" s="8"/>
      <c r="X574" s="8"/>
      <c r="Y574" s="8"/>
      <c r="Z574" s="8"/>
      <c r="AA574" s="8"/>
    </row>
    <row r="575" spans="1:27" x14ac:dyDescent="0.2">
      <c r="A575" s="8"/>
      <c r="B575" s="8"/>
      <c r="C575" s="8"/>
      <c r="D575" s="8"/>
      <c r="E575" s="8"/>
      <c r="F575" s="8"/>
      <c r="G575" s="8"/>
      <c r="H575" s="8"/>
      <c r="I575" s="8"/>
      <c r="J575" s="8"/>
      <c r="K575" s="8"/>
      <c r="L575" s="8"/>
      <c r="M575" s="8"/>
      <c r="N575" s="8"/>
      <c r="O575" s="8"/>
      <c r="P575" s="8"/>
      <c r="Q575" s="8"/>
      <c r="R575" s="8"/>
      <c r="S575" s="8"/>
      <c r="T575" s="8"/>
      <c r="U575" s="8"/>
      <c r="V575" s="8"/>
      <c r="W575" s="8"/>
      <c r="X575" s="8"/>
      <c r="Y575" s="8"/>
      <c r="Z575" s="8"/>
      <c r="AA575" s="8"/>
    </row>
    <row r="576" spans="1:27" x14ac:dyDescent="0.2">
      <c r="A576" s="8"/>
      <c r="B576" s="8"/>
      <c r="C576" s="8"/>
      <c r="D576" s="8"/>
      <c r="E576" s="8"/>
      <c r="F576" s="8"/>
      <c r="G576" s="8"/>
      <c r="H576" s="8"/>
      <c r="I576" s="8"/>
      <c r="J576" s="8"/>
      <c r="K576" s="8"/>
      <c r="L576" s="8"/>
      <c r="M576" s="8"/>
      <c r="N576" s="8"/>
      <c r="O576" s="8"/>
      <c r="P576" s="8"/>
      <c r="Q576" s="8"/>
      <c r="R576" s="8"/>
      <c r="S576" s="8"/>
      <c r="T576" s="8"/>
      <c r="U576" s="8"/>
      <c r="V576" s="8"/>
      <c r="W576" s="8"/>
      <c r="X576" s="8"/>
      <c r="Y576" s="8"/>
      <c r="Z576" s="8"/>
      <c r="AA576" s="8"/>
    </row>
    <row r="577" spans="1:27" x14ac:dyDescent="0.2">
      <c r="A577" s="8"/>
      <c r="B577" s="8"/>
      <c r="C577" s="8"/>
      <c r="D577" s="8"/>
      <c r="E577" s="8"/>
      <c r="F577" s="8"/>
      <c r="G577" s="8"/>
      <c r="H577" s="8"/>
      <c r="I577" s="8"/>
      <c r="J577" s="8"/>
      <c r="K577" s="8"/>
      <c r="L577" s="8"/>
      <c r="M577" s="8"/>
      <c r="N577" s="8"/>
      <c r="O577" s="8"/>
      <c r="P577" s="8"/>
      <c r="Q577" s="8"/>
      <c r="R577" s="8"/>
      <c r="S577" s="8"/>
      <c r="T577" s="8"/>
      <c r="U577" s="8"/>
      <c r="V577" s="8"/>
      <c r="W577" s="8"/>
      <c r="X577" s="8"/>
      <c r="Y577" s="8"/>
      <c r="Z577" s="8"/>
      <c r="AA577" s="8"/>
    </row>
    <row r="578" spans="1:27" x14ac:dyDescent="0.2">
      <c r="A578" s="8"/>
      <c r="B578" s="8"/>
      <c r="C578" s="8"/>
      <c r="D578" s="8"/>
      <c r="E578" s="8"/>
      <c r="F578" s="8"/>
      <c r="G578" s="8"/>
      <c r="H578" s="8"/>
      <c r="I578" s="8"/>
      <c r="J578" s="8"/>
      <c r="K578" s="8"/>
      <c r="L578" s="8"/>
      <c r="M578" s="8"/>
      <c r="N578" s="8"/>
      <c r="O578" s="8"/>
      <c r="P578" s="8"/>
      <c r="Q578" s="8"/>
      <c r="R578" s="8"/>
      <c r="S578" s="8"/>
      <c r="T578" s="8"/>
      <c r="U578" s="8"/>
      <c r="V578" s="8"/>
      <c r="W578" s="8"/>
      <c r="X578" s="8"/>
      <c r="Y578" s="8"/>
      <c r="Z578" s="8"/>
      <c r="AA578" s="8"/>
    </row>
    <row r="579" spans="1:27" x14ac:dyDescent="0.2">
      <c r="A579" s="8"/>
      <c r="B579" s="8"/>
      <c r="C579" s="8"/>
      <c r="D579" s="8"/>
      <c r="E579" s="8"/>
      <c r="F579" s="8"/>
      <c r="G579" s="8"/>
      <c r="H579" s="8"/>
      <c r="I579" s="8"/>
      <c r="J579" s="8"/>
      <c r="K579" s="8"/>
      <c r="L579" s="8"/>
      <c r="M579" s="8"/>
      <c r="N579" s="8"/>
      <c r="O579" s="8"/>
      <c r="P579" s="8"/>
      <c r="Q579" s="8"/>
      <c r="R579" s="8"/>
      <c r="S579" s="8"/>
      <c r="T579" s="8"/>
      <c r="U579" s="8"/>
      <c r="V579" s="8"/>
      <c r="W579" s="8"/>
      <c r="X579" s="8"/>
      <c r="Y579" s="8"/>
      <c r="Z579" s="8"/>
      <c r="AA579" s="8"/>
    </row>
    <row r="580" spans="1:27" x14ac:dyDescent="0.2">
      <c r="A580" s="8"/>
      <c r="B580" s="8"/>
      <c r="C580" s="8"/>
      <c r="D580" s="8"/>
      <c r="E580" s="8"/>
      <c r="F580" s="8"/>
      <c r="G580" s="8"/>
      <c r="H580" s="8"/>
      <c r="I580" s="8"/>
      <c r="J580" s="8"/>
      <c r="K580" s="8"/>
      <c r="L580" s="8"/>
      <c r="M580" s="8"/>
      <c r="N580" s="8"/>
      <c r="O580" s="8"/>
      <c r="P580" s="8"/>
      <c r="Q580" s="8"/>
      <c r="R580" s="8"/>
      <c r="S580" s="8"/>
      <c r="T580" s="8"/>
      <c r="U580" s="8"/>
      <c r="V580" s="8"/>
      <c r="W580" s="8"/>
      <c r="X580" s="8"/>
      <c r="Y580" s="8"/>
      <c r="Z580" s="8"/>
      <c r="AA580" s="8"/>
    </row>
    <row r="581" spans="1:27" x14ac:dyDescent="0.2">
      <c r="A581" s="8"/>
      <c r="B581" s="8"/>
      <c r="C581" s="8"/>
      <c r="D581" s="8"/>
      <c r="E581" s="8"/>
      <c r="F581" s="8"/>
      <c r="G581" s="8"/>
      <c r="H581" s="8"/>
      <c r="I581" s="8"/>
      <c r="J581" s="8"/>
      <c r="K581" s="8"/>
      <c r="L581" s="8"/>
      <c r="M581" s="8"/>
      <c r="N581" s="8"/>
      <c r="O581" s="8"/>
      <c r="P581" s="8"/>
      <c r="Q581" s="8"/>
      <c r="R581" s="8"/>
      <c r="S581" s="8"/>
      <c r="T581" s="8"/>
      <c r="U581" s="8"/>
      <c r="V581" s="8"/>
      <c r="W581" s="8"/>
      <c r="X581" s="8"/>
      <c r="Y581" s="8"/>
      <c r="Z581" s="8"/>
      <c r="AA581" s="8"/>
    </row>
    <row r="582" spans="1:27" x14ac:dyDescent="0.2">
      <c r="A582" s="8"/>
      <c r="B582" s="8"/>
      <c r="C582" s="8"/>
      <c r="D582" s="8"/>
      <c r="E582" s="8"/>
      <c r="F582" s="8"/>
      <c r="G582" s="8"/>
      <c r="H582" s="8"/>
      <c r="I582" s="8"/>
      <c r="J582" s="8"/>
      <c r="K582" s="8"/>
      <c r="L582" s="8"/>
      <c r="M582" s="8"/>
      <c r="N582" s="8"/>
      <c r="O582" s="8"/>
      <c r="P582" s="8"/>
      <c r="Q582" s="8"/>
      <c r="R582" s="8"/>
      <c r="S582" s="8"/>
      <c r="T582" s="8"/>
      <c r="U582" s="8"/>
      <c r="V582" s="8"/>
      <c r="W582" s="8"/>
      <c r="X582" s="8"/>
      <c r="Y582" s="8"/>
      <c r="Z582" s="8"/>
      <c r="AA582" s="8"/>
    </row>
    <row r="583" spans="1:27" x14ac:dyDescent="0.2">
      <c r="A583" s="8"/>
      <c r="B583" s="8"/>
      <c r="C583" s="8"/>
      <c r="D583" s="8"/>
      <c r="E583" s="8"/>
      <c r="F583" s="8"/>
      <c r="G583" s="8"/>
      <c r="H583" s="8"/>
      <c r="I583" s="8"/>
      <c r="J583" s="8"/>
      <c r="K583" s="8"/>
      <c r="L583" s="8"/>
      <c r="M583" s="8"/>
      <c r="N583" s="8"/>
      <c r="O583" s="8"/>
      <c r="P583" s="8"/>
      <c r="Q583" s="8"/>
      <c r="R583" s="8"/>
      <c r="S583" s="8"/>
      <c r="T583" s="8"/>
      <c r="U583" s="8"/>
      <c r="V583" s="8"/>
      <c r="W583" s="8"/>
      <c r="X583" s="8"/>
      <c r="Y583" s="8"/>
      <c r="Z583" s="8"/>
      <c r="AA583" s="8"/>
    </row>
    <row r="584" spans="1:27" x14ac:dyDescent="0.2">
      <c r="A584" s="8"/>
      <c r="B584" s="8"/>
      <c r="C584" s="8"/>
      <c r="D584" s="8"/>
      <c r="E584" s="8"/>
      <c r="F584" s="8"/>
      <c r="G584" s="8"/>
      <c r="H584" s="8"/>
      <c r="I584" s="8"/>
      <c r="J584" s="8"/>
      <c r="K584" s="8"/>
      <c r="L584" s="8"/>
      <c r="M584" s="8"/>
      <c r="N584" s="8"/>
      <c r="O584" s="8"/>
      <c r="P584" s="8"/>
      <c r="Q584" s="8"/>
      <c r="R584" s="8"/>
      <c r="S584" s="8"/>
      <c r="T584" s="8"/>
      <c r="U584" s="8"/>
      <c r="V584" s="8"/>
      <c r="W584" s="8"/>
      <c r="X584" s="8"/>
      <c r="Y584" s="8"/>
      <c r="Z584" s="8"/>
      <c r="AA584" s="8"/>
    </row>
    <row r="585" spans="1:27" x14ac:dyDescent="0.2">
      <c r="A585" s="8"/>
      <c r="B585" s="8"/>
      <c r="C585" s="8"/>
      <c r="D585" s="8"/>
      <c r="E585" s="8"/>
      <c r="F585" s="8"/>
      <c r="G585" s="8"/>
      <c r="H585" s="8"/>
      <c r="I585" s="8"/>
      <c r="J585" s="8"/>
      <c r="K585" s="8"/>
      <c r="L585" s="8"/>
      <c r="M585" s="8"/>
      <c r="N585" s="8"/>
      <c r="O585" s="8"/>
      <c r="P585" s="8"/>
      <c r="Q585" s="8"/>
      <c r="R585" s="8"/>
      <c r="S585" s="8"/>
      <c r="T585" s="8"/>
      <c r="U585" s="8"/>
      <c r="V585" s="8"/>
      <c r="W585" s="8"/>
      <c r="X585" s="8"/>
      <c r="Y585" s="8"/>
      <c r="Z585" s="8"/>
      <c r="AA585" s="8"/>
    </row>
    <row r="586" spans="1:27" x14ac:dyDescent="0.2">
      <c r="A586" s="8"/>
      <c r="B586" s="8"/>
      <c r="C586" s="8"/>
      <c r="D586" s="8"/>
      <c r="E586" s="8"/>
      <c r="F586" s="8"/>
      <c r="G586" s="8"/>
      <c r="H586" s="8"/>
      <c r="I586" s="8"/>
      <c r="J586" s="8"/>
      <c r="K586" s="8"/>
      <c r="L586" s="8"/>
      <c r="M586" s="8"/>
      <c r="N586" s="8"/>
      <c r="O586" s="8"/>
      <c r="P586" s="8"/>
      <c r="Q586" s="8"/>
      <c r="R586" s="8"/>
      <c r="S586" s="8"/>
      <c r="T586" s="8"/>
      <c r="U586" s="8"/>
      <c r="V586" s="8"/>
      <c r="W586" s="8"/>
      <c r="X586" s="8"/>
      <c r="Y586" s="8"/>
      <c r="Z586" s="8"/>
      <c r="AA586" s="8"/>
    </row>
    <row r="587" spans="1:27" x14ac:dyDescent="0.2">
      <c r="A587" s="8"/>
      <c r="B587" s="8"/>
      <c r="C587" s="8"/>
      <c r="D587" s="8"/>
      <c r="E587" s="8"/>
      <c r="F587" s="8"/>
      <c r="G587" s="8"/>
      <c r="H587" s="8"/>
      <c r="I587" s="8"/>
      <c r="J587" s="8"/>
      <c r="K587" s="8"/>
      <c r="L587" s="8"/>
      <c r="M587" s="8"/>
      <c r="N587" s="8"/>
      <c r="O587" s="8"/>
      <c r="P587" s="8"/>
      <c r="Q587" s="8"/>
      <c r="R587" s="8"/>
      <c r="S587" s="8"/>
      <c r="T587" s="8"/>
      <c r="U587" s="8"/>
      <c r="V587" s="8"/>
      <c r="W587" s="8"/>
      <c r="X587" s="8"/>
      <c r="Y587" s="8"/>
      <c r="Z587" s="8"/>
      <c r="AA587" s="8"/>
    </row>
    <row r="588" spans="1:27" x14ac:dyDescent="0.2">
      <c r="A588" s="8"/>
      <c r="B588" s="8"/>
      <c r="C588" s="8"/>
      <c r="D588" s="8"/>
      <c r="E588" s="8"/>
      <c r="F588" s="8"/>
      <c r="G588" s="8"/>
      <c r="H588" s="8"/>
      <c r="I588" s="8"/>
      <c r="J588" s="8"/>
      <c r="K588" s="8"/>
      <c r="L588" s="8"/>
      <c r="M588" s="8"/>
      <c r="N588" s="8"/>
      <c r="O588" s="8"/>
      <c r="P588" s="8"/>
      <c r="Q588" s="8"/>
      <c r="R588" s="8"/>
      <c r="S588" s="8"/>
      <c r="T588" s="8"/>
      <c r="U588" s="8"/>
      <c r="V588" s="8"/>
      <c r="W588" s="8"/>
      <c r="X588" s="8"/>
      <c r="Y588" s="8"/>
      <c r="Z588" s="8"/>
      <c r="AA588" s="8"/>
    </row>
    <row r="589" spans="1:27" x14ac:dyDescent="0.2">
      <c r="A589" s="8"/>
      <c r="B589" s="8"/>
      <c r="C589" s="8"/>
      <c r="D589" s="8"/>
      <c r="E589" s="8"/>
      <c r="F589" s="8"/>
      <c r="G589" s="8"/>
      <c r="H589" s="8"/>
      <c r="I589" s="8"/>
      <c r="J589" s="8"/>
      <c r="K589" s="8"/>
      <c r="L589" s="8"/>
      <c r="M589" s="8"/>
      <c r="N589" s="8"/>
      <c r="O589" s="8"/>
      <c r="P589" s="8"/>
      <c r="Q589" s="8"/>
      <c r="R589" s="8"/>
      <c r="S589" s="8"/>
      <c r="T589" s="8"/>
      <c r="U589" s="8"/>
      <c r="V589" s="8"/>
      <c r="W589" s="8"/>
      <c r="X589" s="8"/>
      <c r="Y589" s="8"/>
      <c r="Z589" s="8"/>
      <c r="AA589" s="8"/>
    </row>
    <row r="590" spans="1:27" x14ac:dyDescent="0.2">
      <c r="A590" s="8"/>
      <c r="B590" s="8"/>
      <c r="C590" s="8"/>
      <c r="D590" s="8"/>
      <c r="E590" s="8"/>
      <c r="F590" s="8"/>
      <c r="G590" s="8"/>
      <c r="H590" s="8"/>
      <c r="I590" s="8"/>
      <c r="J590" s="8"/>
      <c r="K590" s="8"/>
      <c r="L590" s="8"/>
      <c r="M590" s="8"/>
      <c r="N590" s="8"/>
      <c r="O590" s="8"/>
      <c r="P590" s="8"/>
      <c r="Q590" s="8"/>
      <c r="R590" s="8"/>
      <c r="S590" s="8"/>
      <c r="T590" s="8"/>
      <c r="U590" s="8"/>
      <c r="V590" s="8"/>
      <c r="W590" s="8"/>
      <c r="X590" s="8"/>
      <c r="Y590" s="8"/>
      <c r="Z590" s="8"/>
      <c r="AA590" s="8"/>
    </row>
    <row r="591" spans="1:27" x14ac:dyDescent="0.2">
      <c r="A591" s="8"/>
      <c r="B591" s="8"/>
      <c r="C591" s="8"/>
      <c r="D591" s="8"/>
      <c r="E591" s="8"/>
      <c r="F591" s="8"/>
      <c r="G591" s="8"/>
      <c r="H591" s="8"/>
      <c r="I591" s="8"/>
      <c r="J591" s="8"/>
      <c r="K591" s="8"/>
      <c r="L591" s="8"/>
      <c r="M591" s="8"/>
      <c r="N591" s="8"/>
      <c r="O591" s="8"/>
      <c r="P591" s="8"/>
      <c r="Q591" s="8"/>
      <c r="R591" s="8"/>
      <c r="S591" s="8"/>
      <c r="T591" s="8"/>
      <c r="U591" s="8"/>
      <c r="V591" s="8"/>
      <c r="W591" s="8"/>
      <c r="X591" s="8"/>
      <c r="Y591" s="8"/>
      <c r="Z591" s="8"/>
      <c r="AA591" s="8"/>
    </row>
    <row r="592" spans="1:27" x14ac:dyDescent="0.2">
      <c r="A592" s="8"/>
      <c r="B592" s="8"/>
      <c r="C592" s="8"/>
      <c r="D592" s="8"/>
      <c r="E592" s="8"/>
      <c r="F592" s="8"/>
      <c r="G592" s="8"/>
      <c r="H592" s="8"/>
      <c r="I592" s="8"/>
      <c r="J592" s="8"/>
      <c r="K592" s="8"/>
      <c r="L592" s="8"/>
      <c r="M592" s="8"/>
      <c r="N592" s="8"/>
      <c r="O592" s="8"/>
      <c r="P592" s="8"/>
      <c r="Q592" s="8"/>
      <c r="R592" s="8"/>
      <c r="S592" s="8"/>
      <c r="T592" s="8"/>
      <c r="U592" s="8"/>
      <c r="V592" s="8"/>
      <c r="W592" s="8"/>
      <c r="X592" s="8"/>
      <c r="Y592" s="8"/>
      <c r="Z592" s="8"/>
      <c r="AA592" s="8"/>
    </row>
    <row r="593" spans="1:27" x14ac:dyDescent="0.2">
      <c r="A593" s="8"/>
      <c r="B593" s="8"/>
      <c r="C593" s="8"/>
      <c r="D593" s="8"/>
      <c r="E593" s="8"/>
      <c r="F593" s="8"/>
      <c r="G593" s="8"/>
      <c r="H593" s="8"/>
      <c r="I593" s="8"/>
      <c r="J593" s="8"/>
      <c r="K593" s="8"/>
      <c r="L593" s="8"/>
      <c r="M593" s="8"/>
      <c r="N593" s="8"/>
      <c r="O593" s="8"/>
      <c r="P593" s="8"/>
      <c r="Q593" s="8"/>
      <c r="R593" s="8"/>
      <c r="S593" s="8"/>
      <c r="T593" s="8"/>
      <c r="U593" s="8"/>
      <c r="V593" s="8"/>
      <c r="W593" s="8"/>
      <c r="X593" s="8"/>
      <c r="Y593" s="8"/>
      <c r="Z593" s="8"/>
      <c r="AA593" s="8"/>
    </row>
    <row r="594" spans="1:27" x14ac:dyDescent="0.2">
      <c r="A594" s="8"/>
      <c r="B594" s="8"/>
      <c r="C594" s="8"/>
      <c r="D594" s="8"/>
      <c r="E594" s="8"/>
      <c r="F594" s="8"/>
      <c r="G594" s="8"/>
      <c r="H594" s="8"/>
      <c r="I594" s="8"/>
      <c r="J594" s="8"/>
      <c r="K594" s="8"/>
      <c r="L594" s="8"/>
      <c r="M594" s="8"/>
      <c r="N594" s="8"/>
      <c r="O594" s="8"/>
      <c r="P594" s="8"/>
      <c r="Q594" s="8"/>
      <c r="R594" s="8"/>
      <c r="S594" s="8"/>
      <c r="T594" s="8"/>
      <c r="U594" s="8"/>
      <c r="V594" s="8"/>
      <c r="W594" s="8"/>
      <c r="X594" s="8"/>
      <c r="Y594" s="8"/>
      <c r="Z594" s="8"/>
      <c r="AA594" s="8"/>
    </row>
    <row r="595" spans="1:27" x14ac:dyDescent="0.2">
      <c r="A595" s="8"/>
      <c r="B595" s="8"/>
      <c r="C595" s="8"/>
      <c r="D595" s="8"/>
      <c r="E595" s="8"/>
      <c r="F595" s="8"/>
      <c r="G595" s="8"/>
      <c r="H595" s="8"/>
      <c r="I595" s="8"/>
      <c r="J595" s="8"/>
      <c r="K595" s="8"/>
      <c r="L595" s="8"/>
      <c r="M595" s="8"/>
      <c r="N595" s="8"/>
      <c r="O595" s="8"/>
      <c r="P595" s="8"/>
      <c r="Q595" s="8"/>
      <c r="R595" s="8"/>
      <c r="S595" s="8"/>
      <c r="T595" s="8"/>
      <c r="U595" s="8"/>
      <c r="V595" s="8"/>
      <c r="W595" s="8"/>
      <c r="X595" s="8"/>
      <c r="Y595" s="8"/>
      <c r="Z595" s="8"/>
      <c r="AA595" s="8"/>
    </row>
    <row r="596" spans="1:27" x14ac:dyDescent="0.2">
      <c r="A596" s="8"/>
      <c r="B596" s="8"/>
      <c r="C596" s="8"/>
      <c r="D596" s="8"/>
      <c r="E596" s="8"/>
      <c r="F596" s="8"/>
      <c r="G596" s="8"/>
      <c r="H596" s="8"/>
      <c r="I596" s="8"/>
      <c r="J596" s="8"/>
      <c r="K596" s="8"/>
      <c r="L596" s="8"/>
      <c r="M596" s="8"/>
      <c r="N596" s="8"/>
      <c r="O596" s="8"/>
      <c r="P596" s="8"/>
      <c r="Q596" s="8"/>
      <c r="R596" s="8"/>
      <c r="S596" s="8"/>
      <c r="T596" s="8"/>
      <c r="U596" s="8"/>
      <c r="V596" s="8"/>
      <c r="W596" s="8"/>
      <c r="X596" s="8"/>
      <c r="Y596" s="8"/>
      <c r="Z596" s="8"/>
      <c r="AA596" s="8"/>
    </row>
    <row r="597" spans="1:27" x14ac:dyDescent="0.2">
      <c r="A597" s="8"/>
      <c r="B597" s="8"/>
      <c r="C597" s="8"/>
      <c r="D597" s="8"/>
      <c r="E597" s="8"/>
      <c r="F597" s="8"/>
      <c r="G597" s="8"/>
      <c r="H597" s="8"/>
      <c r="I597" s="8"/>
      <c r="J597" s="8"/>
      <c r="K597" s="8"/>
      <c r="L597" s="8"/>
      <c r="M597" s="8"/>
      <c r="N597" s="8"/>
      <c r="O597" s="8"/>
      <c r="P597" s="8"/>
      <c r="Q597" s="8"/>
      <c r="R597" s="8"/>
      <c r="S597" s="8"/>
      <c r="T597" s="8"/>
      <c r="U597" s="8"/>
      <c r="V597" s="8"/>
      <c r="W597" s="8"/>
      <c r="X597" s="8"/>
      <c r="Y597" s="8"/>
      <c r="Z597" s="8"/>
      <c r="AA597" s="8"/>
    </row>
    <row r="598" spans="1:27" x14ac:dyDescent="0.2">
      <c r="A598" s="8"/>
      <c r="B598" s="8"/>
      <c r="C598" s="8"/>
      <c r="D598" s="8"/>
      <c r="E598" s="8"/>
      <c r="F598" s="8"/>
      <c r="G598" s="8"/>
      <c r="H598" s="8"/>
      <c r="I598" s="8"/>
      <c r="J598" s="8"/>
      <c r="K598" s="8"/>
      <c r="L598" s="8"/>
      <c r="M598" s="8"/>
      <c r="N598" s="8"/>
      <c r="O598" s="8"/>
      <c r="P598" s="8"/>
      <c r="Q598" s="8"/>
      <c r="R598" s="8"/>
      <c r="S598" s="8"/>
      <c r="T598" s="8"/>
      <c r="U598" s="8"/>
      <c r="V598" s="8"/>
      <c r="W598" s="8"/>
      <c r="X598" s="8"/>
      <c r="Y598" s="8"/>
      <c r="Z598" s="8"/>
      <c r="AA598" s="8"/>
    </row>
    <row r="599" spans="1:27" x14ac:dyDescent="0.2">
      <c r="A599" s="8"/>
      <c r="B599" s="8"/>
      <c r="C599" s="8"/>
      <c r="D599" s="8"/>
      <c r="E599" s="8"/>
      <c r="F599" s="8"/>
      <c r="G599" s="8"/>
      <c r="H599" s="8"/>
      <c r="I599" s="8"/>
      <c r="J599" s="8"/>
      <c r="K599" s="8"/>
      <c r="L599" s="8"/>
      <c r="M599" s="8"/>
      <c r="N599" s="8"/>
      <c r="O599" s="8"/>
      <c r="P599" s="8"/>
      <c r="Q599" s="8"/>
      <c r="R599" s="8"/>
      <c r="S599" s="8"/>
      <c r="T599" s="8"/>
      <c r="U599" s="8"/>
      <c r="V599" s="8"/>
      <c r="W599" s="8"/>
      <c r="X599" s="8"/>
      <c r="Y599" s="8"/>
      <c r="Z599" s="8"/>
      <c r="AA599" s="8"/>
    </row>
    <row r="600" spans="1:27" x14ac:dyDescent="0.2">
      <c r="A600" s="8"/>
      <c r="B600" s="8"/>
      <c r="C600" s="8"/>
      <c r="D600" s="8"/>
      <c r="E600" s="8"/>
      <c r="F600" s="8"/>
      <c r="G600" s="8"/>
      <c r="H600" s="8"/>
      <c r="I600" s="8"/>
      <c r="J600" s="8"/>
      <c r="K600" s="8"/>
      <c r="L600" s="8"/>
      <c r="M600" s="8"/>
      <c r="N600" s="8"/>
      <c r="O600" s="8"/>
      <c r="P600" s="8"/>
      <c r="Q600" s="8"/>
      <c r="R600" s="8"/>
      <c r="S600" s="8"/>
      <c r="T600" s="8"/>
      <c r="U600" s="8"/>
      <c r="V600" s="8"/>
      <c r="W600" s="8"/>
      <c r="X600" s="8"/>
      <c r="Y600" s="8"/>
      <c r="Z600" s="8"/>
      <c r="AA600" s="8"/>
    </row>
    <row r="601" spans="1:27" x14ac:dyDescent="0.2">
      <c r="A601" s="8"/>
      <c r="B601" s="8"/>
      <c r="C601" s="8"/>
      <c r="D601" s="8"/>
      <c r="E601" s="8"/>
      <c r="F601" s="8"/>
      <c r="G601" s="8"/>
      <c r="H601" s="8"/>
      <c r="I601" s="8"/>
      <c r="J601" s="8"/>
      <c r="K601" s="8"/>
      <c r="L601" s="8"/>
      <c r="M601" s="8"/>
      <c r="N601" s="8"/>
      <c r="O601" s="8"/>
      <c r="P601" s="8"/>
      <c r="Q601" s="8"/>
      <c r="R601" s="8"/>
      <c r="S601" s="8"/>
      <c r="T601" s="8"/>
      <c r="U601" s="8"/>
      <c r="V601" s="8"/>
      <c r="W601" s="8"/>
      <c r="X601" s="8"/>
      <c r="Y601" s="8"/>
      <c r="Z601" s="8"/>
      <c r="AA601" s="8"/>
    </row>
    <row r="602" spans="1:27" x14ac:dyDescent="0.2">
      <c r="A602" s="8"/>
      <c r="B602" s="8"/>
      <c r="C602" s="8"/>
      <c r="D602" s="8"/>
      <c r="E602" s="8"/>
      <c r="F602" s="8"/>
      <c r="G602" s="8"/>
      <c r="H602" s="8"/>
      <c r="I602" s="8"/>
      <c r="J602" s="8"/>
      <c r="K602" s="8"/>
      <c r="L602" s="8"/>
      <c r="M602" s="8"/>
      <c r="N602" s="8"/>
      <c r="O602" s="8"/>
      <c r="P602" s="8"/>
      <c r="Q602" s="8"/>
      <c r="R602" s="8"/>
      <c r="S602" s="8"/>
      <c r="T602" s="8"/>
      <c r="U602" s="8"/>
      <c r="V602" s="8"/>
      <c r="W602" s="8"/>
      <c r="X602" s="8"/>
      <c r="Y602" s="8"/>
      <c r="Z602" s="8"/>
      <c r="AA602" s="8"/>
    </row>
    <row r="603" spans="1:27" x14ac:dyDescent="0.2">
      <c r="A603" s="8"/>
      <c r="B603" s="8"/>
      <c r="C603" s="8"/>
      <c r="D603" s="8"/>
      <c r="E603" s="8"/>
      <c r="F603" s="8"/>
      <c r="G603" s="8"/>
      <c r="H603" s="8"/>
      <c r="I603" s="8"/>
      <c r="J603" s="8"/>
      <c r="K603" s="8"/>
      <c r="L603" s="8"/>
      <c r="M603" s="8"/>
      <c r="N603" s="8"/>
      <c r="O603" s="8"/>
      <c r="P603" s="8"/>
      <c r="Q603" s="8"/>
      <c r="R603" s="8"/>
      <c r="S603" s="8"/>
      <c r="T603" s="8"/>
      <c r="U603" s="8"/>
      <c r="V603" s="8"/>
      <c r="W603" s="8"/>
      <c r="X603" s="8"/>
      <c r="Y603" s="8"/>
      <c r="Z603" s="8"/>
      <c r="AA603" s="8"/>
    </row>
    <row r="604" spans="1:27" x14ac:dyDescent="0.2">
      <c r="A604" s="8"/>
      <c r="B604" s="8"/>
      <c r="C604" s="8"/>
      <c r="D604" s="8"/>
      <c r="E604" s="8"/>
      <c r="F604" s="8"/>
      <c r="G604" s="8"/>
      <c r="H604" s="8"/>
      <c r="I604" s="8"/>
      <c r="J604" s="8"/>
      <c r="K604" s="8"/>
      <c r="L604" s="8"/>
      <c r="M604" s="8"/>
      <c r="N604" s="8"/>
      <c r="O604" s="8"/>
      <c r="P604" s="8"/>
      <c r="Q604" s="8"/>
      <c r="R604" s="8"/>
      <c r="S604" s="8"/>
      <c r="T604" s="8"/>
      <c r="U604" s="8"/>
      <c r="V604" s="8"/>
      <c r="W604" s="8"/>
      <c r="X604" s="8"/>
      <c r="Y604" s="8"/>
      <c r="Z604" s="8"/>
      <c r="AA604" s="8"/>
    </row>
    <row r="605" spans="1:27" x14ac:dyDescent="0.2">
      <c r="A605" s="8"/>
      <c r="B605" s="8"/>
      <c r="C605" s="8"/>
      <c r="D605" s="8"/>
      <c r="E605" s="8"/>
      <c r="F605" s="8"/>
      <c r="G605" s="8"/>
      <c r="H605" s="8"/>
      <c r="I605" s="8"/>
      <c r="J605" s="8"/>
      <c r="K605" s="8"/>
      <c r="L605" s="8"/>
      <c r="M605" s="8"/>
      <c r="N605" s="8"/>
      <c r="O605" s="8"/>
      <c r="P605" s="8"/>
      <c r="Q605" s="8"/>
      <c r="R605" s="8"/>
      <c r="S605" s="8"/>
      <c r="T605" s="8"/>
      <c r="U605" s="8"/>
      <c r="V605" s="8"/>
      <c r="W605" s="8"/>
      <c r="X605" s="8"/>
      <c r="Y605" s="8"/>
      <c r="Z605" s="8"/>
      <c r="AA605" s="8"/>
    </row>
    <row r="606" spans="1:27" x14ac:dyDescent="0.2">
      <c r="A606" s="8"/>
      <c r="B606" s="8"/>
      <c r="C606" s="8"/>
      <c r="D606" s="8"/>
      <c r="E606" s="8"/>
      <c r="F606" s="8"/>
      <c r="G606" s="8"/>
      <c r="H606" s="8"/>
      <c r="I606" s="8"/>
      <c r="J606" s="8"/>
      <c r="K606" s="8"/>
      <c r="L606" s="8"/>
      <c r="M606" s="8"/>
      <c r="N606" s="8"/>
      <c r="O606" s="8"/>
      <c r="P606" s="8"/>
      <c r="Q606" s="8"/>
      <c r="R606" s="8"/>
      <c r="S606" s="8"/>
      <c r="T606" s="8"/>
      <c r="U606" s="8"/>
      <c r="V606" s="8"/>
      <c r="W606" s="8"/>
      <c r="X606" s="8"/>
      <c r="Y606" s="8"/>
      <c r="Z606" s="8"/>
      <c r="AA606" s="8"/>
    </row>
    <row r="607" spans="1:27" x14ac:dyDescent="0.2">
      <c r="A607" s="8"/>
      <c r="B607" s="8"/>
      <c r="C607" s="8"/>
      <c r="D607" s="8"/>
      <c r="E607" s="8"/>
      <c r="F607" s="8"/>
      <c r="G607" s="8"/>
      <c r="H607" s="8"/>
      <c r="I607" s="8"/>
      <c r="J607" s="8"/>
      <c r="K607" s="8"/>
      <c r="L607" s="8"/>
      <c r="M607" s="8"/>
      <c r="N607" s="8"/>
      <c r="O607" s="8"/>
      <c r="P607" s="8"/>
      <c r="Q607" s="8"/>
      <c r="R607" s="8"/>
      <c r="S607" s="8"/>
      <c r="T607" s="8"/>
      <c r="U607" s="8"/>
      <c r="V607" s="8"/>
      <c r="W607" s="8"/>
      <c r="X607" s="8"/>
      <c r="Y607" s="8"/>
      <c r="Z607" s="8"/>
      <c r="AA607" s="8"/>
    </row>
    <row r="608" spans="1:27" x14ac:dyDescent="0.2">
      <c r="A608" s="8"/>
      <c r="B608" s="8"/>
      <c r="C608" s="8"/>
      <c r="D608" s="8"/>
      <c r="E608" s="8"/>
      <c r="F608" s="8"/>
      <c r="G608" s="8"/>
      <c r="H608" s="8"/>
      <c r="I608" s="8"/>
      <c r="J608" s="8"/>
      <c r="K608" s="8"/>
      <c r="L608" s="8"/>
      <c r="M608" s="8"/>
      <c r="N608" s="8"/>
      <c r="O608" s="8"/>
      <c r="P608" s="8"/>
      <c r="Q608" s="8"/>
      <c r="R608" s="8"/>
      <c r="S608" s="8"/>
      <c r="T608" s="8"/>
      <c r="U608" s="8"/>
      <c r="V608" s="8"/>
      <c r="W608" s="8"/>
      <c r="X608" s="8"/>
      <c r="Y608" s="8"/>
      <c r="Z608" s="8"/>
      <c r="AA608" s="8"/>
    </row>
    <row r="609" spans="1:27" x14ac:dyDescent="0.2">
      <c r="A609" s="8"/>
      <c r="B609" s="8"/>
      <c r="C609" s="8"/>
      <c r="D609" s="8"/>
      <c r="E609" s="8"/>
      <c r="F609" s="8"/>
      <c r="G609" s="8"/>
      <c r="H609" s="8"/>
      <c r="I609" s="8"/>
      <c r="J609" s="8"/>
      <c r="K609" s="8"/>
      <c r="L609" s="8"/>
      <c r="M609" s="8"/>
      <c r="N609" s="8"/>
      <c r="O609" s="8"/>
      <c r="P609" s="8"/>
      <c r="Q609" s="8"/>
      <c r="R609" s="8"/>
      <c r="S609" s="8"/>
      <c r="T609" s="8"/>
      <c r="U609" s="8"/>
      <c r="V609" s="8"/>
      <c r="W609" s="8"/>
      <c r="X609" s="8"/>
      <c r="Y609" s="8"/>
      <c r="Z609" s="8"/>
      <c r="AA609" s="8"/>
    </row>
    <row r="610" spans="1:27" x14ac:dyDescent="0.2">
      <c r="A610" s="8"/>
      <c r="B610" s="8"/>
      <c r="C610" s="8"/>
      <c r="D610" s="8"/>
      <c r="E610" s="8"/>
      <c r="F610" s="8"/>
      <c r="G610" s="8"/>
      <c r="H610" s="8"/>
      <c r="I610" s="8"/>
      <c r="J610" s="8"/>
      <c r="K610" s="8"/>
      <c r="L610" s="8"/>
      <c r="M610" s="8"/>
      <c r="N610" s="8"/>
      <c r="O610" s="8"/>
      <c r="P610" s="8"/>
      <c r="Q610" s="8"/>
      <c r="R610" s="8"/>
      <c r="S610" s="8"/>
      <c r="T610" s="8"/>
      <c r="U610" s="8"/>
      <c r="V610" s="8"/>
      <c r="W610" s="8"/>
      <c r="X610" s="8"/>
      <c r="Y610" s="8"/>
      <c r="Z610" s="8"/>
      <c r="AA610" s="8"/>
    </row>
    <row r="611" spans="1:27" x14ac:dyDescent="0.2">
      <c r="A611" s="8"/>
      <c r="B611" s="8"/>
      <c r="C611" s="8"/>
      <c r="D611" s="8"/>
      <c r="E611" s="8"/>
      <c r="F611" s="8"/>
      <c r="G611" s="8"/>
      <c r="H611" s="8"/>
      <c r="I611" s="8"/>
      <c r="J611" s="8"/>
      <c r="K611" s="8"/>
      <c r="L611" s="8"/>
      <c r="M611" s="8"/>
      <c r="N611" s="8"/>
      <c r="O611" s="8"/>
      <c r="P611" s="8"/>
      <c r="Q611" s="8"/>
      <c r="R611" s="8"/>
      <c r="S611" s="8"/>
      <c r="T611" s="8"/>
      <c r="U611" s="8"/>
      <c r="V611" s="8"/>
      <c r="W611" s="8"/>
      <c r="X611" s="8"/>
      <c r="Y611" s="8"/>
      <c r="Z611" s="8"/>
      <c r="AA611" s="8"/>
    </row>
    <row r="612" spans="1:27" x14ac:dyDescent="0.2">
      <c r="A612" s="8"/>
      <c r="B612" s="8"/>
      <c r="C612" s="8"/>
      <c r="D612" s="8"/>
      <c r="E612" s="8"/>
      <c r="F612" s="8"/>
      <c r="G612" s="8"/>
      <c r="H612" s="8"/>
      <c r="I612" s="8"/>
      <c r="J612" s="8"/>
      <c r="K612" s="8"/>
      <c r="L612" s="8"/>
      <c r="M612" s="8"/>
      <c r="N612" s="8"/>
      <c r="O612" s="8"/>
      <c r="P612" s="8"/>
      <c r="Q612" s="8"/>
      <c r="R612" s="8"/>
      <c r="S612" s="8"/>
      <c r="T612" s="8"/>
      <c r="U612" s="8"/>
      <c r="V612" s="8"/>
      <c r="W612" s="8"/>
      <c r="X612" s="8"/>
      <c r="Y612" s="8"/>
      <c r="Z612" s="8"/>
      <c r="AA612" s="8"/>
    </row>
    <row r="613" spans="1:27" x14ac:dyDescent="0.2">
      <c r="A613" s="8"/>
      <c r="B613" s="8"/>
      <c r="C613" s="8"/>
      <c r="D613" s="8"/>
      <c r="E613" s="8"/>
      <c r="F613" s="8"/>
      <c r="G613" s="8"/>
      <c r="H613" s="8"/>
      <c r="I613" s="8"/>
      <c r="J613" s="8"/>
      <c r="K613" s="8"/>
      <c r="L613" s="8"/>
      <c r="M613" s="8"/>
      <c r="N613" s="8"/>
      <c r="O613" s="8"/>
      <c r="P613" s="8"/>
      <c r="Q613" s="8"/>
      <c r="R613" s="8"/>
      <c r="S613" s="8"/>
      <c r="T613" s="8"/>
      <c r="U613" s="8"/>
      <c r="V613" s="8"/>
      <c r="W613" s="8"/>
      <c r="X613" s="8"/>
      <c r="Y613" s="8"/>
      <c r="Z613" s="8"/>
      <c r="AA613" s="8"/>
    </row>
    <row r="614" spans="1:27" x14ac:dyDescent="0.2">
      <c r="A614" s="8"/>
      <c r="B614" s="8"/>
      <c r="C614" s="8"/>
      <c r="D614" s="8"/>
      <c r="E614" s="8"/>
      <c r="F614" s="8"/>
      <c r="G614" s="8"/>
      <c r="H614" s="8"/>
      <c r="I614" s="8"/>
      <c r="J614" s="8"/>
      <c r="K614" s="8"/>
      <c r="L614" s="8"/>
      <c r="M614" s="8"/>
      <c r="N614" s="8"/>
      <c r="O614" s="8"/>
      <c r="P614" s="8"/>
      <c r="Q614" s="8"/>
      <c r="R614" s="8"/>
      <c r="S614" s="8"/>
      <c r="T614" s="8"/>
      <c r="U614" s="8"/>
      <c r="V614" s="8"/>
      <c r="W614" s="8"/>
      <c r="X614" s="8"/>
      <c r="Y614" s="8"/>
      <c r="Z614" s="8"/>
      <c r="AA614" s="8"/>
    </row>
    <row r="615" spans="1:27" x14ac:dyDescent="0.2">
      <c r="A615" s="8"/>
      <c r="B615" s="8"/>
      <c r="C615" s="8"/>
      <c r="D615" s="8"/>
      <c r="E615" s="8"/>
      <c r="F615" s="8"/>
      <c r="G615" s="8"/>
      <c r="H615" s="8"/>
      <c r="I615" s="8"/>
      <c r="J615" s="8"/>
      <c r="K615" s="8"/>
      <c r="L615" s="8"/>
      <c r="M615" s="8"/>
      <c r="N615" s="8"/>
      <c r="O615" s="8"/>
      <c r="P615" s="8"/>
      <c r="Q615" s="8"/>
      <c r="R615" s="8"/>
      <c r="S615" s="8"/>
      <c r="T615" s="8"/>
      <c r="U615" s="8"/>
      <c r="V615" s="8"/>
      <c r="W615" s="8"/>
      <c r="X615" s="8"/>
      <c r="Y615" s="8"/>
      <c r="Z615" s="8"/>
      <c r="AA615" s="8"/>
    </row>
    <row r="616" spans="1:27" x14ac:dyDescent="0.2">
      <c r="A616" s="8"/>
      <c r="B616" s="8"/>
      <c r="C616" s="8"/>
      <c r="D616" s="8"/>
      <c r="E616" s="8"/>
      <c r="F616" s="8"/>
      <c r="G616" s="8"/>
      <c r="H616" s="8"/>
      <c r="I616" s="8"/>
      <c r="J616" s="8"/>
      <c r="K616" s="8"/>
      <c r="L616" s="8"/>
      <c r="M616" s="8"/>
      <c r="N616" s="8"/>
      <c r="O616" s="8"/>
      <c r="P616" s="8"/>
      <c r="Q616" s="8"/>
      <c r="R616" s="8"/>
      <c r="S616" s="8"/>
      <c r="T616" s="8"/>
      <c r="U616" s="8"/>
      <c r="V616" s="8"/>
      <c r="W616" s="8"/>
      <c r="X616" s="8"/>
      <c r="Y616" s="8"/>
      <c r="Z616" s="8"/>
      <c r="AA616" s="8"/>
    </row>
    <row r="617" spans="1:27" x14ac:dyDescent="0.2">
      <c r="A617" s="8"/>
      <c r="B617" s="8"/>
      <c r="C617" s="8"/>
      <c r="D617" s="8"/>
      <c r="E617" s="8"/>
      <c r="F617" s="8"/>
      <c r="G617" s="8"/>
      <c r="H617" s="8"/>
      <c r="I617" s="8"/>
      <c r="J617" s="8"/>
      <c r="K617" s="8"/>
      <c r="L617" s="8"/>
      <c r="M617" s="8"/>
      <c r="N617" s="8"/>
      <c r="O617" s="8"/>
      <c r="P617" s="8"/>
      <c r="Q617" s="8"/>
      <c r="R617" s="8"/>
      <c r="S617" s="8"/>
      <c r="T617" s="8"/>
      <c r="U617" s="8"/>
      <c r="V617" s="8"/>
      <c r="W617" s="8"/>
      <c r="X617" s="8"/>
      <c r="Y617" s="8"/>
      <c r="Z617" s="8"/>
      <c r="AA617" s="8"/>
    </row>
    <row r="618" spans="1:27" x14ac:dyDescent="0.2">
      <c r="A618" s="8"/>
      <c r="B618" s="8"/>
      <c r="C618" s="8"/>
      <c r="D618" s="8"/>
      <c r="E618" s="8"/>
      <c r="F618" s="8"/>
      <c r="G618" s="8"/>
      <c r="H618" s="8"/>
      <c r="I618" s="8"/>
      <c r="J618" s="8"/>
      <c r="K618" s="8"/>
      <c r="L618" s="8"/>
      <c r="M618" s="8"/>
      <c r="N618" s="8"/>
      <c r="O618" s="8"/>
      <c r="P618" s="8"/>
      <c r="Q618" s="8"/>
      <c r="R618" s="8"/>
      <c r="S618" s="8"/>
      <c r="T618" s="8"/>
      <c r="U618" s="8"/>
      <c r="V618" s="8"/>
      <c r="W618" s="8"/>
      <c r="X618" s="8"/>
      <c r="Y618" s="8"/>
      <c r="Z618" s="8"/>
      <c r="AA618" s="8"/>
    </row>
    <row r="619" spans="1:27" x14ac:dyDescent="0.2">
      <c r="A619" s="8"/>
      <c r="B619" s="8"/>
      <c r="C619" s="8"/>
      <c r="D619" s="8"/>
      <c r="E619" s="8"/>
      <c r="F619" s="8"/>
      <c r="G619" s="8"/>
      <c r="H619" s="8"/>
      <c r="I619" s="8"/>
      <c r="J619" s="8"/>
      <c r="K619" s="8"/>
      <c r="L619" s="8"/>
      <c r="M619" s="8"/>
      <c r="N619" s="8"/>
      <c r="O619" s="8"/>
      <c r="P619" s="8"/>
      <c r="Q619" s="8"/>
      <c r="R619" s="8"/>
      <c r="S619" s="8"/>
      <c r="T619" s="8"/>
      <c r="U619" s="8"/>
      <c r="V619" s="8"/>
      <c r="W619" s="8"/>
      <c r="X619" s="8"/>
      <c r="Y619" s="8"/>
      <c r="Z619" s="8"/>
      <c r="AA619" s="8"/>
    </row>
    <row r="620" spans="1:27" x14ac:dyDescent="0.2">
      <c r="A620" s="8"/>
      <c r="B620" s="8"/>
      <c r="C620" s="8"/>
      <c r="D620" s="8"/>
      <c r="E620" s="8"/>
      <c r="F620" s="8"/>
      <c r="G620" s="8"/>
      <c r="H620" s="8"/>
      <c r="I620" s="8"/>
      <c r="J620" s="8"/>
      <c r="K620" s="8"/>
      <c r="L620" s="8"/>
      <c r="M620" s="8"/>
      <c r="N620" s="8"/>
      <c r="O620" s="8"/>
      <c r="P620" s="8"/>
      <c r="Q620" s="8"/>
      <c r="R620" s="8"/>
      <c r="S620" s="8"/>
      <c r="T620" s="8"/>
      <c r="U620" s="8"/>
      <c r="V620" s="8"/>
      <c r="W620" s="8"/>
      <c r="X620" s="8"/>
      <c r="Y620" s="8"/>
      <c r="Z620" s="8"/>
      <c r="AA620" s="8"/>
    </row>
    <row r="621" spans="1:27" x14ac:dyDescent="0.2">
      <c r="A621" s="8"/>
      <c r="B621" s="8"/>
      <c r="C621" s="8"/>
      <c r="D621" s="8"/>
      <c r="E621" s="8"/>
      <c r="F621" s="8"/>
      <c r="G621" s="8"/>
      <c r="H621" s="8"/>
      <c r="I621" s="8"/>
      <c r="J621" s="8"/>
      <c r="K621" s="8"/>
      <c r="L621" s="8"/>
      <c r="M621" s="8"/>
      <c r="N621" s="8"/>
      <c r="O621" s="8"/>
      <c r="P621" s="8"/>
      <c r="Q621" s="8"/>
      <c r="R621" s="8"/>
      <c r="S621" s="8"/>
      <c r="T621" s="8"/>
      <c r="U621" s="8"/>
      <c r="V621" s="8"/>
      <c r="W621" s="8"/>
      <c r="X621" s="8"/>
      <c r="Y621" s="8"/>
      <c r="Z621" s="8"/>
      <c r="AA621" s="8"/>
    </row>
    <row r="622" spans="1:27" x14ac:dyDescent="0.2">
      <c r="A622" s="8"/>
      <c r="B622" s="8"/>
      <c r="C622" s="8"/>
      <c r="D622" s="8"/>
      <c r="E622" s="8"/>
      <c r="F622" s="8"/>
      <c r="G622" s="8"/>
      <c r="H622" s="8"/>
      <c r="I622" s="8"/>
      <c r="J622" s="8"/>
      <c r="K622" s="8"/>
      <c r="L622" s="8"/>
      <c r="M622" s="8"/>
      <c r="N622" s="8"/>
      <c r="O622" s="8"/>
      <c r="P622" s="8"/>
      <c r="Q622" s="8"/>
      <c r="R622" s="8"/>
      <c r="S622" s="8"/>
      <c r="T622" s="8"/>
      <c r="U622" s="8"/>
      <c r="V622" s="8"/>
      <c r="W622" s="8"/>
      <c r="X622" s="8"/>
      <c r="Y622" s="8"/>
      <c r="Z622" s="8"/>
      <c r="AA622" s="8"/>
    </row>
    <row r="623" spans="1:27" x14ac:dyDescent="0.2">
      <c r="A623" s="8"/>
      <c r="B623" s="8"/>
      <c r="C623" s="8"/>
      <c r="D623" s="8"/>
      <c r="E623" s="8"/>
      <c r="F623" s="8"/>
      <c r="G623" s="8"/>
      <c r="H623" s="8"/>
      <c r="I623" s="8"/>
      <c r="J623" s="8"/>
      <c r="K623" s="8"/>
      <c r="L623" s="8"/>
      <c r="M623" s="8"/>
      <c r="N623" s="8"/>
      <c r="O623" s="8"/>
      <c r="P623" s="8"/>
      <c r="Q623" s="8"/>
      <c r="R623" s="8"/>
      <c r="S623" s="8"/>
      <c r="T623" s="8"/>
      <c r="U623" s="8"/>
      <c r="V623" s="8"/>
      <c r="W623" s="8"/>
      <c r="X623" s="8"/>
      <c r="Y623" s="8"/>
      <c r="Z623" s="8"/>
      <c r="AA623" s="8"/>
    </row>
    <row r="624" spans="1:27" x14ac:dyDescent="0.2">
      <c r="A624" s="8"/>
      <c r="B624" s="8"/>
      <c r="C624" s="8"/>
      <c r="D624" s="8"/>
      <c r="E624" s="8"/>
      <c r="F624" s="8"/>
      <c r="G624" s="8"/>
      <c r="H624" s="8"/>
      <c r="I624" s="8"/>
      <c r="J624" s="8"/>
      <c r="K624" s="8"/>
      <c r="L624" s="8"/>
      <c r="M624" s="8"/>
      <c r="N624" s="8"/>
      <c r="O624" s="8"/>
      <c r="P624" s="8"/>
      <c r="Q624" s="8"/>
      <c r="R624" s="8"/>
      <c r="S624" s="8"/>
      <c r="T624" s="8"/>
      <c r="U624" s="8"/>
      <c r="V624" s="8"/>
      <c r="W624" s="8"/>
      <c r="X624" s="8"/>
      <c r="Y624" s="8"/>
      <c r="Z624" s="8"/>
      <c r="AA624" s="8"/>
    </row>
    <row r="625" spans="1:27" x14ac:dyDescent="0.2">
      <c r="A625" s="8"/>
      <c r="B625" s="8"/>
      <c r="C625" s="8"/>
      <c r="D625" s="8"/>
      <c r="E625" s="8"/>
      <c r="F625" s="8"/>
      <c r="G625" s="8"/>
      <c r="H625" s="8"/>
      <c r="I625" s="8"/>
      <c r="J625" s="8"/>
      <c r="K625" s="8"/>
      <c r="L625" s="8"/>
      <c r="M625" s="8"/>
      <c r="N625" s="8"/>
      <c r="O625" s="8"/>
      <c r="P625" s="8"/>
      <c r="Q625" s="8"/>
      <c r="R625" s="8"/>
      <c r="S625" s="8"/>
      <c r="T625" s="8"/>
      <c r="U625" s="8"/>
      <c r="V625" s="8"/>
      <c r="W625" s="8"/>
      <c r="X625" s="8"/>
      <c r="Y625" s="8"/>
      <c r="Z625" s="8"/>
      <c r="AA625" s="8"/>
    </row>
    <row r="626" spans="1:27" x14ac:dyDescent="0.2">
      <c r="A626" s="8"/>
      <c r="B626" s="8"/>
      <c r="C626" s="8"/>
      <c r="D626" s="8"/>
      <c r="E626" s="8"/>
      <c r="F626" s="8"/>
      <c r="G626" s="8"/>
      <c r="H626" s="8"/>
      <c r="I626" s="8"/>
      <c r="J626" s="8"/>
      <c r="K626" s="8"/>
      <c r="L626" s="8"/>
      <c r="M626" s="8"/>
      <c r="N626" s="8"/>
      <c r="O626" s="8"/>
      <c r="P626" s="8"/>
      <c r="Q626" s="8"/>
      <c r="R626" s="8"/>
      <c r="S626" s="8"/>
      <c r="T626" s="8"/>
      <c r="U626" s="8"/>
      <c r="V626" s="8"/>
      <c r="W626" s="8"/>
      <c r="X626" s="8"/>
      <c r="Y626" s="8"/>
      <c r="Z626" s="8"/>
      <c r="AA626" s="8"/>
    </row>
    <row r="627" spans="1:27" x14ac:dyDescent="0.2">
      <c r="A627" s="8"/>
      <c r="B627" s="8"/>
      <c r="C627" s="8"/>
      <c r="D627" s="8"/>
      <c r="E627" s="8"/>
      <c r="F627" s="8"/>
      <c r="G627" s="8"/>
      <c r="H627" s="8"/>
      <c r="I627" s="8"/>
      <c r="J627" s="8"/>
      <c r="K627" s="8"/>
      <c r="L627" s="8"/>
      <c r="M627" s="8"/>
      <c r="N627" s="8"/>
      <c r="O627" s="8"/>
      <c r="P627" s="8"/>
      <c r="Q627" s="8"/>
      <c r="R627" s="8"/>
      <c r="S627" s="8"/>
      <c r="T627" s="8"/>
      <c r="U627" s="8"/>
      <c r="V627" s="8"/>
      <c r="W627" s="8"/>
      <c r="X627" s="8"/>
      <c r="Y627" s="8"/>
      <c r="Z627" s="8"/>
      <c r="AA627" s="8"/>
    </row>
    <row r="628" spans="1:27" x14ac:dyDescent="0.2">
      <c r="A628" s="8"/>
      <c r="B628" s="8"/>
      <c r="C628" s="8"/>
      <c r="D628" s="8"/>
      <c r="E628" s="8"/>
      <c r="F628" s="8"/>
      <c r="G628" s="8"/>
      <c r="H628" s="8"/>
      <c r="I628" s="8"/>
      <c r="J628" s="8"/>
      <c r="K628" s="8"/>
      <c r="L628" s="8"/>
      <c r="M628" s="8"/>
      <c r="N628" s="8"/>
      <c r="O628" s="8"/>
      <c r="P628" s="8"/>
      <c r="Q628" s="8"/>
      <c r="R628" s="8"/>
      <c r="S628" s="8"/>
      <c r="T628" s="8"/>
      <c r="U628" s="8"/>
      <c r="V628" s="8"/>
      <c r="W628" s="8"/>
      <c r="X628" s="8"/>
      <c r="Y628" s="8"/>
      <c r="Z628" s="8"/>
      <c r="AA628" s="8"/>
    </row>
    <row r="629" spans="1:27" x14ac:dyDescent="0.2">
      <c r="A629" s="8"/>
      <c r="B629" s="8"/>
      <c r="C629" s="8"/>
      <c r="D629" s="8"/>
      <c r="E629" s="8"/>
      <c r="F629" s="8"/>
      <c r="G629" s="8"/>
      <c r="H629" s="8"/>
      <c r="I629" s="8"/>
      <c r="J629" s="8"/>
      <c r="K629" s="8"/>
      <c r="L629" s="8"/>
      <c r="M629" s="8"/>
      <c r="N629" s="8"/>
      <c r="O629" s="8"/>
      <c r="P629" s="8"/>
      <c r="Q629" s="8"/>
      <c r="R629" s="8"/>
      <c r="S629" s="8"/>
      <c r="T629" s="8"/>
      <c r="U629" s="8"/>
      <c r="V629" s="8"/>
      <c r="W629" s="8"/>
      <c r="X629" s="8"/>
      <c r="Y629" s="8"/>
      <c r="Z629" s="8"/>
      <c r="AA629" s="8"/>
    </row>
    <row r="630" spans="1:27" x14ac:dyDescent="0.2">
      <c r="A630" s="8"/>
      <c r="B630" s="8"/>
      <c r="C630" s="8"/>
      <c r="D630" s="8"/>
      <c r="E630" s="8"/>
      <c r="F630" s="8"/>
      <c r="G630" s="8"/>
      <c r="H630" s="8"/>
      <c r="I630" s="8"/>
      <c r="J630" s="8"/>
      <c r="K630" s="8"/>
      <c r="L630" s="8"/>
      <c r="M630" s="8"/>
      <c r="N630" s="8"/>
      <c r="O630" s="8"/>
      <c r="P630" s="8"/>
      <c r="Q630" s="8"/>
      <c r="R630" s="8"/>
      <c r="S630" s="8"/>
      <c r="T630" s="8"/>
      <c r="U630" s="8"/>
      <c r="V630" s="8"/>
      <c r="W630" s="8"/>
      <c r="X630" s="8"/>
      <c r="Y630" s="8"/>
      <c r="Z630" s="8"/>
      <c r="AA630" s="8"/>
    </row>
    <row r="631" spans="1:27" x14ac:dyDescent="0.2">
      <c r="A631" s="8"/>
      <c r="B631" s="8"/>
      <c r="C631" s="8"/>
      <c r="D631" s="8"/>
      <c r="E631" s="8"/>
      <c r="F631" s="8"/>
      <c r="G631" s="8"/>
      <c r="H631" s="8"/>
      <c r="I631" s="8"/>
      <c r="J631" s="8"/>
      <c r="K631" s="8"/>
      <c r="L631" s="8"/>
      <c r="M631" s="8"/>
      <c r="N631" s="8"/>
      <c r="O631" s="8"/>
      <c r="P631" s="8"/>
      <c r="Q631" s="8"/>
      <c r="R631" s="8"/>
      <c r="S631" s="8"/>
      <c r="T631" s="8"/>
      <c r="U631" s="8"/>
      <c r="V631" s="8"/>
      <c r="W631" s="8"/>
      <c r="X631" s="8"/>
      <c r="Y631" s="8"/>
      <c r="Z631" s="8"/>
      <c r="AA631" s="8"/>
    </row>
    <row r="632" spans="1:27" x14ac:dyDescent="0.2">
      <c r="A632" s="8"/>
      <c r="B632" s="8"/>
      <c r="C632" s="8"/>
      <c r="D632" s="8"/>
      <c r="E632" s="8"/>
      <c r="F632" s="8"/>
      <c r="G632" s="8"/>
      <c r="H632" s="8"/>
      <c r="I632" s="8"/>
      <c r="J632" s="8"/>
      <c r="K632" s="8"/>
      <c r="L632" s="8"/>
      <c r="M632" s="8"/>
      <c r="N632" s="8"/>
      <c r="O632" s="8"/>
      <c r="P632" s="8"/>
      <c r="Q632" s="8"/>
      <c r="R632" s="8"/>
      <c r="S632" s="8"/>
      <c r="T632" s="8"/>
      <c r="U632" s="8"/>
      <c r="V632" s="8"/>
      <c r="W632" s="8"/>
      <c r="X632" s="8"/>
      <c r="Y632" s="8"/>
      <c r="Z632" s="8"/>
      <c r="AA632" s="8"/>
    </row>
    <row r="633" spans="1:27" x14ac:dyDescent="0.2">
      <c r="A633" s="8"/>
      <c r="B633" s="8"/>
      <c r="C633" s="8"/>
      <c r="D633" s="8"/>
      <c r="E633" s="8"/>
      <c r="F633" s="8"/>
      <c r="G633" s="8"/>
      <c r="H633" s="8"/>
      <c r="I633" s="8"/>
      <c r="J633" s="8"/>
      <c r="K633" s="8"/>
      <c r="L633" s="8"/>
      <c r="M633" s="8"/>
      <c r="N633" s="8"/>
      <c r="O633" s="8"/>
      <c r="P633" s="8"/>
      <c r="Q633" s="8"/>
      <c r="R633" s="8"/>
      <c r="S633" s="8"/>
      <c r="T633" s="8"/>
      <c r="U633" s="8"/>
      <c r="V633" s="8"/>
      <c r="W633" s="8"/>
      <c r="X633" s="8"/>
      <c r="Y633" s="8"/>
      <c r="Z633" s="8"/>
      <c r="AA633" s="8"/>
    </row>
    <row r="634" spans="1:27" x14ac:dyDescent="0.2">
      <c r="A634" s="8"/>
      <c r="B634" s="8"/>
      <c r="C634" s="8"/>
      <c r="D634" s="8"/>
      <c r="E634" s="8"/>
      <c r="F634" s="8"/>
      <c r="G634" s="8"/>
      <c r="H634" s="8"/>
      <c r="I634" s="8"/>
      <c r="J634" s="8"/>
      <c r="K634" s="8"/>
      <c r="L634" s="8"/>
      <c r="M634" s="8"/>
      <c r="N634" s="8"/>
      <c r="O634" s="8"/>
      <c r="P634" s="8"/>
      <c r="Q634" s="8"/>
      <c r="R634" s="8"/>
      <c r="S634" s="8"/>
      <c r="T634" s="8"/>
      <c r="U634" s="8"/>
      <c r="V634" s="8"/>
      <c r="W634" s="8"/>
      <c r="X634" s="8"/>
      <c r="Y634" s="8"/>
      <c r="Z634" s="8"/>
      <c r="AA634" s="8"/>
    </row>
    <row r="635" spans="1:27" x14ac:dyDescent="0.2">
      <c r="A635" s="8"/>
      <c r="B635" s="8"/>
      <c r="C635" s="8"/>
      <c r="D635" s="8"/>
      <c r="E635" s="8"/>
      <c r="F635" s="8"/>
      <c r="G635" s="8"/>
      <c r="H635" s="8"/>
      <c r="I635" s="8"/>
      <c r="J635" s="8"/>
      <c r="K635" s="8"/>
      <c r="L635" s="8"/>
      <c r="M635" s="8"/>
      <c r="N635" s="8"/>
      <c r="O635" s="8"/>
      <c r="P635" s="8"/>
      <c r="Q635" s="8"/>
      <c r="R635" s="8"/>
      <c r="S635" s="8"/>
      <c r="T635" s="8"/>
      <c r="U635" s="8"/>
      <c r="V635" s="8"/>
      <c r="W635" s="8"/>
      <c r="X635" s="8"/>
      <c r="Y635" s="8"/>
      <c r="Z635" s="8"/>
      <c r="AA635" s="8"/>
    </row>
    <row r="636" spans="1:27" x14ac:dyDescent="0.2">
      <c r="A636" s="8"/>
      <c r="B636" s="8"/>
      <c r="C636" s="8"/>
      <c r="D636" s="8"/>
      <c r="E636" s="8"/>
      <c r="F636" s="8"/>
      <c r="G636" s="8"/>
      <c r="H636" s="8"/>
      <c r="I636" s="8"/>
      <c r="J636" s="8"/>
      <c r="K636" s="8"/>
      <c r="L636" s="8"/>
      <c r="M636" s="8"/>
      <c r="N636" s="8"/>
      <c r="O636" s="8"/>
      <c r="P636" s="8"/>
      <c r="Q636" s="8"/>
      <c r="R636" s="8"/>
      <c r="S636" s="8"/>
      <c r="T636" s="8"/>
      <c r="U636" s="8"/>
      <c r="V636" s="8"/>
      <c r="W636" s="8"/>
      <c r="X636" s="8"/>
      <c r="Y636" s="8"/>
      <c r="Z636" s="8"/>
      <c r="AA636" s="8"/>
    </row>
    <row r="637" spans="1:27" x14ac:dyDescent="0.2">
      <c r="A637" s="8"/>
      <c r="B637" s="8"/>
      <c r="C637" s="8"/>
      <c r="D637" s="8"/>
      <c r="E637" s="8"/>
      <c r="F637" s="8"/>
      <c r="G637" s="8"/>
      <c r="H637" s="8"/>
      <c r="I637" s="8"/>
      <c r="J637" s="8"/>
      <c r="K637" s="8"/>
      <c r="L637" s="8"/>
      <c r="M637" s="8"/>
      <c r="N637" s="8"/>
      <c r="O637" s="8"/>
      <c r="P637" s="8"/>
      <c r="Q637" s="8"/>
      <c r="R637" s="8"/>
      <c r="S637" s="8"/>
      <c r="T637" s="8"/>
      <c r="U637" s="8"/>
      <c r="V637" s="8"/>
      <c r="W637" s="8"/>
      <c r="X637" s="8"/>
      <c r="Y637" s="8"/>
      <c r="Z637" s="8"/>
      <c r="AA637" s="8"/>
    </row>
    <row r="638" spans="1:27" x14ac:dyDescent="0.2">
      <c r="A638" s="8"/>
      <c r="B638" s="8"/>
      <c r="C638" s="8"/>
      <c r="D638" s="8"/>
      <c r="E638" s="8"/>
      <c r="F638" s="8"/>
      <c r="G638" s="8"/>
      <c r="H638" s="8"/>
      <c r="I638" s="8"/>
      <c r="J638" s="8"/>
      <c r="K638" s="8"/>
      <c r="L638" s="8"/>
      <c r="M638" s="8"/>
      <c r="N638" s="8"/>
      <c r="O638" s="8"/>
      <c r="P638" s="8"/>
      <c r="Q638" s="8"/>
      <c r="R638" s="8"/>
      <c r="S638" s="8"/>
      <c r="T638" s="8"/>
      <c r="U638" s="8"/>
      <c r="V638" s="8"/>
      <c r="W638" s="8"/>
      <c r="X638" s="8"/>
      <c r="Y638" s="8"/>
      <c r="Z638" s="8"/>
      <c r="AA638" s="8"/>
    </row>
    <row r="639" spans="1:27" x14ac:dyDescent="0.2">
      <c r="A639" s="8"/>
      <c r="B639" s="8"/>
      <c r="C639" s="8"/>
      <c r="D639" s="8"/>
      <c r="E639" s="8"/>
      <c r="F639" s="8"/>
      <c r="G639" s="8"/>
      <c r="H639" s="8"/>
      <c r="I639" s="8"/>
      <c r="J639" s="8"/>
      <c r="K639" s="8"/>
      <c r="L639" s="8"/>
      <c r="M639" s="8"/>
      <c r="N639" s="8"/>
      <c r="O639" s="8"/>
      <c r="P639" s="8"/>
      <c r="Q639" s="8"/>
      <c r="R639" s="8"/>
      <c r="S639" s="8"/>
      <c r="T639" s="8"/>
      <c r="U639" s="8"/>
      <c r="V639" s="8"/>
      <c r="W639" s="8"/>
      <c r="X639" s="8"/>
      <c r="Y639" s="8"/>
      <c r="Z639" s="8"/>
      <c r="AA639" s="8"/>
    </row>
    <row r="640" spans="1:27" x14ac:dyDescent="0.2">
      <c r="A640" s="8"/>
      <c r="B640" s="8"/>
      <c r="C640" s="8"/>
      <c r="D640" s="8"/>
      <c r="E640" s="8"/>
      <c r="F640" s="8"/>
      <c r="G640" s="8"/>
      <c r="H640" s="8"/>
      <c r="I640" s="8"/>
      <c r="J640" s="8"/>
      <c r="K640" s="8"/>
      <c r="L640" s="8"/>
      <c r="M640" s="8"/>
      <c r="N640" s="8"/>
      <c r="O640" s="8"/>
      <c r="P640" s="8"/>
      <c r="Q640" s="8"/>
      <c r="R640" s="8"/>
      <c r="S640" s="8"/>
      <c r="T640" s="8"/>
      <c r="U640" s="8"/>
      <c r="V640" s="8"/>
      <c r="W640" s="8"/>
      <c r="X640" s="8"/>
      <c r="Y640" s="8"/>
      <c r="Z640" s="8"/>
      <c r="AA640" s="8"/>
    </row>
    <row r="641" spans="1:27" x14ac:dyDescent="0.2">
      <c r="A641" s="8"/>
      <c r="B641" s="8"/>
      <c r="C641" s="8"/>
      <c r="D641" s="8"/>
      <c r="E641" s="8"/>
      <c r="F641" s="8"/>
      <c r="G641" s="8"/>
      <c r="H641" s="8"/>
      <c r="I641" s="8"/>
      <c r="J641" s="8"/>
      <c r="K641" s="8"/>
      <c r="L641" s="8"/>
      <c r="M641" s="8"/>
      <c r="N641" s="8"/>
      <c r="O641" s="8"/>
      <c r="P641" s="8"/>
      <c r="Q641" s="8"/>
      <c r="R641" s="8"/>
      <c r="S641" s="8"/>
      <c r="T641" s="8"/>
      <c r="U641" s="8"/>
      <c r="V641" s="8"/>
      <c r="W641" s="8"/>
      <c r="X641" s="8"/>
      <c r="Y641" s="8"/>
      <c r="Z641" s="8"/>
      <c r="AA641" s="8"/>
    </row>
    <row r="642" spans="1:27" x14ac:dyDescent="0.2">
      <c r="A642" s="8"/>
      <c r="B642" s="8"/>
      <c r="C642" s="8"/>
      <c r="D642" s="8"/>
      <c r="E642" s="8"/>
      <c r="F642" s="8"/>
      <c r="G642" s="8"/>
      <c r="H642" s="8"/>
      <c r="I642" s="8"/>
      <c r="J642" s="8"/>
      <c r="K642" s="8"/>
      <c r="L642" s="8"/>
      <c r="M642" s="8"/>
      <c r="N642" s="8"/>
      <c r="O642" s="8"/>
      <c r="P642" s="8"/>
      <c r="Q642" s="8"/>
      <c r="R642" s="8"/>
      <c r="S642" s="8"/>
      <c r="T642" s="8"/>
      <c r="U642" s="8"/>
      <c r="V642" s="8"/>
      <c r="W642" s="8"/>
      <c r="X642" s="8"/>
      <c r="Y642" s="8"/>
      <c r="Z642" s="8"/>
      <c r="AA642" s="8"/>
    </row>
    <row r="643" spans="1:27" x14ac:dyDescent="0.2">
      <c r="A643" s="8"/>
      <c r="B643" s="8"/>
      <c r="C643" s="8"/>
      <c r="D643" s="8"/>
      <c r="E643" s="8"/>
      <c r="F643" s="8"/>
      <c r="G643" s="8"/>
      <c r="H643" s="8"/>
      <c r="I643" s="8"/>
      <c r="J643" s="8"/>
      <c r="K643" s="8"/>
      <c r="L643" s="8"/>
      <c r="M643" s="8"/>
      <c r="N643" s="8"/>
      <c r="O643" s="8"/>
      <c r="P643" s="8"/>
      <c r="Q643" s="8"/>
      <c r="R643" s="8"/>
      <c r="S643" s="8"/>
      <c r="T643" s="8"/>
      <c r="U643" s="8"/>
      <c r="V643" s="8"/>
      <c r="W643" s="8"/>
      <c r="X643" s="8"/>
      <c r="Y643" s="8"/>
      <c r="Z643" s="8"/>
      <c r="AA643" s="8"/>
    </row>
    <row r="644" spans="1:27" x14ac:dyDescent="0.2">
      <c r="A644" s="8"/>
      <c r="B644" s="8"/>
      <c r="C644" s="8"/>
      <c r="D644" s="8"/>
      <c r="E644" s="8"/>
      <c r="F644" s="8"/>
      <c r="G644" s="8"/>
      <c r="H644" s="8"/>
      <c r="I644" s="8"/>
      <c r="J644" s="8"/>
      <c r="K644" s="8"/>
      <c r="L644" s="8"/>
      <c r="M644" s="8"/>
      <c r="N644" s="8"/>
      <c r="O644" s="8"/>
      <c r="P644" s="8"/>
      <c r="Q644" s="8"/>
      <c r="R644" s="8"/>
      <c r="S644" s="8"/>
      <c r="T644" s="8"/>
      <c r="U644" s="8"/>
      <c r="V644" s="8"/>
      <c r="W644" s="8"/>
      <c r="X644" s="8"/>
      <c r="Y644" s="8"/>
      <c r="Z644" s="8"/>
      <c r="AA644" s="8"/>
    </row>
    <row r="645" spans="1:27" x14ac:dyDescent="0.2">
      <c r="A645" s="8"/>
      <c r="B645" s="8"/>
      <c r="C645" s="8"/>
      <c r="D645" s="8"/>
      <c r="E645" s="8"/>
      <c r="F645" s="8"/>
      <c r="G645" s="8"/>
      <c r="H645" s="8"/>
      <c r="I645" s="8"/>
      <c r="J645" s="8"/>
      <c r="K645" s="8"/>
      <c r="L645" s="8"/>
      <c r="M645" s="8"/>
      <c r="N645" s="8"/>
      <c r="O645" s="8"/>
      <c r="P645" s="8"/>
      <c r="Q645" s="8"/>
      <c r="R645" s="8"/>
      <c r="S645" s="8"/>
      <c r="T645" s="8"/>
      <c r="U645" s="8"/>
      <c r="V645" s="8"/>
      <c r="W645" s="8"/>
      <c r="X645" s="8"/>
      <c r="Y645" s="8"/>
      <c r="Z645" s="8"/>
      <c r="AA645" s="8"/>
    </row>
    <row r="646" spans="1:27" x14ac:dyDescent="0.2">
      <c r="A646" s="8"/>
      <c r="B646" s="8"/>
      <c r="C646" s="8"/>
      <c r="D646" s="8"/>
      <c r="E646" s="8"/>
      <c r="F646" s="8"/>
      <c r="G646" s="8"/>
      <c r="H646" s="8"/>
      <c r="I646" s="8"/>
      <c r="J646" s="8"/>
      <c r="K646" s="8"/>
      <c r="L646" s="8"/>
      <c r="M646" s="8"/>
      <c r="N646" s="8"/>
      <c r="O646" s="8"/>
      <c r="P646" s="8"/>
      <c r="Q646" s="8"/>
      <c r="R646" s="8"/>
      <c r="S646" s="8"/>
      <c r="T646" s="8"/>
      <c r="U646" s="8"/>
      <c r="V646" s="8"/>
      <c r="W646" s="8"/>
      <c r="X646" s="8"/>
      <c r="Y646" s="8"/>
      <c r="Z646" s="8"/>
      <c r="AA646" s="8"/>
    </row>
    <row r="647" spans="1:27" x14ac:dyDescent="0.2">
      <c r="A647" s="8"/>
      <c r="B647" s="8"/>
      <c r="C647" s="8"/>
      <c r="D647" s="8"/>
      <c r="E647" s="8"/>
      <c r="F647" s="8"/>
      <c r="G647" s="8"/>
      <c r="H647" s="8"/>
      <c r="I647" s="8"/>
      <c r="J647" s="8"/>
      <c r="K647" s="8"/>
      <c r="L647" s="8"/>
      <c r="M647" s="8"/>
      <c r="N647" s="8"/>
      <c r="O647" s="8"/>
      <c r="P647" s="8"/>
      <c r="Q647" s="8"/>
      <c r="R647" s="8"/>
      <c r="S647" s="8"/>
      <c r="T647" s="8"/>
      <c r="U647" s="8"/>
      <c r="V647" s="8"/>
      <c r="W647" s="8"/>
      <c r="X647" s="8"/>
      <c r="Y647" s="8"/>
      <c r="Z647" s="8"/>
      <c r="AA647" s="8"/>
    </row>
    <row r="648" spans="1:27" x14ac:dyDescent="0.2">
      <c r="A648" s="8"/>
      <c r="B648" s="8"/>
      <c r="C648" s="8"/>
      <c r="D648" s="8"/>
      <c r="E648" s="8"/>
      <c r="F648" s="8"/>
      <c r="G648" s="8"/>
      <c r="H648" s="8"/>
      <c r="I648" s="8"/>
      <c r="J648" s="8"/>
      <c r="K648" s="8"/>
      <c r="L648" s="8"/>
      <c r="M648" s="8"/>
      <c r="N648" s="8"/>
      <c r="O648" s="8"/>
      <c r="P648" s="8"/>
      <c r="Q648" s="8"/>
      <c r="R648" s="8"/>
      <c r="S648" s="8"/>
      <c r="T648" s="8"/>
      <c r="U648" s="8"/>
      <c r="V648" s="8"/>
      <c r="W648" s="8"/>
      <c r="X648" s="8"/>
      <c r="Y648" s="8"/>
      <c r="Z648" s="8"/>
      <c r="AA648" s="8"/>
    </row>
    <row r="649" spans="1:27" x14ac:dyDescent="0.2">
      <c r="A649" s="8"/>
      <c r="B649" s="8"/>
      <c r="C649" s="8"/>
      <c r="D649" s="8"/>
      <c r="E649" s="8"/>
      <c r="F649" s="8"/>
      <c r="G649" s="8"/>
      <c r="H649" s="8"/>
      <c r="I649" s="8"/>
      <c r="J649" s="8"/>
      <c r="K649" s="8"/>
      <c r="L649" s="8"/>
      <c r="M649" s="8"/>
      <c r="N649" s="8"/>
      <c r="O649" s="8"/>
      <c r="P649" s="8"/>
      <c r="Q649" s="8"/>
      <c r="R649" s="8"/>
      <c r="S649" s="8"/>
      <c r="T649" s="8"/>
      <c r="U649" s="8"/>
      <c r="V649" s="8"/>
      <c r="W649" s="8"/>
      <c r="X649" s="8"/>
      <c r="Y649" s="8"/>
      <c r="Z649" s="8"/>
      <c r="AA649" s="8"/>
    </row>
    <row r="650" spans="1:27" x14ac:dyDescent="0.2">
      <c r="A650" s="8"/>
      <c r="B650" s="8"/>
      <c r="C650" s="8"/>
      <c r="D650" s="8"/>
      <c r="E650" s="8"/>
      <c r="F650" s="8"/>
      <c r="G650" s="8"/>
      <c r="H650" s="8"/>
      <c r="I650" s="8"/>
      <c r="J650" s="8"/>
      <c r="K650" s="8"/>
      <c r="L650" s="8"/>
      <c r="M650" s="8"/>
      <c r="N650" s="8"/>
      <c r="O650" s="8"/>
      <c r="P650" s="8"/>
      <c r="Q650" s="8"/>
      <c r="R650" s="8"/>
      <c r="S650" s="8"/>
      <c r="T650" s="8"/>
      <c r="U650" s="8"/>
      <c r="V650" s="8"/>
      <c r="W650" s="8"/>
      <c r="X650" s="8"/>
      <c r="Y650" s="8"/>
      <c r="Z650" s="8"/>
      <c r="AA650" s="8"/>
    </row>
    <row r="651" spans="1:27" x14ac:dyDescent="0.2">
      <c r="A651" s="8"/>
      <c r="B651" s="8"/>
      <c r="C651" s="8"/>
      <c r="D651" s="8"/>
      <c r="E651" s="8"/>
      <c r="F651" s="8"/>
      <c r="G651" s="8"/>
      <c r="H651" s="8"/>
      <c r="I651" s="8"/>
      <c r="J651" s="8"/>
      <c r="K651" s="8"/>
      <c r="L651" s="8"/>
      <c r="M651" s="8"/>
      <c r="N651" s="8"/>
      <c r="O651" s="8"/>
      <c r="P651" s="8"/>
      <c r="Q651" s="8"/>
      <c r="R651" s="8"/>
      <c r="S651" s="8"/>
      <c r="T651" s="8"/>
      <c r="U651" s="8"/>
      <c r="V651" s="8"/>
      <c r="W651" s="8"/>
      <c r="X651" s="8"/>
      <c r="Y651" s="8"/>
      <c r="Z651" s="8"/>
      <c r="AA651" s="8"/>
    </row>
    <row r="652" spans="1:27" x14ac:dyDescent="0.2">
      <c r="A652" s="8"/>
      <c r="B652" s="8"/>
      <c r="C652" s="8"/>
      <c r="D652" s="8"/>
      <c r="E652" s="8"/>
      <c r="F652" s="8"/>
      <c r="G652" s="8"/>
      <c r="H652" s="8"/>
      <c r="I652" s="8"/>
      <c r="J652" s="8"/>
      <c r="K652" s="8"/>
      <c r="L652" s="8"/>
      <c r="M652" s="8"/>
      <c r="N652" s="8"/>
      <c r="O652" s="8"/>
      <c r="P652" s="8"/>
      <c r="Q652" s="8"/>
      <c r="R652" s="8"/>
      <c r="S652" s="8"/>
      <c r="T652" s="8"/>
      <c r="U652" s="8"/>
      <c r="V652" s="8"/>
      <c r="W652" s="8"/>
      <c r="X652" s="8"/>
      <c r="Y652" s="8"/>
      <c r="Z652" s="8"/>
      <c r="AA652" s="8"/>
    </row>
    <row r="653" spans="1:27" x14ac:dyDescent="0.2">
      <c r="A653" s="8"/>
      <c r="B653" s="8"/>
      <c r="C653" s="8"/>
      <c r="D653" s="8"/>
      <c r="E653" s="8"/>
      <c r="F653" s="8"/>
      <c r="G653" s="8"/>
      <c r="H653" s="8"/>
      <c r="I653" s="8"/>
      <c r="J653" s="8"/>
      <c r="K653" s="8"/>
      <c r="L653" s="8"/>
      <c r="M653" s="8"/>
      <c r="N653" s="8"/>
      <c r="O653" s="8"/>
      <c r="P653" s="8"/>
      <c r="Q653" s="8"/>
      <c r="R653" s="8"/>
      <c r="S653" s="8"/>
      <c r="T653" s="8"/>
      <c r="U653" s="8"/>
      <c r="V653" s="8"/>
      <c r="W653" s="8"/>
      <c r="X653" s="8"/>
      <c r="Y653" s="8"/>
      <c r="Z653" s="8"/>
      <c r="AA653" s="8"/>
    </row>
    <row r="654" spans="1:27" x14ac:dyDescent="0.2">
      <c r="A654" s="8"/>
      <c r="B654" s="8"/>
      <c r="C654" s="8"/>
      <c r="D654" s="8"/>
      <c r="E654" s="8"/>
      <c r="F654" s="8"/>
      <c r="G654" s="8"/>
      <c r="H654" s="8"/>
      <c r="I654" s="8"/>
      <c r="J654" s="8"/>
      <c r="K654" s="8"/>
      <c r="L654" s="8"/>
      <c r="M654" s="8"/>
      <c r="N654" s="8"/>
      <c r="O654" s="8"/>
      <c r="P654" s="8"/>
      <c r="Q654" s="8"/>
      <c r="R654" s="8"/>
      <c r="S654" s="8"/>
      <c r="T654" s="8"/>
      <c r="U654" s="8"/>
      <c r="V654" s="8"/>
      <c r="W654" s="8"/>
      <c r="X654" s="8"/>
      <c r="Y654" s="8"/>
      <c r="Z654" s="8"/>
      <c r="AA654" s="8"/>
    </row>
    <row r="655" spans="1:27" x14ac:dyDescent="0.2">
      <c r="A655" s="8"/>
      <c r="B655" s="8"/>
      <c r="C655" s="8"/>
      <c r="D655" s="8"/>
      <c r="E655" s="8"/>
      <c r="F655" s="8"/>
      <c r="G655" s="8"/>
      <c r="H655" s="8"/>
      <c r="I655" s="8"/>
      <c r="J655" s="8"/>
      <c r="K655" s="8"/>
      <c r="L655" s="8"/>
      <c r="M655" s="8"/>
      <c r="N655" s="8"/>
      <c r="O655" s="8"/>
      <c r="P655" s="8"/>
      <c r="Q655" s="8"/>
      <c r="R655" s="8"/>
      <c r="S655" s="8"/>
      <c r="T655" s="8"/>
      <c r="U655" s="8"/>
      <c r="V655" s="8"/>
      <c r="W655" s="8"/>
      <c r="X655" s="8"/>
      <c r="Y655" s="8"/>
      <c r="Z655" s="8"/>
      <c r="AA655" s="8"/>
    </row>
    <row r="656" spans="1:27" x14ac:dyDescent="0.2">
      <c r="A656" s="8"/>
      <c r="B656" s="8"/>
      <c r="C656" s="8"/>
      <c r="D656" s="8"/>
      <c r="E656" s="8"/>
      <c r="F656" s="8"/>
      <c r="G656" s="8"/>
      <c r="H656" s="8"/>
      <c r="I656" s="8"/>
      <c r="J656" s="8"/>
      <c r="K656" s="8"/>
      <c r="L656" s="8"/>
      <c r="M656" s="8"/>
      <c r="N656" s="8"/>
      <c r="O656" s="8"/>
      <c r="P656" s="8"/>
      <c r="Q656" s="8"/>
      <c r="R656" s="8"/>
      <c r="S656" s="8"/>
      <c r="T656" s="8"/>
      <c r="U656" s="8"/>
      <c r="V656" s="8"/>
      <c r="W656" s="8"/>
      <c r="X656" s="8"/>
      <c r="Y656" s="8"/>
      <c r="Z656" s="8"/>
      <c r="AA656" s="8"/>
    </row>
    <row r="657" spans="1:27" x14ac:dyDescent="0.2">
      <c r="A657" s="8"/>
      <c r="B657" s="8"/>
      <c r="C657" s="8"/>
      <c r="D657" s="8"/>
      <c r="E657" s="8"/>
      <c r="F657" s="8"/>
      <c r="G657" s="8"/>
      <c r="H657" s="8"/>
      <c r="I657" s="8"/>
      <c r="J657" s="8"/>
      <c r="K657" s="8"/>
      <c r="L657" s="8"/>
      <c r="M657" s="8"/>
      <c r="N657" s="8"/>
      <c r="O657" s="8"/>
      <c r="P657" s="8"/>
      <c r="Q657" s="8"/>
      <c r="R657" s="8"/>
      <c r="S657" s="8"/>
      <c r="T657" s="8"/>
      <c r="U657" s="8"/>
      <c r="V657" s="8"/>
      <c r="W657" s="8"/>
      <c r="X657" s="8"/>
      <c r="Y657" s="8"/>
      <c r="Z657" s="8"/>
      <c r="AA657" s="8"/>
    </row>
    <row r="658" spans="1:27" x14ac:dyDescent="0.2">
      <c r="A658" s="8"/>
      <c r="B658" s="8"/>
      <c r="C658" s="8"/>
      <c r="D658" s="8"/>
      <c r="E658" s="8"/>
      <c r="F658" s="8"/>
      <c r="G658" s="8"/>
      <c r="H658" s="8"/>
      <c r="I658" s="8"/>
      <c r="J658" s="8"/>
      <c r="K658" s="8"/>
      <c r="L658" s="8"/>
      <c r="M658" s="8"/>
      <c r="N658" s="8"/>
      <c r="O658" s="8"/>
      <c r="P658" s="8"/>
      <c r="Q658" s="8"/>
      <c r="R658" s="8"/>
      <c r="S658" s="8"/>
      <c r="T658" s="8"/>
      <c r="U658" s="8"/>
      <c r="V658" s="8"/>
      <c r="W658" s="8"/>
      <c r="X658" s="8"/>
      <c r="Y658" s="8"/>
      <c r="Z658" s="8"/>
      <c r="AA658" s="8"/>
    </row>
    <row r="659" spans="1:27" x14ac:dyDescent="0.2">
      <c r="A659" s="8"/>
      <c r="B659" s="8"/>
      <c r="C659" s="8"/>
      <c r="D659" s="8"/>
      <c r="E659" s="8"/>
      <c r="F659" s="8"/>
      <c r="G659" s="8"/>
      <c r="H659" s="8"/>
      <c r="I659" s="8"/>
      <c r="J659" s="8"/>
      <c r="K659" s="8"/>
      <c r="L659" s="8"/>
      <c r="M659" s="8"/>
      <c r="N659" s="8"/>
      <c r="O659" s="8"/>
      <c r="P659" s="8"/>
      <c r="Q659" s="8"/>
      <c r="R659" s="8"/>
      <c r="S659" s="8"/>
      <c r="T659" s="8"/>
      <c r="U659" s="8"/>
      <c r="V659" s="8"/>
      <c r="W659" s="8"/>
      <c r="X659" s="8"/>
      <c r="Y659" s="8"/>
      <c r="Z659" s="8"/>
      <c r="AA659" s="8"/>
    </row>
    <row r="660" spans="1:27" x14ac:dyDescent="0.2">
      <c r="A660" s="8"/>
      <c r="B660" s="8"/>
      <c r="C660" s="8"/>
      <c r="D660" s="8"/>
      <c r="E660" s="8"/>
      <c r="F660" s="8"/>
      <c r="G660" s="8"/>
      <c r="H660" s="8"/>
      <c r="I660" s="8"/>
      <c r="J660" s="8"/>
      <c r="K660" s="8"/>
      <c r="L660" s="8"/>
      <c r="M660" s="8"/>
      <c r="N660" s="8"/>
      <c r="O660" s="8"/>
      <c r="P660" s="8"/>
      <c r="Q660" s="8"/>
      <c r="R660" s="8"/>
      <c r="S660" s="8"/>
      <c r="T660" s="8"/>
      <c r="U660" s="8"/>
      <c r="V660" s="8"/>
      <c r="W660" s="8"/>
      <c r="X660" s="8"/>
      <c r="Y660" s="8"/>
      <c r="Z660" s="8"/>
      <c r="AA660" s="8"/>
    </row>
    <row r="661" spans="1:27" x14ac:dyDescent="0.2">
      <c r="A661" s="8"/>
      <c r="B661" s="8"/>
      <c r="C661" s="8"/>
      <c r="D661" s="8"/>
      <c r="E661" s="8"/>
      <c r="F661" s="8"/>
      <c r="G661" s="8"/>
      <c r="H661" s="8"/>
      <c r="I661" s="8"/>
      <c r="J661" s="8"/>
      <c r="K661" s="8"/>
      <c r="L661" s="8"/>
      <c r="M661" s="8"/>
      <c r="N661" s="8"/>
      <c r="O661" s="8"/>
      <c r="P661" s="8"/>
      <c r="Q661" s="8"/>
      <c r="R661" s="8"/>
      <c r="S661" s="8"/>
      <c r="T661" s="8"/>
      <c r="U661" s="8"/>
      <c r="V661" s="8"/>
      <c r="W661" s="8"/>
      <c r="X661" s="8"/>
      <c r="Y661" s="8"/>
      <c r="Z661" s="8"/>
      <c r="AA661" s="8"/>
    </row>
    <row r="662" spans="1:27" x14ac:dyDescent="0.2">
      <c r="A662" s="8"/>
      <c r="B662" s="8"/>
      <c r="C662" s="8"/>
      <c r="D662" s="8"/>
      <c r="E662" s="8"/>
      <c r="F662" s="8"/>
      <c r="G662" s="8"/>
      <c r="H662" s="8"/>
      <c r="I662" s="8"/>
      <c r="J662" s="8"/>
      <c r="K662" s="8"/>
      <c r="L662" s="8"/>
      <c r="M662" s="8"/>
      <c r="N662" s="8"/>
      <c r="O662" s="8"/>
      <c r="P662" s="8"/>
      <c r="Q662" s="8"/>
      <c r="R662" s="8"/>
      <c r="S662" s="8"/>
      <c r="T662" s="8"/>
      <c r="U662" s="8"/>
      <c r="V662" s="8"/>
      <c r="W662" s="8"/>
      <c r="X662" s="8"/>
      <c r="Y662" s="8"/>
      <c r="Z662" s="8"/>
      <c r="AA662" s="8"/>
    </row>
    <row r="663" spans="1:27" x14ac:dyDescent="0.2">
      <c r="A663" s="8"/>
      <c r="B663" s="8"/>
      <c r="C663" s="8"/>
      <c r="D663" s="8"/>
      <c r="E663" s="8"/>
      <c r="F663" s="8"/>
      <c r="G663" s="8"/>
      <c r="H663" s="8"/>
      <c r="I663" s="8"/>
      <c r="J663" s="8"/>
      <c r="K663" s="8"/>
      <c r="L663" s="8"/>
      <c r="M663" s="8"/>
      <c r="N663" s="8"/>
      <c r="O663" s="8"/>
      <c r="P663" s="8"/>
      <c r="Q663" s="8"/>
      <c r="R663" s="8"/>
      <c r="S663" s="8"/>
      <c r="T663" s="8"/>
      <c r="U663" s="8"/>
      <c r="V663" s="8"/>
      <c r="W663" s="8"/>
      <c r="X663" s="8"/>
      <c r="Y663" s="8"/>
      <c r="Z663" s="8"/>
      <c r="AA663" s="8"/>
    </row>
    <row r="664" spans="1:27" x14ac:dyDescent="0.2">
      <c r="A664" s="8"/>
      <c r="B664" s="8"/>
      <c r="C664" s="8"/>
      <c r="D664" s="8"/>
      <c r="E664" s="8"/>
      <c r="F664" s="8"/>
      <c r="G664" s="8"/>
      <c r="H664" s="8"/>
      <c r="I664" s="8"/>
      <c r="J664" s="8"/>
      <c r="K664" s="8"/>
      <c r="L664" s="8"/>
      <c r="M664" s="8"/>
      <c r="N664" s="8"/>
      <c r="O664" s="8"/>
      <c r="P664" s="8"/>
      <c r="Q664" s="8"/>
      <c r="R664" s="8"/>
      <c r="S664" s="8"/>
      <c r="T664" s="8"/>
      <c r="U664" s="8"/>
      <c r="V664" s="8"/>
      <c r="W664" s="8"/>
      <c r="X664" s="8"/>
      <c r="Y664" s="8"/>
      <c r="Z664" s="8"/>
      <c r="AA664" s="8"/>
    </row>
    <row r="665" spans="1:27" x14ac:dyDescent="0.2">
      <c r="A665" s="8"/>
      <c r="B665" s="8"/>
      <c r="C665" s="8"/>
      <c r="D665" s="8"/>
      <c r="E665" s="8"/>
      <c r="F665" s="8"/>
      <c r="G665" s="8"/>
      <c r="H665" s="8"/>
      <c r="I665" s="8"/>
      <c r="J665" s="8"/>
      <c r="K665" s="8"/>
      <c r="L665" s="8"/>
      <c r="M665" s="8"/>
      <c r="N665" s="8"/>
      <c r="O665" s="8"/>
      <c r="P665" s="8"/>
      <c r="Q665" s="8"/>
      <c r="R665" s="8"/>
      <c r="S665" s="8"/>
      <c r="T665" s="8"/>
      <c r="U665" s="8"/>
      <c r="V665" s="8"/>
      <c r="W665" s="8"/>
      <c r="X665" s="8"/>
      <c r="Y665" s="8"/>
      <c r="Z665" s="8"/>
      <c r="AA665" s="8"/>
    </row>
    <row r="666" spans="1:27" x14ac:dyDescent="0.2">
      <c r="A666" s="8"/>
      <c r="B666" s="8"/>
      <c r="C666" s="8"/>
      <c r="D666" s="8"/>
      <c r="E666" s="8"/>
      <c r="F666" s="8"/>
      <c r="G666" s="8"/>
      <c r="H666" s="8"/>
      <c r="I666" s="8"/>
      <c r="J666" s="8"/>
      <c r="K666" s="8"/>
      <c r="L666" s="8"/>
      <c r="M666" s="8"/>
      <c r="N666" s="8"/>
      <c r="O666" s="8"/>
      <c r="P666" s="8"/>
      <c r="Q666" s="8"/>
      <c r="R666" s="8"/>
      <c r="S666" s="8"/>
      <c r="T666" s="8"/>
      <c r="U666" s="8"/>
      <c r="V666" s="8"/>
      <c r="W666" s="8"/>
      <c r="X666" s="8"/>
      <c r="Y666" s="8"/>
      <c r="Z666" s="8"/>
      <c r="AA666" s="8"/>
    </row>
    <row r="667" spans="1:27" x14ac:dyDescent="0.2">
      <c r="A667" s="8"/>
      <c r="B667" s="8"/>
      <c r="C667" s="8"/>
      <c r="D667" s="8"/>
      <c r="E667" s="8"/>
      <c r="F667" s="8"/>
      <c r="G667" s="8"/>
      <c r="H667" s="8"/>
      <c r="I667" s="8"/>
      <c r="J667" s="8"/>
      <c r="K667" s="8"/>
      <c r="L667" s="8"/>
      <c r="M667" s="8"/>
      <c r="N667" s="8"/>
      <c r="O667" s="8"/>
      <c r="P667" s="8"/>
      <c r="Q667" s="8"/>
      <c r="R667" s="8"/>
      <c r="S667" s="8"/>
      <c r="T667" s="8"/>
      <c r="U667" s="8"/>
      <c r="V667" s="8"/>
      <c r="W667" s="8"/>
      <c r="X667" s="8"/>
      <c r="Y667" s="8"/>
      <c r="Z667" s="8"/>
      <c r="AA667" s="8"/>
    </row>
    <row r="668" spans="1:27" x14ac:dyDescent="0.2">
      <c r="A668" s="8"/>
      <c r="B668" s="8"/>
      <c r="C668" s="8"/>
      <c r="D668" s="8"/>
      <c r="E668" s="8"/>
      <c r="F668" s="8"/>
      <c r="G668" s="8"/>
      <c r="H668" s="8"/>
      <c r="I668" s="8"/>
      <c r="J668" s="8"/>
      <c r="K668" s="8"/>
      <c r="L668" s="8"/>
      <c r="M668" s="8"/>
      <c r="N668" s="8"/>
      <c r="O668" s="8"/>
      <c r="P668" s="8"/>
      <c r="Q668" s="8"/>
      <c r="R668" s="8"/>
      <c r="S668" s="8"/>
      <c r="T668" s="8"/>
      <c r="U668" s="8"/>
      <c r="V668" s="8"/>
      <c r="W668" s="8"/>
      <c r="X668" s="8"/>
      <c r="Y668" s="8"/>
      <c r="Z668" s="8"/>
      <c r="AA668" s="8"/>
    </row>
    <row r="669" spans="1:27" x14ac:dyDescent="0.2">
      <c r="A669" s="8"/>
      <c r="B669" s="8"/>
      <c r="C669" s="8"/>
      <c r="D669" s="8"/>
      <c r="E669" s="8"/>
      <c r="F669" s="8"/>
      <c r="G669" s="8"/>
      <c r="H669" s="8"/>
      <c r="I669" s="8"/>
      <c r="J669" s="8"/>
      <c r="K669" s="8"/>
      <c r="L669" s="8"/>
      <c r="M669" s="8"/>
      <c r="N669" s="8"/>
      <c r="O669" s="8"/>
      <c r="P669" s="8"/>
      <c r="Q669" s="8"/>
      <c r="R669" s="8"/>
      <c r="S669" s="8"/>
      <c r="T669" s="8"/>
      <c r="U669" s="8"/>
      <c r="V669" s="8"/>
      <c r="W669" s="8"/>
      <c r="X669" s="8"/>
      <c r="Y669" s="8"/>
      <c r="Z669" s="8"/>
      <c r="AA669" s="8"/>
    </row>
    <row r="670" spans="1:27" x14ac:dyDescent="0.2">
      <c r="A670" s="8"/>
      <c r="B670" s="8"/>
      <c r="C670" s="8"/>
      <c r="D670" s="8"/>
      <c r="E670" s="8"/>
      <c r="F670" s="8"/>
      <c r="G670" s="8"/>
      <c r="H670" s="8"/>
      <c r="I670" s="8"/>
      <c r="J670" s="8"/>
      <c r="K670" s="8"/>
      <c r="L670" s="8"/>
      <c r="M670" s="8"/>
      <c r="N670" s="8"/>
      <c r="O670" s="8"/>
      <c r="P670" s="8"/>
      <c r="Q670" s="8"/>
      <c r="R670" s="8"/>
      <c r="S670" s="8"/>
      <c r="T670" s="8"/>
      <c r="U670" s="8"/>
      <c r="V670" s="8"/>
      <c r="W670" s="8"/>
      <c r="X670" s="8"/>
      <c r="Y670" s="8"/>
      <c r="Z670" s="8"/>
      <c r="AA670" s="8"/>
    </row>
    <row r="671" spans="1:27" x14ac:dyDescent="0.2">
      <c r="A671" s="8"/>
      <c r="B671" s="8"/>
      <c r="C671" s="8"/>
      <c r="D671" s="8"/>
      <c r="E671" s="8"/>
      <c r="F671" s="8"/>
      <c r="G671" s="8"/>
      <c r="H671" s="8"/>
      <c r="I671" s="8"/>
      <c r="J671" s="8"/>
      <c r="K671" s="8"/>
      <c r="L671" s="8"/>
      <c r="M671" s="8"/>
      <c r="N671" s="8"/>
      <c r="O671" s="8"/>
      <c r="P671" s="8"/>
      <c r="Q671" s="8"/>
      <c r="R671" s="8"/>
      <c r="S671" s="8"/>
      <c r="T671" s="8"/>
      <c r="U671" s="8"/>
      <c r="V671" s="8"/>
      <c r="W671" s="8"/>
      <c r="X671" s="8"/>
      <c r="Y671" s="8"/>
      <c r="Z671" s="8"/>
      <c r="AA671" s="8"/>
    </row>
    <row r="672" spans="1:27" x14ac:dyDescent="0.2">
      <c r="A672" s="8"/>
      <c r="B672" s="8"/>
      <c r="C672" s="8"/>
      <c r="D672" s="8"/>
      <c r="E672" s="8"/>
      <c r="F672" s="8"/>
      <c r="G672" s="8"/>
      <c r="H672" s="8"/>
      <c r="I672" s="8"/>
      <c r="J672" s="8"/>
      <c r="K672" s="8"/>
      <c r="L672" s="8"/>
      <c r="M672" s="8"/>
      <c r="N672" s="8"/>
      <c r="O672" s="8"/>
      <c r="P672" s="8"/>
      <c r="Q672" s="8"/>
      <c r="R672" s="8"/>
      <c r="S672" s="8"/>
      <c r="T672" s="8"/>
      <c r="U672" s="8"/>
      <c r="V672" s="8"/>
      <c r="W672" s="8"/>
      <c r="X672" s="8"/>
      <c r="Y672" s="8"/>
      <c r="Z672" s="8"/>
      <c r="AA672" s="8"/>
    </row>
    <row r="673" spans="1:27" x14ac:dyDescent="0.2">
      <c r="A673" s="8"/>
      <c r="B673" s="8"/>
      <c r="C673" s="8"/>
      <c r="D673" s="8"/>
      <c r="E673" s="8"/>
      <c r="F673" s="8"/>
      <c r="G673" s="8"/>
      <c r="H673" s="8"/>
      <c r="I673" s="8"/>
      <c r="J673" s="8"/>
      <c r="K673" s="8"/>
      <c r="L673" s="8"/>
      <c r="M673" s="8"/>
      <c r="N673" s="8"/>
      <c r="O673" s="8"/>
      <c r="P673" s="8"/>
      <c r="Q673" s="8"/>
      <c r="R673" s="8"/>
      <c r="S673" s="8"/>
      <c r="T673" s="8"/>
      <c r="U673" s="8"/>
      <c r="V673" s="8"/>
      <c r="W673" s="8"/>
      <c r="X673" s="8"/>
      <c r="Y673" s="8"/>
      <c r="Z673" s="8"/>
      <c r="AA673" s="8"/>
    </row>
    <row r="674" spans="1:27" x14ac:dyDescent="0.2">
      <c r="A674" s="8"/>
      <c r="B674" s="8"/>
      <c r="C674" s="8"/>
      <c r="D674" s="8"/>
      <c r="E674" s="8"/>
      <c r="F674" s="8"/>
      <c r="G674" s="8"/>
      <c r="H674" s="8"/>
      <c r="I674" s="8"/>
      <c r="J674" s="8"/>
      <c r="K674" s="8"/>
      <c r="L674" s="8"/>
      <c r="M674" s="8"/>
      <c r="N674" s="8"/>
      <c r="O674" s="8"/>
      <c r="P674" s="8"/>
      <c r="Q674" s="8"/>
      <c r="R674" s="8"/>
      <c r="S674" s="8"/>
      <c r="T674" s="8"/>
      <c r="U674" s="8"/>
      <c r="V674" s="8"/>
      <c r="W674" s="8"/>
      <c r="X674" s="8"/>
      <c r="Y674" s="8"/>
      <c r="Z674" s="8"/>
      <c r="AA674" s="8"/>
    </row>
    <row r="675" spans="1:27" x14ac:dyDescent="0.2">
      <c r="A675" s="8"/>
      <c r="B675" s="8"/>
      <c r="C675" s="8"/>
      <c r="D675" s="8"/>
      <c r="E675" s="8"/>
      <c r="F675" s="8"/>
      <c r="G675" s="8"/>
      <c r="H675" s="8"/>
      <c r="I675" s="8"/>
      <c r="J675" s="8"/>
      <c r="K675" s="8"/>
      <c r="L675" s="8"/>
      <c r="M675" s="8"/>
      <c r="N675" s="8"/>
      <c r="O675" s="8"/>
      <c r="P675" s="8"/>
      <c r="Q675" s="8"/>
      <c r="R675" s="8"/>
      <c r="S675" s="8"/>
      <c r="T675" s="8"/>
      <c r="U675" s="8"/>
      <c r="V675" s="8"/>
      <c r="W675" s="8"/>
      <c r="X675" s="8"/>
      <c r="Y675" s="8"/>
      <c r="Z675" s="8"/>
      <c r="AA675" s="8"/>
    </row>
    <row r="676" spans="1:27" x14ac:dyDescent="0.2">
      <c r="A676" s="8"/>
      <c r="B676" s="8"/>
      <c r="C676" s="8"/>
      <c r="D676" s="8"/>
      <c r="E676" s="8"/>
      <c r="F676" s="8"/>
      <c r="G676" s="8"/>
      <c r="H676" s="8"/>
      <c r="I676" s="8"/>
      <c r="J676" s="8"/>
      <c r="K676" s="8"/>
      <c r="L676" s="8"/>
      <c r="M676" s="8"/>
      <c r="N676" s="8"/>
      <c r="O676" s="8"/>
      <c r="P676" s="8"/>
      <c r="Q676" s="8"/>
      <c r="R676" s="8"/>
      <c r="S676" s="8"/>
      <c r="T676" s="8"/>
      <c r="U676" s="8"/>
      <c r="V676" s="8"/>
      <c r="W676" s="8"/>
      <c r="X676" s="8"/>
      <c r="Y676" s="8"/>
      <c r="Z676" s="8"/>
      <c r="AA676" s="8"/>
    </row>
    <row r="677" spans="1:27" x14ac:dyDescent="0.2">
      <c r="A677" s="8"/>
      <c r="B677" s="8"/>
      <c r="C677" s="8"/>
      <c r="D677" s="8"/>
      <c r="E677" s="8"/>
      <c r="F677" s="8"/>
      <c r="G677" s="8"/>
      <c r="H677" s="8"/>
      <c r="I677" s="8"/>
      <c r="J677" s="8"/>
      <c r="K677" s="8"/>
      <c r="L677" s="8"/>
      <c r="M677" s="8"/>
      <c r="N677" s="8"/>
      <c r="O677" s="8"/>
      <c r="P677" s="8"/>
      <c r="Q677" s="8"/>
      <c r="R677" s="8"/>
      <c r="S677" s="8"/>
      <c r="T677" s="8"/>
      <c r="U677" s="8"/>
      <c r="V677" s="8"/>
      <c r="W677" s="8"/>
      <c r="X677" s="8"/>
      <c r="Y677" s="8"/>
      <c r="Z677" s="8"/>
      <c r="AA677" s="8"/>
    </row>
    <row r="678" spans="1:27" x14ac:dyDescent="0.2">
      <c r="A678" s="8"/>
      <c r="B678" s="8"/>
      <c r="C678" s="8"/>
      <c r="D678" s="8"/>
      <c r="E678" s="8"/>
      <c r="F678" s="8"/>
      <c r="G678" s="8"/>
      <c r="H678" s="8"/>
      <c r="I678" s="8"/>
      <c r="J678" s="8"/>
      <c r="K678" s="8"/>
      <c r="L678" s="8"/>
      <c r="M678" s="8"/>
      <c r="N678" s="8"/>
      <c r="O678" s="8"/>
      <c r="P678" s="8"/>
      <c r="Q678" s="8"/>
      <c r="R678" s="8"/>
      <c r="S678" s="8"/>
      <c r="T678" s="8"/>
      <c r="U678" s="8"/>
      <c r="V678" s="8"/>
      <c r="W678" s="8"/>
      <c r="X678" s="8"/>
      <c r="Y678" s="8"/>
      <c r="Z678" s="8"/>
      <c r="AA678" s="8"/>
    </row>
    <row r="679" spans="1:27" x14ac:dyDescent="0.2">
      <c r="A679" s="8"/>
      <c r="B679" s="8"/>
      <c r="C679" s="8"/>
      <c r="D679" s="8"/>
      <c r="E679" s="8"/>
      <c r="F679" s="8"/>
      <c r="G679" s="8"/>
      <c r="H679" s="8"/>
      <c r="I679" s="8"/>
      <c r="J679" s="8"/>
      <c r="K679" s="8"/>
      <c r="L679" s="8"/>
      <c r="M679" s="8"/>
      <c r="N679" s="8"/>
      <c r="O679" s="8"/>
      <c r="P679" s="8"/>
      <c r="Q679" s="8"/>
      <c r="R679" s="8"/>
      <c r="S679" s="8"/>
      <c r="T679" s="8"/>
      <c r="U679" s="8"/>
      <c r="V679" s="8"/>
      <c r="W679" s="8"/>
      <c r="X679" s="8"/>
      <c r="Y679" s="8"/>
      <c r="Z679" s="8"/>
      <c r="AA679" s="8"/>
    </row>
    <row r="680" spans="1:27" x14ac:dyDescent="0.2">
      <c r="A680" s="8"/>
      <c r="B680" s="8"/>
      <c r="C680" s="8"/>
      <c r="D680" s="8"/>
      <c r="E680" s="8"/>
      <c r="F680" s="8"/>
      <c r="G680" s="8"/>
      <c r="H680" s="8"/>
      <c r="I680" s="8"/>
      <c r="J680" s="8"/>
      <c r="K680" s="8"/>
      <c r="L680" s="8"/>
      <c r="M680" s="8"/>
      <c r="N680" s="8"/>
      <c r="O680" s="8"/>
      <c r="P680" s="8"/>
      <c r="Q680" s="8"/>
      <c r="R680" s="8"/>
      <c r="S680" s="8"/>
      <c r="T680" s="8"/>
      <c r="U680" s="8"/>
      <c r="V680" s="8"/>
      <c r="W680" s="8"/>
      <c r="X680" s="8"/>
      <c r="Y680" s="8"/>
      <c r="Z680" s="8"/>
      <c r="AA680" s="8"/>
    </row>
    <row r="681" spans="1:27" x14ac:dyDescent="0.2">
      <c r="A681" s="8"/>
      <c r="B681" s="8"/>
      <c r="C681" s="8"/>
      <c r="D681" s="8"/>
      <c r="E681" s="8"/>
      <c r="F681" s="8"/>
      <c r="G681" s="8"/>
      <c r="H681" s="8"/>
      <c r="I681" s="8"/>
      <c r="J681" s="8"/>
      <c r="K681" s="8"/>
      <c r="L681" s="8"/>
      <c r="M681" s="8"/>
      <c r="N681" s="8"/>
      <c r="O681" s="8"/>
      <c r="P681" s="8"/>
      <c r="Q681" s="8"/>
      <c r="R681" s="8"/>
      <c r="S681" s="8"/>
      <c r="T681" s="8"/>
      <c r="U681" s="8"/>
      <c r="V681" s="8"/>
      <c r="W681" s="8"/>
      <c r="X681" s="8"/>
      <c r="Y681" s="8"/>
      <c r="Z681" s="8"/>
      <c r="AA681" s="8"/>
    </row>
    <row r="682" spans="1:27" x14ac:dyDescent="0.2">
      <c r="A682" s="8"/>
      <c r="B682" s="8"/>
      <c r="C682" s="8"/>
      <c r="D682" s="8"/>
      <c r="E682" s="8"/>
      <c r="F682" s="8"/>
      <c r="G682" s="8"/>
      <c r="H682" s="8"/>
      <c r="I682" s="8"/>
      <c r="J682" s="8"/>
      <c r="K682" s="8"/>
      <c r="L682" s="8"/>
      <c r="M682" s="8"/>
      <c r="N682" s="8"/>
      <c r="O682" s="8"/>
      <c r="P682" s="8"/>
      <c r="Q682" s="8"/>
      <c r="R682" s="8"/>
      <c r="S682" s="8"/>
      <c r="T682" s="8"/>
      <c r="U682" s="8"/>
      <c r="V682" s="8"/>
      <c r="W682" s="8"/>
      <c r="X682" s="8"/>
      <c r="Y682" s="8"/>
      <c r="Z682" s="8"/>
      <c r="AA682" s="8"/>
    </row>
    <row r="683" spans="1:27" x14ac:dyDescent="0.2">
      <c r="A683" s="8"/>
      <c r="B683" s="8"/>
      <c r="C683" s="8"/>
      <c r="D683" s="8"/>
      <c r="E683" s="8"/>
      <c r="F683" s="8"/>
      <c r="G683" s="8"/>
      <c r="H683" s="8"/>
      <c r="I683" s="8"/>
      <c r="J683" s="8"/>
      <c r="K683" s="8"/>
      <c r="L683" s="8"/>
      <c r="M683" s="8"/>
      <c r="N683" s="8"/>
      <c r="O683" s="8"/>
      <c r="P683" s="8"/>
      <c r="Q683" s="8"/>
      <c r="R683" s="8"/>
      <c r="S683" s="8"/>
      <c r="T683" s="8"/>
      <c r="U683" s="8"/>
      <c r="V683" s="8"/>
      <c r="W683" s="8"/>
      <c r="X683" s="8"/>
      <c r="Y683" s="8"/>
      <c r="Z683" s="8"/>
      <c r="AA683" s="8"/>
    </row>
    <row r="684" spans="1:27" x14ac:dyDescent="0.2">
      <c r="A684" s="8"/>
      <c r="B684" s="8"/>
      <c r="C684" s="8"/>
      <c r="D684" s="8"/>
      <c r="E684" s="8"/>
      <c r="F684" s="8"/>
      <c r="G684" s="8"/>
      <c r="H684" s="8"/>
      <c r="I684" s="8"/>
      <c r="J684" s="8"/>
      <c r="K684" s="8"/>
      <c r="L684" s="8"/>
      <c r="M684" s="8"/>
      <c r="N684" s="8"/>
      <c r="O684" s="8"/>
      <c r="P684" s="8"/>
      <c r="Q684" s="8"/>
      <c r="R684" s="8"/>
      <c r="S684" s="8"/>
      <c r="T684" s="8"/>
      <c r="U684" s="8"/>
      <c r="V684" s="8"/>
      <c r="W684" s="8"/>
      <c r="X684" s="8"/>
      <c r="Y684" s="8"/>
      <c r="Z684" s="8"/>
      <c r="AA684" s="8"/>
    </row>
    <row r="685" spans="1:27" x14ac:dyDescent="0.2">
      <c r="A685" s="8"/>
      <c r="B685" s="8"/>
      <c r="C685" s="8"/>
      <c r="D685" s="8"/>
      <c r="E685" s="8"/>
      <c r="F685" s="8"/>
      <c r="G685" s="8"/>
      <c r="H685" s="8"/>
      <c r="I685" s="8"/>
      <c r="J685" s="8"/>
      <c r="K685" s="8"/>
      <c r="L685" s="8"/>
      <c r="M685" s="8"/>
      <c r="N685" s="8"/>
      <c r="O685" s="8"/>
      <c r="P685" s="8"/>
      <c r="Q685" s="8"/>
      <c r="R685" s="8"/>
      <c r="S685" s="8"/>
      <c r="T685" s="8"/>
      <c r="U685" s="8"/>
      <c r="V685" s="8"/>
      <c r="W685" s="8"/>
      <c r="X685" s="8"/>
      <c r="Y685" s="8"/>
      <c r="Z685" s="8"/>
      <c r="AA685" s="8"/>
    </row>
    <row r="686" spans="1:27" x14ac:dyDescent="0.2">
      <c r="A686" s="8"/>
      <c r="B686" s="8"/>
      <c r="C686" s="8"/>
      <c r="D686" s="8"/>
      <c r="E686" s="8"/>
      <c r="F686" s="8"/>
      <c r="G686" s="8"/>
      <c r="H686" s="8"/>
      <c r="I686" s="8"/>
      <c r="J686" s="8"/>
      <c r="K686" s="8"/>
      <c r="L686" s="8"/>
      <c r="M686" s="8"/>
      <c r="N686" s="8"/>
      <c r="O686" s="8"/>
      <c r="P686" s="8"/>
      <c r="Q686" s="8"/>
      <c r="R686" s="8"/>
      <c r="S686" s="8"/>
      <c r="T686" s="8"/>
      <c r="U686" s="8"/>
      <c r="V686" s="8"/>
      <c r="W686" s="8"/>
      <c r="X686" s="8"/>
      <c r="Y686" s="8"/>
      <c r="Z686" s="8"/>
      <c r="AA686" s="8"/>
    </row>
    <row r="687" spans="1:27" x14ac:dyDescent="0.2">
      <c r="A687" s="8"/>
      <c r="B687" s="8"/>
      <c r="C687" s="8"/>
      <c r="D687" s="8"/>
      <c r="E687" s="8"/>
      <c r="F687" s="8"/>
      <c r="G687" s="8"/>
      <c r="H687" s="8"/>
      <c r="I687" s="8"/>
      <c r="J687" s="8"/>
      <c r="K687" s="8"/>
      <c r="L687" s="8"/>
      <c r="M687" s="8"/>
      <c r="N687" s="8"/>
      <c r="O687" s="8"/>
      <c r="P687" s="8"/>
      <c r="Q687" s="8"/>
      <c r="R687" s="8"/>
      <c r="S687" s="8"/>
      <c r="T687" s="8"/>
      <c r="U687" s="8"/>
      <c r="V687" s="8"/>
      <c r="W687" s="8"/>
      <c r="X687" s="8"/>
      <c r="Y687" s="8"/>
      <c r="Z687" s="8"/>
      <c r="AA687" s="8"/>
    </row>
    <row r="688" spans="1:27" x14ac:dyDescent="0.2">
      <c r="A688" s="8"/>
      <c r="B688" s="8"/>
      <c r="C688" s="8"/>
      <c r="D688" s="8"/>
      <c r="E688" s="8"/>
      <c r="F688" s="8"/>
      <c r="G688" s="8"/>
      <c r="H688" s="8"/>
      <c r="I688" s="8"/>
      <c r="J688" s="8"/>
      <c r="K688" s="8"/>
      <c r="L688" s="8"/>
      <c r="M688" s="8"/>
      <c r="N688" s="8"/>
      <c r="O688" s="8"/>
      <c r="P688" s="8"/>
      <c r="Q688" s="8"/>
      <c r="R688" s="8"/>
      <c r="S688" s="8"/>
      <c r="T688" s="8"/>
      <c r="U688" s="8"/>
      <c r="V688" s="8"/>
      <c r="W688" s="8"/>
      <c r="X688" s="8"/>
      <c r="Y688" s="8"/>
      <c r="Z688" s="8"/>
      <c r="AA688" s="8"/>
    </row>
    <row r="689" spans="1:27" x14ac:dyDescent="0.2">
      <c r="A689" s="8"/>
      <c r="B689" s="8"/>
      <c r="C689" s="8"/>
      <c r="D689" s="8"/>
      <c r="E689" s="8"/>
      <c r="F689" s="8"/>
      <c r="G689" s="8"/>
      <c r="H689" s="8"/>
      <c r="I689" s="8"/>
      <c r="J689" s="8"/>
      <c r="K689" s="8"/>
      <c r="L689" s="8"/>
      <c r="M689" s="8"/>
      <c r="N689" s="8"/>
      <c r="O689" s="8"/>
      <c r="P689" s="8"/>
      <c r="Q689" s="8"/>
      <c r="R689" s="8"/>
      <c r="S689" s="8"/>
      <c r="T689" s="8"/>
      <c r="U689" s="8"/>
      <c r="V689" s="8"/>
      <c r="W689" s="8"/>
      <c r="X689" s="8"/>
      <c r="Y689" s="8"/>
      <c r="Z689" s="8"/>
      <c r="AA689" s="8"/>
    </row>
    <row r="690" spans="1:27" x14ac:dyDescent="0.2">
      <c r="A690" s="8"/>
      <c r="B690" s="8"/>
      <c r="C690" s="8"/>
      <c r="D690" s="8"/>
      <c r="E690" s="8"/>
      <c r="F690" s="8"/>
      <c r="G690" s="8"/>
      <c r="H690" s="8"/>
      <c r="I690" s="8"/>
      <c r="J690" s="8"/>
      <c r="K690" s="8"/>
      <c r="L690" s="8"/>
      <c r="M690" s="8"/>
      <c r="N690" s="8"/>
      <c r="O690" s="8"/>
      <c r="P690" s="8"/>
      <c r="Q690" s="8"/>
      <c r="R690" s="8"/>
      <c r="S690" s="8"/>
      <c r="T690" s="8"/>
      <c r="U690" s="8"/>
      <c r="V690" s="8"/>
      <c r="W690" s="8"/>
      <c r="X690" s="8"/>
      <c r="Y690" s="8"/>
      <c r="Z690" s="8"/>
      <c r="AA690" s="8"/>
    </row>
    <row r="691" spans="1:27" x14ac:dyDescent="0.2">
      <c r="A691" s="8"/>
      <c r="B691" s="8"/>
      <c r="C691" s="8"/>
      <c r="D691" s="8"/>
      <c r="E691" s="8"/>
      <c r="F691" s="8"/>
      <c r="G691" s="8"/>
      <c r="H691" s="8"/>
      <c r="I691" s="8"/>
      <c r="J691" s="8"/>
      <c r="K691" s="8"/>
      <c r="L691" s="8"/>
      <c r="M691" s="8"/>
      <c r="N691" s="8"/>
      <c r="O691" s="8"/>
      <c r="P691" s="8"/>
      <c r="Q691" s="8"/>
      <c r="R691" s="8"/>
      <c r="S691" s="8"/>
      <c r="T691" s="8"/>
      <c r="U691" s="8"/>
      <c r="V691" s="8"/>
      <c r="W691" s="8"/>
      <c r="X691" s="8"/>
      <c r="Y691" s="8"/>
      <c r="Z691" s="8"/>
      <c r="AA691" s="8"/>
    </row>
    <row r="692" spans="1:27" x14ac:dyDescent="0.2">
      <c r="A692" s="8"/>
      <c r="B692" s="8"/>
      <c r="C692" s="8"/>
      <c r="D692" s="8"/>
      <c r="E692" s="8"/>
      <c r="F692" s="8"/>
      <c r="G692" s="8"/>
      <c r="H692" s="8"/>
      <c r="I692" s="8"/>
      <c r="J692" s="8"/>
      <c r="K692" s="8"/>
      <c r="L692" s="8"/>
      <c r="M692" s="8"/>
      <c r="N692" s="8"/>
      <c r="O692" s="8"/>
      <c r="P692" s="8"/>
      <c r="Q692" s="8"/>
      <c r="R692" s="8"/>
      <c r="S692" s="8"/>
      <c r="T692" s="8"/>
      <c r="U692" s="8"/>
      <c r="V692" s="8"/>
      <c r="W692" s="8"/>
      <c r="X692" s="8"/>
      <c r="Y692" s="8"/>
      <c r="Z692" s="8"/>
      <c r="AA692" s="8"/>
    </row>
    <row r="693" spans="1:27" x14ac:dyDescent="0.2">
      <c r="A693" s="8"/>
      <c r="B693" s="8"/>
      <c r="C693" s="8"/>
      <c r="D693" s="8"/>
      <c r="E693" s="8"/>
      <c r="F693" s="8"/>
      <c r="G693" s="8"/>
      <c r="H693" s="8"/>
      <c r="I693" s="8"/>
      <c r="J693" s="8"/>
      <c r="K693" s="8"/>
      <c r="L693" s="8"/>
      <c r="M693" s="8"/>
      <c r="N693" s="8"/>
      <c r="O693" s="8"/>
      <c r="P693" s="8"/>
      <c r="Q693" s="8"/>
      <c r="R693" s="8"/>
      <c r="S693" s="8"/>
      <c r="T693" s="8"/>
      <c r="U693" s="8"/>
      <c r="V693" s="8"/>
      <c r="W693" s="8"/>
      <c r="X693" s="8"/>
      <c r="Y693" s="8"/>
      <c r="Z693" s="8"/>
      <c r="AA693" s="8"/>
    </row>
    <row r="694" spans="1:27" x14ac:dyDescent="0.2">
      <c r="A694" s="8"/>
      <c r="B694" s="8"/>
      <c r="C694" s="8"/>
      <c r="D694" s="8"/>
      <c r="E694" s="8"/>
      <c r="F694" s="8"/>
      <c r="G694" s="8"/>
      <c r="H694" s="8"/>
      <c r="I694" s="8"/>
      <c r="J694" s="8"/>
      <c r="K694" s="8"/>
      <c r="L694" s="8"/>
      <c r="M694" s="8"/>
      <c r="N694" s="8"/>
      <c r="O694" s="8"/>
      <c r="P694" s="8"/>
      <c r="Q694" s="8"/>
      <c r="R694" s="8"/>
      <c r="S694" s="8"/>
      <c r="T694" s="8"/>
      <c r="U694" s="8"/>
      <c r="V694" s="8"/>
      <c r="W694" s="8"/>
      <c r="X694" s="8"/>
      <c r="Y694" s="8"/>
      <c r="Z694" s="8"/>
      <c r="AA694" s="8"/>
    </row>
    <row r="695" spans="1:27" x14ac:dyDescent="0.2">
      <c r="A695" s="8"/>
      <c r="B695" s="8"/>
      <c r="C695" s="8"/>
      <c r="D695" s="8"/>
      <c r="E695" s="8"/>
      <c r="F695" s="8"/>
      <c r="G695" s="8"/>
      <c r="H695" s="8"/>
      <c r="I695" s="8"/>
      <c r="J695" s="8"/>
      <c r="K695" s="8"/>
      <c r="L695" s="8"/>
      <c r="M695" s="8"/>
      <c r="N695" s="8"/>
      <c r="O695" s="8"/>
      <c r="P695" s="8"/>
      <c r="Q695" s="8"/>
      <c r="R695" s="8"/>
      <c r="S695" s="8"/>
      <c r="T695" s="8"/>
      <c r="U695" s="8"/>
      <c r="V695" s="8"/>
      <c r="W695" s="8"/>
      <c r="X695" s="8"/>
      <c r="Y695" s="8"/>
      <c r="Z695" s="8"/>
      <c r="AA695" s="8"/>
    </row>
    <row r="696" spans="1:27" x14ac:dyDescent="0.2">
      <c r="A696" s="8"/>
      <c r="B696" s="8"/>
      <c r="C696" s="8"/>
      <c r="D696" s="8"/>
      <c r="E696" s="8"/>
      <c r="F696" s="8"/>
      <c r="G696" s="8"/>
      <c r="H696" s="8"/>
      <c r="I696" s="8"/>
      <c r="J696" s="8"/>
      <c r="K696" s="8"/>
      <c r="L696" s="8"/>
      <c r="M696" s="8"/>
      <c r="N696" s="8"/>
      <c r="O696" s="8"/>
      <c r="P696" s="8"/>
      <c r="Q696" s="8"/>
      <c r="R696" s="8"/>
      <c r="S696" s="8"/>
      <c r="T696" s="8"/>
      <c r="U696" s="8"/>
      <c r="V696" s="8"/>
      <c r="W696" s="8"/>
      <c r="X696" s="8"/>
      <c r="Y696" s="8"/>
      <c r="Z696" s="8"/>
      <c r="AA696" s="8"/>
    </row>
    <row r="697" spans="1:27" x14ac:dyDescent="0.2">
      <c r="A697" s="8"/>
      <c r="B697" s="8"/>
      <c r="C697" s="8"/>
      <c r="D697" s="8"/>
      <c r="E697" s="8"/>
      <c r="F697" s="8"/>
      <c r="G697" s="8"/>
      <c r="H697" s="8"/>
      <c r="I697" s="8"/>
      <c r="J697" s="8"/>
      <c r="K697" s="8"/>
      <c r="L697" s="8"/>
      <c r="M697" s="8"/>
      <c r="N697" s="8"/>
      <c r="O697" s="8"/>
      <c r="P697" s="8"/>
      <c r="Q697" s="8"/>
      <c r="R697" s="8"/>
      <c r="S697" s="8"/>
      <c r="T697" s="8"/>
      <c r="U697" s="8"/>
      <c r="V697" s="8"/>
      <c r="W697" s="8"/>
      <c r="X697" s="8"/>
      <c r="Y697" s="8"/>
      <c r="Z697" s="8"/>
      <c r="AA697" s="8"/>
    </row>
    <row r="698" spans="1:27" x14ac:dyDescent="0.2">
      <c r="A698" s="8"/>
      <c r="B698" s="8"/>
      <c r="C698" s="8"/>
      <c r="D698" s="8"/>
      <c r="E698" s="8"/>
      <c r="F698" s="8"/>
      <c r="G698" s="8"/>
      <c r="H698" s="8"/>
      <c r="I698" s="8"/>
      <c r="J698" s="8"/>
      <c r="K698" s="8"/>
      <c r="L698" s="8"/>
      <c r="M698" s="8"/>
      <c r="N698" s="8"/>
      <c r="O698" s="8"/>
      <c r="P698" s="8"/>
      <c r="Q698" s="8"/>
      <c r="R698" s="8"/>
      <c r="S698" s="8"/>
      <c r="T698" s="8"/>
      <c r="U698" s="8"/>
      <c r="V698" s="8"/>
      <c r="W698" s="8"/>
      <c r="X698" s="8"/>
      <c r="Y698" s="8"/>
      <c r="Z698" s="8"/>
      <c r="AA698" s="8"/>
    </row>
    <row r="699" spans="1:27" x14ac:dyDescent="0.2">
      <c r="A699" s="8"/>
      <c r="B699" s="8"/>
      <c r="C699" s="8"/>
      <c r="D699" s="8"/>
      <c r="E699" s="8"/>
      <c r="F699" s="8"/>
      <c r="G699" s="8"/>
      <c r="H699" s="8"/>
      <c r="I699" s="8"/>
      <c r="J699" s="8"/>
      <c r="K699" s="8"/>
      <c r="L699" s="8"/>
      <c r="M699" s="8"/>
      <c r="N699" s="8"/>
      <c r="O699" s="8"/>
      <c r="P699" s="8"/>
      <c r="Q699" s="8"/>
      <c r="R699" s="8"/>
      <c r="S699" s="8"/>
      <c r="T699" s="8"/>
      <c r="U699" s="8"/>
      <c r="V699" s="8"/>
      <c r="W699" s="8"/>
      <c r="X699" s="8"/>
      <c r="Y699" s="8"/>
      <c r="Z699" s="8"/>
      <c r="AA699" s="8"/>
    </row>
    <row r="700" spans="1:27" x14ac:dyDescent="0.2">
      <c r="A700" s="8"/>
      <c r="B700" s="8"/>
      <c r="C700" s="8"/>
      <c r="D700" s="8"/>
      <c r="E700" s="8"/>
      <c r="F700" s="8"/>
      <c r="G700" s="8"/>
      <c r="H700" s="8"/>
      <c r="I700" s="8"/>
      <c r="J700" s="8"/>
      <c r="K700" s="8"/>
      <c r="L700" s="8"/>
      <c r="M700" s="8"/>
      <c r="N700" s="8"/>
      <c r="O700" s="8"/>
      <c r="P700" s="8"/>
      <c r="Q700" s="8"/>
      <c r="R700" s="8"/>
      <c r="S700" s="8"/>
      <c r="T700" s="8"/>
      <c r="U700" s="8"/>
      <c r="V700" s="8"/>
      <c r="W700" s="8"/>
      <c r="X700" s="8"/>
      <c r="Y700" s="8"/>
      <c r="Z700" s="8"/>
      <c r="AA700" s="8"/>
    </row>
    <row r="701" spans="1:27" x14ac:dyDescent="0.2">
      <c r="A701" s="8"/>
      <c r="B701" s="8"/>
      <c r="C701" s="8"/>
      <c r="D701" s="8"/>
      <c r="E701" s="8"/>
      <c r="F701" s="8"/>
      <c r="G701" s="8"/>
      <c r="H701" s="8"/>
      <c r="I701" s="8"/>
      <c r="J701" s="8"/>
      <c r="K701" s="8"/>
      <c r="L701" s="8"/>
      <c r="M701" s="8"/>
      <c r="N701" s="8"/>
      <c r="O701" s="8"/>
      <c r="P701" s="8"/>
      <c r="Q701" s="8"/>
      <c r="R701" s="8"/>
      <c r="S701" s="8"/>
      <c r="T701" s="8"/>
      <c r="U701" s="8"/>
      <c r="V701" s="8"/>
      <c r="W701" s="8"/>
      <c r="X701" s="8"/>
      <c r="Y701" s="8"/>
      <c r="Z701" s="8"/>
      <c r="AA701" s="8"/>
    </row>
    <row r="702" spans="1:27" x14ac:dyDescent="0.2">
      <c r="A702" s="8"/>
      <c r="B702" s="8"/>
      <c r="C702" s="8"/>
      <c r="D702" s="8"/>
      <c r="E702" s="8"/>
      <c r="F702" s="8"/>
      <c r="G702" s="8"/>
      <c r="H702" s="8"/>
      <c r="I702" s="8"/>
      <c r="J702" s="8"/>
      <c r="K702" s="8"/>
      <c r="L702" s="8"/>
      <c r="M702" s="8"/>
      <c r="N702" s="8"/>
      <c r="O702" s="8"/>
      <c r="P702" s="8"/>
      <c r="Q702" s="8"/>
      <c r="R702" s="8"/>
      <c r="S702" s="8"/>
      <c r="T702" s="8"/>
      <c r="U702" s="8"/>
      <c r="V702" s="8"/>
      <c r="W702" s="8"/>
      <c r="X702" s="8"/>
      <c r="Y702" s="8"/>
      <c r="Z702" s="8"/>
      <c r="AA702" s="8"/>
    </row>
    <row r="703" spans="1:27" x14ac:dyDescent="0.2">
      <c r="A703" s="8"/>
      <c r="B703" s="8"/>
      <c r="C703" s="8"/>
      <c r="D703" s="8"/>
      <c r="E703" s="8"/>
      <c r="F703" s="8"/>
      <c r="G703" s="8"/>
      <c r="H703" s="8"/>
      <c r="I703" s="8"/>
      <c r="J703" s="8"/>
      <c r="K703" s="8"/>
      <c r="L703" s="8"/>
      <c r="M703" s="8"/>
      <c r="N703" s="8"/>
      <c r="O703" s="8"/>
      <c r="P703" s="8"/>
      <c r="Q703" s="8"/>
      <c r="R703" s="8"/>
      <c r="S703" s="8"/>
      <c r="T703" s="8"/>
      <c r="U703" s="8"/>
      <c r="V703" s="8"/>
      <c r="W703" s="8"/>
      <c r="X703" s="8"/>
      <c r="Y703" s="8"/>
      <c r="Z703" s="8"/>
      <c r="AA703" s="8"/>
    </row>
    <row r="704" spans="1:27" x14ac:dyDescent="0.2">
      <c r="A704" s="8"/>
      <c r="B704" s="8"/>
      <c r="C704" s="8"/>
      <c r="D704" s="8"/>
      <c r="E704" s="8"/>
      <c r="F704" s="8"/>
      <c r="G704" s="8"/>
      <c r="H704" s="8"/>
      <c r="I704" s="8"/>
      <c r="J704" s="8"/>
      <c r="K704" s="8"/>
      <c r="L704" s="8"/>
      <c r="M704" s="8"/>
      <c r="N704" s="8"/>
      <c r="O704" s="8"/>
      <c r="P704" s="8"/>
      <c r="Q704" s="8"/>
      <c r="R704" s="8"/>
      <c r="S704" s="8"/>
      <c r="T704" s="8"/>
      <c r="U704" s="8"/>
      <c r="V704" s="8"/>
      <c r="W704" s="8"/>
      <c r="X704" s="8"/>
      <c r="Y704" s="8"/>
      <c r="Z704" s="8"/>
      <c r="AA704" s="8"/>
    </row>
    <row r="705" spans="1:27" x14ac:dyDescent="0.2">
      <c r="A705" s="8"/>
      <c r="B705" s="8"/>
      <c r="C705" s="8"/>
      <c r="D705" s="8"/>
      <c r="E705" s="8"/>
      <c r="F705" s="8"/>
      <c r="G705" s="8"/>
      <c r="H705" s="8"/>
      <c r="I705" s="8"/>
      <c r="J705" s="8"/>
      <c r="K705" s="8"/>
      <c r="L705" s="8"/>
      <c r="M705" s="8"/>
      <c r="N705" s="8"/>
      <c r="O705" s="8"/>
      <c r="P705" s="8"/>
      <c r="Q705" s="8"/>
      <c r="R705" s="8"/>
      <c r="S705" s="8"/>
      <c r="T705" s="8"/>
      <c r="U705" s="8"/>
      <c r="V705" s="8"/>
      <c r="W705" s="8"/>
      <c r="X705" s="8"/>
      <c r="Y705" s="8"/>
      <c r="Z705" s="8"/>
      <c r="AA705" s="8"/>
    </row>
    <row r="706" spans="1:27" x14ac:dyDescent="0.2">
      <c r="A706" s="8"/>
      <c r="B706" s="8"/>
      <c r="C706" s="8"/>
      <c r="D706" s="8"/>
      <c r="E706" s="8"/>
      <c r="F706" s="8"/>
      <c r="G706" s="8"/>
      <c r="H706" s="8"/>
      <c r="I706" s="8"/>
      <c r="J706" s="8"/>
      <c r="K706" s="8"/>
      <c r="L706" s="8"/>
      <c r="M706" s="8"/>
      <c r="N706" s="8"/>
      <c r="O706" s="8"/>
      <c r="P706" s="8"/>
      <c r="Q706" s="8"/>
      <c r="R706" s="8"/>
      <c r="S706" s="8"/>
      <c r="T706" s="8"/>
      <c r="U706" s="8"/>
      <c r="V706" s="8"/>
      <c r="W706" s="8"/>
      <c r="X706" s="8"/>
      <c r="Y706" s="8"/>
      <c r="Z706" s="8"/>
      <c r="AA706" s="8"/>
    </row>
    <row r="707" spans="1:27" x14ac:dyDescent="0.2">
      <c r="A707" s="8"/>
      <c r="B707" s="8"/>
      <c r="C707" s="8"/>
      <c r="D707" s="8"/>
      <c r="E707" s="8"/>
      <c r="F707" s="8"/>
      <c r="G707" s="8"/>
      <c r="H707" s="8"/>
      <c r="I707" s="8"/>
      <c r="J707" s="8"/>
      <c r="K707" s="8"/>
      <c r="L707" s="8"/>
      <c r="M707" s="8"/>
      <c r="N707" s="8"/>
      <c r="O707" s="8"/>
      <c r="P707" s="8"/>
      <c r="Q707" s="8"/>
      <c r="R707" s="8"/>
      <c r="S707" s="8"/>
      <c r="T707" s="8"/>
      <c r="U707" s="8"/>
      <c r="V707" s="8"/>
      <c r="W707" s="8"/>
      <c r="X707" s="8"/>
      <c r="Y707" s="8"/>
      <c r="Z707" s="8"/>
      <c r="AA707" s="8"/>
    </row>
    <row r="708" spans="1:27" x14ac:dyDescent="0.2">
      <c r="A708" s="8"/>
      <c r="B708" s="8"/>
      <c r="C708" s="8"/>
      <c r="D708" s="8"/>
      <c r="E708" s="8"/>
      <c r="F708" s="8"/>
      <c r="G708" s="8"/>
      <c r="H708" s="8"/>
      <c r="I708" s="8"/>
      <c r="J708" s="8"/>
      <c r="K708" s="8"/>
      <c r="L708" s="8"/>
      <c r="M708" s="8"/>
      <c r="N708" s="8"/>
      <c r="O708" s="8"/>
      <c r="P708" s="8"/>
      <c r="Q708" s="8"/>
      <c r="R708" s="8"/>
      <c r="S708" s="8"/>
      <c r="T708" s="8"/>
      <c r="U708" s="8"/>
      <c r="V708" s="8"/>
      <c r="W708" s="8"/>
      <c r="X708" s="8"/>
      <c r="Y708" s="8"/>
      <c r="Z708" s="8"/>
      <c r="AA708" s="8"/>
    </row>
    <row r="709" spans="1:27" x14ac:dyDescent="0.2">
      <c r="A709" s="8"/>
      <c r="B709" s="8"/>
      <c r="C709" s="8"/>
      <c r="D709" s="8"/>
      <c r="E709" s="8"/>
      <c r="F709" s="8"/>
      <c r="G709" s="8"/>
      <c r="H709" s="8"/>
      <c r="I709" s="8"/>
      <c r="J709" s="8"/>
      <c r="K709" s="8"/>
      <c r="L709" s="8"/>
      <c r="M709" s="8"/>
      <c r="N709" s="8"/>
      <c r="O709" s="8"/>
      <c r="P709" s="8"/>
      <c r="Q709" s="8"/>
      <c r="R709" s="8"/>
      <c r="S709" s="8"/>
      <c r="T709" s="8"/>
      <c r="U709" s="8"/>
      <c r="V709" s="8"/>
      <c r="W709" s="8"/>
      <c r="X709" s="8"/>
      <c r="Y709" s="8"/>
      <c r="Z709" s="8"/>
      <c r="AA709" s="8"/>
    </row>
    <row r="710" spans="1:27" x14ac:dyDescent="0.2">
      <c r="A710" s="8"/>
      <c r="B710" s="8"/>
      <c r="C710" s="8"/>
      <c r="D710" s="8"/>
      <c r="E710" s="8"/>
      <c r="F710" s="8"/>
      <c r="G710" s="8"/>
      <c r="H710" s="8"/>
      <c r="I710" s="8"/>
      <c r="J710" s="8"/>
      <c r="K710" s="8"/>
      <c r="L710" s="8"/>
      <c r="M710" s="8"/>
      <c r="N710" s="8"/>
      <c r="O710" s="8"/>
      <c r="P710" s="8"/>
      <c r="Q710" s="8"/>
      <c r="R710" s="8"/>
      <c r="S710" s="8"/>
      <c r="T710" s="8"/>
      <c r="U710" s="8"/>
      <c r="V710" s="8"/>
      <c r="W710" s="8"/>
      <c r="X710" s="8"/>
      <c r="Y710" s="8"/>
      <c r="Z710" s="8"/>
      <c r="AA710" s="8"/>
    </row>
    <row r="711" spans="1:27" x14ac:dyDescent="0.2">
      <c r="A711" s="8"/>
      <c r="B711" s="8"/>
      <c r="C711" s="8"/>
      <c r="D711" s="8"/>
      <c r="E711" s="8"/>
      <c r="F711" s="8"/>
      <c r="G711" s="8"/>
      <c r="H711" s="8"/>
      <c r="I711" s="8"/>
      <c r="J711" s="8"/>
      <c r="K711" s="8"/>
      <c r="L711" s="8"/>
      <c r="M711" s="8"/>
      <c r="N711" s="8"/>
      <c r="O711" s="8"/>
      <c r="P711" s="8"/>
      <c r="Q711" s="8"/>
      <c r="R711" s="8"/>
      <c r="S711" s="8"/>
      <c r="T711" s="8"/>
      <c r="U711" s="8"/>
      <c r="V711" s="8"/>
      <c r="W711" s="8"/>
      <c r="X711" s="8"/>
      <c r="Y711" s="8"/>
      <c r="Z711" s="8"/>
      <c r="AA711" s="8"/>
    </row>
    <row r="712" spans="1:27" x14ac:dyDescent="0.2">
      <c r="A712" s="8"/>
      <c r="B712" s="8"/>
      <c r="C712" s="8"/>
      <c r="D712" s="8"/>
      <c r="E712" s="8"/>
      <c r="F712" s="8"/>
      <c r="G712" s="8"/>
      <c r="H712" s="8"/>
      <c r="I712" s="8"/>
      <c r="J712" s="8"/>
      <c r="K712" s="8"/>
      <c r="L712" s="8"/>
      <c r="M712" s="8"/>
      <c r="N712" s="8"/>
      <c r="O712" s="8"/>
      <c r="P712" s="8"/>
      <c r="Q712" s="8"/>
      <c r="R712" s="8"/>
      <c r="S712" s="8"/>
      <c r="T712" s="8"/>
      <c r="U712" s="8"/>
      <c r="V712" s="8"/>
      <c r="W712" s="8"/>
      <c r="X712" s="8"/>
      <c r="Y712" s="8"/>
      <c r="Z712" s="8"/>
      <c r="AA712" s="8"/>
    </row>
    <row r="713" spans="1:27" x14ac:dyDescent="0.2">
      <c r="A713" s="8"/>
      <c r="B713" s="8"/>
      <c r="C713" s="8"/>
      <c r="D713" s="8"/>
      <c r="E713" s="8"/>
      <c r="F713" s="8"/>
      <c r="G713" s="8"/>
      <c r="H713" s="8"/>
      <c r="I713" s="8"/>
      <c r="J713" s="8"/>
      <c r="K713" s="8"/>
      <c r="L713" s="8"/>
      <c r="M713" s="8"/>
      <c r="N713" s="8"/>
      <c r="O713" s="8"/>
      <c r="P713" s="8"/>
      <c r="Q713" s="8"/>
      <c r="R713" s="8"/>
      <c r="S713" s="8"/>
      <c r="T713" s="8"/>
      <c r="U713" s="8"/>
      <c r="V713" s="8"/>
      <c r="W713" s="8"/>
      <c r="X713" s="8"/>
      <c r="Y713" s="8"/>
      <c r="Z713" s="8"/>
      <c r="AA713" s="8"/>
    </row>
    <row r="714" spans="1:27" x14ac:dyDescent="0.2">
      <c r="A714" s="8"/>
      <c r="B714" s="8"/>
      <c r="C714" s="8"/>
      <c r="D714" s="8"/>
      <c r="E714" s="8"/>
      <c r="F714" s="8"/>
      <c r="G714" s="8"/>
      <c r="H714" s="8"/>
      <c r="I714" s="8"/>
      <c r="J714" s="8"/>
      <c r="K714" s="8"/>
      <c r="L714" s="8"/>
      <c r="M714" s="8"/>
      <c r="N714" s="8"/>
      <c r="O714" s="8"/>
      <c r="P714" s="8"/>
      <c r="Q714" s="8"/>
      <c r="R714" s="8"/>
      <c r="S714" s="8"/>
      <c r="T714" s="8"/>
      <c r="U714" s="8"/>
      <c r="V714" s="8"/>
      <c r="W714" s="8"/>
      <c r="X714" s="8"/>
      <c r="Y714" s="8"/>
      <c r="Z714" s="8"/>
      <c r="AA714" s="8"/>
    </row>
    <row r="715" spans="1:27" x14ac:dyDescent="0.2">
      <c r="A715" s="8"/>
      <c r="B715" s="8"/>
      <c r="C715" s="8"/>
      <c r="D715" s="8"/>
      <c r="E715" s="8"/>
      <c r="F715" s="8"/>
      <c r="G715" s="8"/>
      <c r="H715" s="8"/>
      <c r="I715" s="8"/>
      <c r="J715" s="8"/>
      <c r="K715" s="8"/>
      <c r="L715" s="8"/>
      <c r="M715" s="8"/>
      <c r="N715" s="8"/>
      <c r="O715" s="8"/>
      <c r="P715" s="8"/>
      <c r="Q715" s="8"/>
      <c r="R715" s="8"/>
      <c r="S715" s="8"/>
      <c r="T715" s="8"/>
      <c r="U715" s="8"/>
      <c r="V715" s="8"/>
      <c r="W715" s="8"/>
      <c r="X715" s="8"/>
      <c r="Y715" s="8"/>
      <c r="Z715" s="8"/>
      <c r="AA715" s="8"/>
    </row>
    <row r="716" spans="1:27" x14ac:dyDescent="0.2">
      <c r="A716" s="8"/>
      <c r="B716" s="8"/>
      <c r="C716" s="8"/>
      <c r="D716" s="8"/>
      <c r="E716" s="8"/>
      <c r="F716" s="8"/>
      <c r="G716" s="8"/>
      <c r="H716" s="8"/>
      <c r="I716" s="8"/>
      <c r="J716" s="8"/>
      <c r="K716" s="8"/>
      <c r="L716" s="8"/>
      <c r="M716" s="8"/>
      <c r="N716" s="8"/>
      <c r="O716" s="8"/>
      <c r="P716" s="8"/>
      <c r="Q716" s="8"/>
      <c r="R716" s="8"/>
      <c r="S716" s="8"/>
      <c r="T716" s="8"/>
      <c r="U716" s="8"/>
      <c r="V716" s="8"/>
      <c r="W716" s="8"/>
      <c r="X716" s="8"/>
      <c r="Y716" s="8"/>
      <c r="Z716" s="8"/>
      <c r="AA716" s="8"/>
    </row>
    <row r="717" spans="1:27" x14ac:dyDescent="0.2">
      <c r="A717" s="8"/>
      <c r="B717" s="8"/>
      <c r="C717" s="8"/>
      <c r="D717" s="8"/>
      <c r="E717" s="8"/>
      <c r="F717" s="8"/>
      <c r="G717" s="8"/>
      <c r="H717" s="8"/>
      <c r="I717" s="8"/>
      <c r="J717" s="8"/>
      <c r="K717" s="8"/>
      <c r="L717" s="8"/>
      <c r="M717" s="8"/>
      <c r="N717" s="8"/>
      <c r="O717" s="8"/>
      <c r="P717" s="8"/>
      <c r="Q717" s="8"/>
      <c r="R717" s="8"/>
      <c r="S717" s="8"/>
      <c r="T717" s="8"/>
      <c r="U717" s="8"/>
      <c r="V717" s="8"/>
      <c r="W717" s="8"/>
      <c r="X717" s="8"/>
      <c r="Y717" s="8"/>
      <c r="Z717" s="8"/>
      <c r="AA717" s="8"/>
    </row>
    <row r="718" spans="1:27" x14ac:dyDescent="0.2">
      <c r="A718" s="8"/>
      <c r="B718" s="8"/>
      <c r="C718" s="8"/>
      <c r="D718" s="8"/>
      <c r="E718" s="8"/>
      <c r="F718" s="8"/>
      <c r="G718" s="8"/>
      <c r="H718" s="8"/>
      <c r="I718" s="8"/>
      <c r="J718" s="8"/>
      <c r="K718" s="8"/>
      <c r="L718" s="8"/>
      <c r="M718" s="8"/>
      <c r="N718" s="8"/>
      <c r="O718" s="8"/>
      <c r="P718" s="8"/>
      <c r="Q718" s="8"/>
      <c r="R718" s="8"/>
      <c r="S718" s="8"/>
      <c r="T718" s="8"/>
      <c r="U718" s="8"/>
      <c r="V718" s="8"/>
      <c r="W718" s="8"/>
      <c r="X718" s="8"/>
      <c r="Y718" s="8"/>
      <c r="Z718" s="8"/>
      <c r="AA718" s="8"/>
    </row>
    <row r="719" spans="1:27" x14ac:dyDescent="0.2">
      <c r="A719" s="8"/>
      <c r="B719" s="8"/>
      <c r="C719" s="8"/>
      <c r="D719" s="8"/>
      <c r="E719" s="8"/>
      <c r="F719" s="8"/>
      <c r="G719" s="8"/>
      <c r="H719" s="8"/>
      <c r="I719" s="8"/>
      <c r="J719" s="8"/>
      <c r="K719" s="8"/>
      <c r="L719" s="8"/>
      <c r="M719" s="8"/>
      <c r="N719" s="8"/>
      <c r="O719" s="8"/>
      <c r="P719" s="8"/>
      <c r="Q719" s="8"/>
      <c r="R719" s="8"/>
      <c r="S719" s="8"/>
      <c r="T719" s="8"/>
      <c r="U719" s="8"/>
      <c r="V719" s="8"/>
      <c r="W719" s="8"/>
      <c r="X719" s="8"/>
      <c r="Y719" s="8"/>
      <c r="Z719" s="8"/>
      <c r="AA719" s="8"/>
    </row>
    <row r="720" spans="1:27" x14ac:dyDescent="0.2">
      <c r="A720" s="8"/>
      <c r="B720" s="8"/>
      <c r="C720" s="8"/>
      <c r="D720" s="8"/>
      <c r="E720" s="8"/>
      <c r="F720" s="8"/>
      <c r="G720" s="8"/>
      <c r="H720" s="8"/>
      <c r="I720" s="8"/>
      <c r="J720" s="8"/>
      <c r="K720" s="8"/>
      <c r="L720" s="8"/>
      <c r="M720" s="8"/>
      <c r="N720" s="8"/>
      <c r="O720" s="8"/>
      <c r="P720" s="8"/>
      <c r="Q720" s="8"/>
      <c r="R720" s="8"/>
      <c r="S720" s="8"/>
      <c r="T720" s="8"/>
      <c r="U720" s="8"/>
      <c r="V720" s="8"/>
      <c r="W720" s="8"/>
      <c r="X720" s="8"/>
      <c r="Y720" s="8"/>
      <c r="Z720" s="8"/>
      <c r="AA720" s="8"/>
    </row>
    <row r="721" spans="1:27" x14ac:dyDescent="0.2">
      <c r="A721" s="8"/>
      <c r="B721" s="8"/>
      <c r="C721" s="8"/>
      <c r="D721" s="8"/>
      <c r="E721" s="8"/>
      <c r="F721" s="8"/>
      <c r="G721" s="8"/>
      <c r="H721" s="8"/>
      <c r="I721" s="8"/>
      <c r="J721" s="8"/>
      <c r="K721" s="8"/>
      <c r="L721" s="8"/>
      <c r="M721" s="8"/>
      <c r="N721" s="8"/>
      <c r="O721" s="8"/>
      <c r="P721" s="8"/>
      <c r="Q721" s="8"/>
      <c r="R721" s="8"/>
      <c r="S721" s="8"/>
      <c r="T721" s="8"/>
      <c r="U721" s="8"/>
      <c r="V721" s="8"/>
      <c r="W721" s="8"/>
      <c r="X721" s="8"/>
      <c r="Y721" s="8"/>
      <c r="Z721" s="8"/>
      <c r="AA721" s="8"/>
    </row>
    <row r="722" spans="1:27" x14ac:dyDescent="0.2">
      <c r="A722" s="8"/>
      <c r="B722" s="8"/>
      <c r="C722" s="8"/>
      <c r="D722" s="8"/>
      <c r="E722" s="8"/>
      <c r="F722" s="8"/>
      <c r="G722" s="8"/>
      <c r="H722" s="8"/>
      <c r="I722" s="8"/>
      <c r="J722" s="8"/>
      <c r="K722" s="8"/>
      <c r="L722" s="8"/>
      <c r="M722" s="8"/>
      <c r="N722" s="8"/>
      <c r="O722" s="8"/>
      <c r="P722" s="8"/>
      <c r="Q722" s="8"/>
      <c r="R722" s="8"/>
      <c r="S722" s="8"/>
      <c r="T722" s="8"/>
      <c r="U722" s="8"/>
      <c r="V722" s="8"/>
      <c r="W722" s="8"/>
      <c r="X722" s="8"/>
      <c r="Y722" s="8"/>
      <c r="Z722" s="8"/>
      <c r="AA722" s="8"/>
    </row>
    <row r="723" spans="1:27" x14ac:dyDescent="0.2">
      <c r="A723" s="8"/>
      <c r="B723" s="8"/>
      <c r="C723" s="8"/>
      <c r="D723" s="8"/>
      <c r="E723" s="8"/>
      <c r="F723" s="8"/>
      <c r="G723" s="8"/>
      <c r="H723" s="8"/>
      <c r="I723" s="8"/>
      <c r="J723" s="8"/>
      <c r="K723" s="8"/>
      <c r="L723" s="8"/>
      <c r="M723" s="8"/>
      <c r="N723" s="8"/>
      <c r="O723" s="8"/>
      <c r="P723" s="8"/>
      <c r="Q723" s="8"/>
      <c r="R723" s="8"/>
      <c r="S723" s="8"/>
      <c r="T723" s="8"/>
      <c r="U723" s="8"/>
      <c r="V723" s="8"/>
      <c r="W723" s="8"/>
      <c r="X723" s="8"/>
      <c r="Y723" s="8"/>
      <c r="Z723" s="8"/>
      <c r="AA723" s="8"/>
    </row>
    <row r="724" spans="1:27" x14ac:dyDescent="0.2">
      <c r="A724" s="8"/>
      <c r="B724" s="8"/>
      <c r="C724" s="8"/>
      <c r="D724" s="8"/>
      <c r="E724" s="8"/>
      <c r="F724" s="8"/>
      <c r="G724" s="8"/>
      <c r="H724" s="8"/>
      <c r="I724" s="8"/>
      <c r="J724" s="8"/>
      <c r="K724" s="8"/>
      <c r="L724" s="8"/>
      <c r="M724" s="8"/>
      <c r="N724" s="8"/>
      <c r="O724" s="8"/>
      <c r="P724" s="8"/>
      <c r="Q724" s="8"/>
      <c r="R724" s="8"/>
      <c r="S724" s="8"/>
      <c r="T724" s="8"/>
      <c r="U724" s="8"/>
      <c r="V724" s="8"/>
      <c r="W724" s="8"/>
      <c r="X724" s="8"/>
      <c r="Y724" s="8"/>
      <c r="Z724" s="8"/>
      <c r="AA724" s="8"/>
    </row>
    <row r="725" spans="1:27" x14ac:dyDescent="0.2">
      <c r="A725" s="8"/>
      <c r="B725" s="8"/>
      <c r="C725" s="8"/>
      <c r="D725" s="8"/>
      <c r="E725" s="8"/>
      <c r="F725" s="8"/>
      <c r="G725" s="8"/>
      <c r="H725" s="8"/>
      <c r="I725" s="8"/>
      <c r="J725" s="8"/>
      <c r="K725" s="8"/>
      <c r="L725" s="8"/>
      <c r="M725" s="8"/>
      <c r="N725" s="8"/>
      <c r="O725" s="8"/>
      <c r="P725" s="8"/>
      <c r="Q725" s="8"/>
      <c r="R725" s="8"/>
      <c r="S725" s="8"/>
      <c r="T725" s="8"/>
      <c r="U725" s="8"/>
      <c r="V725" s="8"/>
      <c r="W725" s="8"/>
      <c r="X725" s="8"/>
      <c r="Y725" s="8"/>
      <c r="Z725" s="8"/>
      <c r="AA725" s="8"/>
    </row>
    <row r="726" spans="1:27" x14ac:dyDescent="0.2">
      <c r="A726" s="8"/>
      <c r="B726" s="8"/>
      <c r="C726" s="8"/>
      <c r="D726" s="8"/>
      <c r="E726" s="8"/>
      <c r="F726" s="8"/>
      <c r="G726" s="8"/>
      <c r="H726" s="8"/>
      <c r="I726" s="8"/>
      <c r="J726" s="8"/>
      <c r="K726" s="8"/>
      <c r="L726" s="8"/>
      <c r="M726" s="8"/>
      <c r="N726" s="8"/>
      <c r="O726" s="8"/>
      <c r="P726" s="8"/>
      <c r="Q726" s="8"/>
      <c r="R726" s="8"/>
      <c r="S726" s="8"/>
      <c r="T726" s="8"/>
      <c r="U726" s="8"/>
      <c r="V726" s="8"/>
      <c r="W726" s="8"/>
      <c r="X726" s="8"/>
      <c r="Y726" s="8"/>
      <c r="Z726" s="8"/>
      <c r="AA726" s="8"/>
    </row>
    <row r="727" spans="1:27" x14ac:dyDescent="0.2">
      <c r="A727" s="8"/>
      <c r="B727" s="8"/>
      <c r="C727" s="8"/>
      <c r="D727" s="8"/>
      <c r="E727" s="8"/>
      <c r="F727" s="8"/>
      <c r="G727" s="8"/>
      <c r="H727" s="8"/>
      <c r="I727" s="8"/>
      <c r="J727" s="8"/>
      <c r="K727" s="8"/>
      <c r="L727" s="8"/>
      <c r="M727" s="8"/>
      <c r="N727" s="8"/>
      <c r="O727" s="8"/>
      <c r="P727" s="8"/>
      <c r="Q727" s="8"/>
      <c r="R727" s="8"/>
      <c r="S727" s="8"/>
      <c r="T727" s="8"/>
      <c r="U727" s="8"/>
      <c r="V727" s="8"/>
      <c r="W727" s="8"/>
      <c r="X727" s="8"/>
      <c r="Y727" s="8"/>
      <c r="Z727" s="8"/>
      <c r="AA727" s="8"/>
    </row>
    <row r="728" spans="1:27" x14ac:dyDescent="0.2">
      <c r="A728" s="8"/>
      <c r="B728" s="8"/>
      <c r="C728" s="8"/>
      <c r="D728" s="8"/>
      <c r="E728" s="8"/>
      <c r="F728" s="8"/>
      <c r="G728" s="8"/>
      <c r="H728" s="8"/>
      <c r="I728" s="8"/>
      <c r="J728" s="8"/>
      <c r="K728" s="8"/>
      <c r="L728" s="8"/>
      <c r="M728" s="8"/>
      <c r="N728" s="8"/>
      <c r="O728" s="8"/>
      <c r="P728" s="8"/>
      <c r="Q728" s="8"/>
      <c r="R728" s="8"/>
      <c r="S728" s="8"/>
      <c r="T728" s="8"/>
      <c r="U728" s="8"/>
      <c r="V728" s="8"/>
      <c r="W728" s="8"/>
      <c r="X728" s="8"/>
      <c r="Y728" s="8"/>
      <c r="Z728" s="8"/>
      <c r="AA728" s="8"/>
    </row>
    <row r="729" spans="1:27" x14ac:dyDescent="0.2">
      <c r="A729" s="8"/>
      <c r="B729" s="8"/>
      <c r="C729" s="8"/>
      <c r="D729" s="8"/>
      <c r="E729" s="8"/>
      <c r="F729" s="8"/>
      <c r="G729" s="8"/>
      <c r="H729" s="8"/>
      <c r="I729" s="8"/>
      <c r="J729" s="8"/>
      <c r="K729" s="8"/>
      <c r="L729" s="8"/>
      <c r="M729" s="8"/>
      <c r="N729" s="8"/>
      <c r="O729" s="8"/>
      <c r="P729" s="8"/>
      <c r="Q729" s="8"/>
      <c r="R729" s="8"/>
      <c r="S729" s="8"/>
      <c r="T729" s="8"/>
      <c r="U729" s="8"/>
      <c r="V729" s="8"/>
      <c r="W729" s="8"/>
      <c r="X729" s="8"/>
      <c r="Y729" s="8"/>
      <c r="Z729" s="8"/>
      <c r="AA729" s="8"/>
    </row>
    <row r="730" spans="1:27" x14ac:dyDescent="0.2">
      <c r="A730" s="8"/>
      <c r="B730" s="8"/>
      <c r="C730" s="8"/>
      <c r="D730" s="8"/>
      <c r="E730" s="8"/>
      <c r="F730" s="8"/>
      <c r="G730" s="8"/>
      <c r="H730" s="8"/>
      <c r="I730" s="8"/>
      <c r="J730" s="8"/>
      <c r="K730" s="8"/>
      <c r="L730" s="8"/>
      <c r="M730" s="8"/>
      <c r="N730" s="8"/>
      <c r="O730" s="8"/>
      <c r="P730" s="8"/>
      <c r="Q730" s="8"/>
      <c r="R730" s="8"/>
      <c r="S730" s="8"/>
      <c r="T730" s="8"/>
      <c r="U730" s="8"/>
      <c r="V730" s="8"/>
      <c r="W730" s="8"/>
      <c r="X730" s="8"/>
      <c r="Y730" s="8"/>
      <c r="Z730" s="8"/>
      <c r="AA730" s="8"/>
    </row>
    <row r="731" spans="1:27" x14ac:dyDescent="0.2">
      <c r="A731" s="8"/>
      <c r="B731" s="8"/>
      <c r="C731" s="8"/>
      <c r="D731" s="8"/>
      <c r="E731" s="8"/>
      <c r="F731" s="8"/>
      <c r="G731" s="8"/>
      <c r="H731" s="8"/>
      <c r="I731" s="8"/>
      <c r="J731" s="8"/>
      <c r="K731" s="8"/>
      <c r="L731" s="8"/>
      <c r="M731" s="8"/>
      <c r="N731" s="8"/>
      <c r="O731" s="8"/>
      <c r="P731" s="8"/>
      <c r="Q731" s="8"/>
      <c r="R731" s="8"/>
      <c r="S731" s="8"/>
      <c r="T731" s="8"/>
      <c r="U731" s="8"/>
      <c r="V731" s="8"/>
      <c r="W731" s="8"/>
      <c r="X731" s="8"/>
      <c r="Y731" s="8"/>
      <c r="Z731" s="8"/>
      <c r="AA731" s="8"/>
    </row>
    <row r="732" spans="1:27" x14ac:dyDescent="0.2">
      <c r="A732" s="8"/>
      <c r="B732" s="8"/>
      <c r="C732" s="8"/>
      <c r="D732" s="8"/>
      <c r="E732" s="8"/>
      <c r="F732" s="8"/>
      <c r="G732" s="8"/>
      <c r="H732" s="8"/>
      <c r="I732" s="8"/>
      <c r="J732" s="8"/>
      <c r="K732" s="8"/>
      <c r="L732" s="8"/>
      <c r="M732" s="8"/>
      <c r="N732" s="8"/>
      <c r="O732" s="8"/>
      <c r="P732" s="8"/>
      <c r="Q732" s="8"/>
      <c r="R732" s="8"/>
      <c r="S732" s="8"/>
      <c r="T732" s="8"/>
      <c r="U732" s="8"/>
      <c r="V732" s="8"/>
      <c r="W732" s="8"/>
      <c r="X732" s="8"/>
      <c r="Y732" s="8"/>
      <c r="Z732" s="8"/>
      <c r="AA732" s="8"/>
    </row>
    <row r="733" spans="1:27" x14ac:dyDescent="0.2">
      <c r="A733" s="8"/>
      <c r="B733" s="8"/>
      <c r="C733" s="8"/>
      <c r="D733" s="8"/>
      <c r="E733" s="8"/>
      <c r="F733" s="8"/>
      <c r="G733" s="8"/>
      <c r="H733" s="8"/>
      <c r="I733" s="8"/>
      <c r="J733" s="8"/>
      <c r="K733" s="8"/>
      <c r="L733" s="8"/>
      <c r="M733" s="8"/>
      <c r="N733" s="8"/>
      <c r="O733" s="8"/>
      <c r="P733" s="8"/>
      <c r="Q733" s="8"/>
      <c r="R733" s="8"/>
      <c r="S733" s="8"/>
      <c r="T733" s="8"/>
      <c r="U733" s="8"/>
      <c r="V733" s="8"/>
      <c r="W733" s="8"/>
      <c r="X733" s="8"/>
      <c r="Y733" s="8"/>
      <c r="Z733" s="8"/>
      <c r="AA733" s="8"/>
    </row>
    <row r="734" spans="1:27" x14ac:dyDescent="0.2">
      <c r="A734" s="8"/>
      <c r="B734" s="8"/>
      <c r="C734" s="8"/>
      <c r="D734" s="8"/>
      <c r="E734" s="8"/>
      <c r="F734" s="8"/>
      <c r="G734" s="8"/>
      <c r="H734" s="8"/>
      <c r="I734" s="8"/>
      <c r="J734" s="8"/>
      <c r="K734" s="8"/>
      <c r="L734" s="8"/>
      <c r="M734" s="8"/>
      <c r="N734" s="8"/>
      <c r="O734" s="8"/>
      <c r="P734" s="8"/>
      <c r="Q734" s="8"/>
      <c r="R734" s="8"/>
      <c r="S734" s="8"/>
      <c r="T734" s="8"/>
      <c r="U734" s="8"/>
      <c r="V734" s="8"/>
      <c r="W734" s="8"/>
      <c r="X734" s="8"/>
      <c r="Y734" s="8"/>
      <c r="Z734" s="8"/>
      <c r="AA734" s="8"/>
    </row>
    <row r="735" spans="1:27" x14ac:dyDescent="0.2">
      <c r="A735" s="8"/>
      <c r="B735" s="8"/>
      <c r="C735" s="8"/>
      <c r="D735" s="8"/>
      <c r="E735" s="8"/>
      <c r="F735" s="8"/>
      <c r="G735" s="8"/>
      <c r="H735" s="8"/>
      <c r="I735" s="8"/>
      <c r="J735" s="8"/>
      <c r="K735" s="8"/>
      <c r="L735" s="8"/>
      <c r="M735" s="8"/>
      <c r="N735" s="8"/>
      <c r="O735" s="8"/>
      <c r="P735" s="8"/>
      <c r="Q735" s="8"/>
      <c r="R735" s="8"/>
      <c r="S735" s="8"/>
      <c r="T735" s="8"/>
      <c r="U735" s="8"/>
      <c r="V735" s="8"/>
      <c r="W735" s="8"/>
      <c r="X735" s="8"/>
      <c r="Y735" s="8"/>
      <c r="Z735" s="8"/>
      <c r="AA735" s="8"/>
    </row>
    <row r="736" spans="1:27" x14ac:dyDescent="0.2">
      <c r="A736" s="8"/>
      <c r="B736" s="8"/>
      <c r="C736" s="8"/>
      <c r="D736" s="8"/>
      <c r="E736" s="8"/>
      <c r="F736" s="8"/>
      <c r="G736" s="8"/>
      <c r="H736" s="8"/>
      <c r="I736" s="8"/>
      <c r="J736" s="8"/>
      <c r="K736" s="8"/>
      <c r="L736" s="8"/>
      <c r="M736" s="8"/>
      <c r="N736" s="8"/>
      <c r="O736" s="8"/>
      <c r="P736" s="8"/>
      <c r="Q736" s="8"/>
      <c r="R736" s="8"/>
      <c r="S736" s="8"/>
      <c r="T736" s="8"/>
      <c r="U736" s="8"/>
      <c r="V736" s="8"/>
      <c r="W736" s="8"/>
      <c r="X736" s="8"/>
      <c r="Y736" s="8"/>
      <c r="Z736" s="8"/>
      <c r="AA736" s="8"/>
    </row>
    <row r="737" spans="1:27" x14ac:dyDescent="0.2">
      <c r="A737" s="8"/>
      <c r="B737" s="8"/>
      <c r="C737" s="8"/>
      <c r="D737" s="8"/>
      <c r="E737" s="8"/>
      <c r="F737" s="8"/>
      <c r="G737" s="8"/>
      <c r="H737" s="8"/>
      <c r="I737" s="8"/>
      <c r="J737" s="8"/>
      <c r="K737" s="8"/>
      <c r="L737" s="8"/>
      <c r="M737" s="8"/>
      <c r="N737" s="8"/>
      <c r="O737" s="8"/>
      <c r="P737" s="8"/>
      <c r="Q737" s="8"/>
      <c r="R737" s="8"/>
      <c r="S737" s="8"/>
      <c r="T737" s="8"/>
      <c r="U737" s="8"/>
      <c r="V737" s="8"/>
      <c r="W737" s="8"/>
      <c r="X737" s="8"/>
      <c r="Y737" s="8"/>
      <c r="Z737" s="8"/>
      <c r="AA737" s="8"/>
    </row>
    <row r="738" spans="1:27" x14ac:dyDescent="0.2">
      <c r="A738" s="8"/>
      <c r="B738" s="8"/>
      <c r="C738" s="8"/>
      <c r="D738" s="8"/>
      <c r="E738" s="8"/>
      <c r="F738" s="8"/>
      <c r="G738" s="8"/>
      <c r="H738" s="8"/>
      <c r="I738" s="8"/>
      <c r="J738" s="8"/>
      <c r="K738" s="8"/>
      <c r="L738" s="8"/>
      <c r="M738" s="8"/>
      <c r="N738" s="8"/>
      <c r="O738" s="8"/>
      <c r="P738" s="8"/>
      <c r="Q738" s="8"/>
      <c r="R738" s="8"/>
      <c r="S738" s="8"/>
      <c r="T738" s="8"/>
      <c r="U738" s="8"/>
      <c r="V738" s="8"/>
      <c r="W738" s="8"/>
      <c r="X738" s="8"/>
      <c r="Y738" s="8"/>
      <c r="Z738" s="8"/>
      <c r="AA738" s="8"/>
    </row>
    <row r="739" spans="1:27" x14ac:dyDescent="0.2">
      <c r="A739" s="8"/>
      <c r="B739" s="8"/>
      <c r="C739" s="8"/>
      <c r="D739" s="8"/>
      <c r="E739" s="8"/>
      <c r="F739" s="8"/>
      <c r="G739" s="8"/>
      <c r="H739" s="8"/>
      <c r="I739" s="8"/>
      <c r="J739" s="8"/>
      <c r="K739" s="8"/>
      <c r="L739" s="8"/>
      <c r="M739" s="8"/>
      <c r="N739" s="8"/>
      <c r="O739" s="8"/>
      <c r="P739" s="8"/>
      <c r="Q739" s="8"/>
      <c r="R739" s="8"/>
      <c r="S739" s="8"/>
      <c r="T739" s="8"/>
      <c r="U739" s="8"/>
      <c r="V739" s="8"/>
      <c r="W739" s="8"/>
      <c r="X739" s="8"/>
      <c r="Y739" s="8"/>
      <c r="Z739" s="8"/>
      <c r="AA739" s="8"/>
    </row>
    <row r="740" spans="1:27" x14ac:dyDescent="0.2">
      <c r="A740" s="8"/>
      <c r="B740" s="8"/>
      <c r="C740" s="8"/>
      <c r="D740" s="8"/>
      <c r="E740" s="8"/>
      <c r="F740" s="8"/>
      <c r="G740" s="8"/>
      <c r="H740" s="8"/>
      <c r="I740" s="8"/>
      <c r="J740" s="8"/>
      <c r="K740" s="8"/>
      <c r="L740" s="8"/>
      <c r="M740" s="8"/>
      <c r="N740" s="8"/>
      <c r="O740" s="8"/>
      <c r="P740" s="8"/>
      <c r="Q740" s="8"/>
      <c r="R740" s="8"/>
      <c r="S740" s="8"/>
      <c r="T740" s="8"/>
      <c r="U740" s="8"/>
      <c r="V740" s="8"/>
      <c r="W740" s="8"/>
      <c r="X740" s="8"/>
      <c r="Y740" s="8"/>
      <c r="Z740" s="8"/>
      <c r="AA740" s="8"/>
    </row>
    <row r="741" spans="1:27" x14ac:dyDescent="0.2">
      <c r="A741" s="8"/>
      <c r="B741" s="8"/>
      <c r="C741" s="8"/>
      <c r="D741" s="8"/>
      <c r="E741" s="8"/>
      <c r="F741" s="8"/>
      <c r="G741" s="8"/>
      <c r="H741" s="8"/>
      <c r="I741" s="8"/>
      <c r="J741" s="8"/>
      <c r="K741" s="8"/>
      <c r="L741" s="8"/>
      <c r="M741" s="8"/>
      <c r="N741" s="8"/>
      <c r="O741" s="8"/>
      <c r="P741" s="8"/>
      <c r="Q741" s="8"/>
      <c r="R741" s="8"/>
      <c r="S741" s="8"/>
      <c r="T741" s="8"/>
      <c r="U741" s="8"/>
      <c r="V741" s="8"/>
      <c r="W741" s="8"/>
      <c r="X741" s="8"/>
      <c r="Y741" s="8"/>
      <c r="Z741" s="8"/>
      <c r="AA741" s="8"/>
    </row>
    <row r="742" spans="1:27" x14ac:dyDescent="0.2">
      <c r="A742" s="8"/>
      <c r="B742" s="8"/>
      <c r="C742" s="8"/>
      <c r="D742" s="8"/>
      <c r="E742" s="8"/>
      <c r="F742" s="8"/>
      <c r="G742" s="8"/>
      <c r="H742" s="8"/>
      <c r="I742" s="8"/>
      <c r="J742" s="8"/>
      <c r="K742" s="8"/>
      <c r="L742" s="8"/>
      <c r="M742" s="8"/>
      <c r="N742" s="8"/>
      <c r="O742" s="8"/>
      <c r="P742" s="8"/>
      <c r="Q742" s="8"/>
      <c r="R742" s="8"/>
      <c r="S742" s="8"/>
      <c r="T742" s="8"/>
      <c r="U742" s="8"/>
      <c r="V742" s="8"/>
      <c r="W742" s="8"/>
      <c r="X742" s="8"/>
      <c r="Y742" s="8"/>
      <c r="Z742" s="8"/>
      <c r="AA742" s="8"/>
    </row>
    <row r="743" spans="1:27" x14ac:dyDescent="0.2">
      <c r="A743" s="8"/>
      <c r="B743" s="8"/>
      <c r="C743" s="8"/>
      <c r="D743" s="8"/>
      <c r="E743" s="8"/>
      <c r="F743" s="8"/>
      <c r="G743" s="8"/>
      <c r="H743" s="8"/>
      <c r="I743" s="8"/>
      <c r="J743" s="8"/>
      <c r="K743" s="8"/>
      <c r="L743" s="8"/>
      <c r="M743" s="8"/>
      <c r="N743" s="8"/>
      <c r="O743" s="8"/>
      <c r="P743" s="8"/>
      <c r="Q743" s="8"/>
      <c r="R743" s="8"/>
      <c r="S743" s="8"/>
      <c r="T743" s="8"/>
      <c r="U743" s="8"/>
      <c r="V743" s="8"/>
      <c r="W743" s="8"/>
      <c r="X743" s="8"/>
      <c r="Y743" s="8"/>
      <c r="Z743" s="8"/>
      <c r="AA743" s="8"/>
    </row>
    <row r="744" spans="1:27" x14ac:dyDescent="0.2">
      <c r="A744" s="8"/>
      <c r="B744" s="8"/>
      <c r="C744" s="8"/>
      <c r="D744" s="8"/>
      <c r="E744" s="8"/>
      <c r="F744" s="8"/>
      <c r="G744" s="8"/>
      <c r="H744" s="8"/>
      <c r="I744" s="8"/>
      <c r="J744" s="8"/>
      <c r="K744" s="8"/>
      <c r="L744" s="8"/>
      <c r="M744" s="8"/>
      <c r="N744" s="8"/>
      <c r="O744" s="8"/>
      <c r="P744" s="8"/>
      <c r="Q744" s="8"/>
      <c r="R744" s="8"/>
      <c r="S744" s="8"/>
      <c r="T744" s="8"/>
      <c r="U744" s="8"/>
      <c r="V744" s="8"/>
      <c r="W744" s="8"/>
      <c r="X744" s="8"/>
      <c r="Y744" s="8"/>
      <c r="Z744" s="8"/>
      <c r="AA744" s="8"/>
    </row>
    <row r="745" spans="1:27" x14ac:dyDescent="0.2">
      <c r="A745" s="8"/>
      <c r="B745" s="8"/>
      <c r="C745" s="8"/>
      <c r="D745" s="8"/>
      <c r="E745" s="8"/>
      <c r="F745" s="8"/>
      <c r="G745" s="8"/>
      <c r="H745" s="8"/>
      <c r="I745" s="8"/>
      <c r="J745" s="8"/>
      <c r="K745" s="8"/>
      <c r="L745" s="8"/>
      <c r="M745" s="8"/>
      <c r="N745" s="8"/>
      <c r="O745" s="8"/>
      <c r="P745" s="8"/>
      <c r="Q745" s="8"/>
      <c r="R745" s="8"/>
      <c r="S745" s="8"/>
      <c r="T745" s="8"/>
      <c r="U745" s="8"/>
      <c r="V745" s="8"/>
      <c r="W745" s="8"/>
      <c r="X745" s="8"/>
      <c r="Y745" s="8"/>
      <c r="Z745" s="8"/>
      <c r="AA745" s="8"/>
    </row>
    <row r="746" spans="1:27" x14ac:dyDescent="0.2">
      <c r="A746" s="8"/>
      <c r="B746" s="8"/>
      <c r="C746" s="8"/>
      <c r="D746" s="8"/>
      <c r="E746" s="8"/>
      <c r="F746" s="8"/>
      <c r="G746" s="8"/>
      <c r="H746" s="8"/>
      <c r="I746" s="8"/>
      <c r="J746" s="8"/>
      <c r="K746" s="8"/>
      <c r="L746" s="8"/>
      <c r="M746" s="8"/>
      <c r="N746" s="8"/>
      <c r="O746" s="8"/>
      <c r="P746" s="8"/>
      <c r="Q746" s="8"/>
      <c r="R746" s="8"/>
      <c r="S746" s="8"/>
      <c r="T746" s="8"/>
      <c r="U746" s="8"/>
      <c r="V746" s="8"/>
      <c r="W746" s="8"/>
      <c r="X746" s="8"/>
      <c r="Y746" s="8"/>
      <c r="Z746" s="8"/>
      <c r="AA746" s="8"/>
    </row>
    <row r="747" spans="1:27" x14ac:dyDescent="0.2">
      <c r="A747" s="8"/>
      <c r="B747" s="8"/>
      <c r="C747" s="8"/>
      <c r="D747" s="8"/>
      <c r="E747" s="8"/>
      <c r="F747" s="8"/>
      <c r="G747" s="8"/>
      <c r="H747" s="8"/>
      <c r="I747" s="8"/>
      <c r="J747" s="8"/>
      <c r="K747" s="8"/>
      <c r="L747" s="8"/>
      <c r="M747" s="8"/>
      <c r="N747" s="8"/>
      <c r="O747" s="8"/>
      <c r="P747" s="8"/>
      <c r="Q747" s="8"/>
      <c r="R747" s="8"/>
      <c r="S747" s="8"/>
      <c r="T747" s="8"/>
      <c r="U747" s="8"/>
      <c r="V747" s="8"/>
      <c r="W747" s="8"/>
      <c r="X747" s="8"/>
      <c r="Y747" s="8"/>
      <c r="Z747" s="8"/>
      <c r="AA747" s="8"/>
    </row>
    <row r="748" spans="1:27" x14ac:dyDescent="0.2">
      <c r="A748" s="8"/>
      <c r="B748" s="8"/>
      <c r="C748" s="8"/>
      <c r="D748" s="8"/>
      <c r="E748" s="8"/>
      <c r="F748" s="8"/>
      <c r="G748" s="8"/>
      <c r="H748" s="8"/>
      <c r="I748" s="8"/>
      <c r="J748" s="8"/>
      <c r="K748" s="8"/>
      <c r="L748" s="8"/>
      <c r="M748" s="8"/>
      <c r="N748" s="8"/>
      <c r="O748" s="8"/>
      <c r="P748" s="8"/>
      <c r="Q748" s="8"/>
      <c r="R748" s="8"/>
      <c r="S748" s="8"/>
      <c r="T748" s="8"/>
      <c r="U748" s="8"/>
      <c r="V748" s="8"/>
      <c r="W748" s="8"/>
      <c r="X748" s="8"/>
      <c r="Y748" s="8"/>
      <c r="Z748" s="8"/>
      <c r="AA748" s="8"/>
    </row>
    <row r="749" spans="1:27" x14ac:dyDescent="0.2">
      <c r="A749" s="8"/>
      <c r="B749" s="8"/>
      <c r="C749" s="8"/>
      <c r="D749" s="8"/>
      <c r="E749" s="8"/>
      <c r="F749" s="8"/>
      <c r="G749" s="8"/>
      <c r="H749" s="8"/>
      <c r="I749" s="8"/>
      <c r="J749" s="8"/>
      <c r="K749" s="8"/>
      <c r="L749" s="8"/>
      <c r="M749" s="8"/>
      <c r="N749" s="8"/>
      <c r="O749" s="8"/>
      <c r="P749" s="8"/>
      <c r="Q749" s="8"/>
      <c r="R749" s="8"/>
      <c r="S749" s="8"/>
      <c r="T749" s="8"/>
      <c r="U749" s="8"/>
      <c r="V749" s="8"/>
      <c r="W749" s="8"/>
      <c r="X749" s="8"/>
      <c r="Y749" s="8"/>
      <c r="Z749" s="8"/>
      <c r="AA749" s="8"/>
    </row>
    <row r="750" spans="1:27" x14ac:dyDescent="0.2">
      <c r="A750" s="8"/>
      <c r="B750" s="8"/>
      <c r="C750" s="8"/>
      <c r="D750" s="8"/>
      <c r="E750" s="8"/>
      <c r="F750" s="8"/>
      <c r="G750" s="8"/>
      <c r="H750" s="8"/>
      <c r="I750" s="8"/>
      <c r="J750" s="8"/>
      <c r="K750" s="8"/>
      <c r="L750" s="8"/>
      <c r="M750" s="8"/>
      <c r="N750" s="8"/>
      <c r="O750" s="8"/>
      <c r="P750" s="8"/>
      <c r="Q750" s="8"/>
      <c r="R750" s="8"/>
      <c r="S750" s="8"/>
      <c r="T750" s="8"/>
      <c r="U750" s="8"/>
      <c r="V750" s="8"/>
      <c r="W750" s="8"/>
      <c r="X750" s="8"/>
      <c r="Y750" s="8"/>
      <c r="Z750" s="8"/>
      <c r="AA750" s="8"/>
    </row>
    <row r="751" spans="1:27" x14ac:dyDescent="0.2">
      <c r="A751" s="8"/>
      <c r="B751" s="8"/>
      <c r="C751" s="8"/>
      <c r="D751" s="8"/>
      <c r="E751" s="8"/>
      <c r="F751" s="8"/>
      <c r="G751" s="8"/>
      <c r="H751" s="8"/>
      <c r="I751" s="8"/>
      <c r="J751" s="8"/>
      <c r="K751" s="8"/>
      <c r="L751" s="8"/>
      <c r="M751" s="8"/>
      <c r="N751" s="8"/>
      <c r="O751" s="8"/>
      <c r="P751" s="8"/>
      <c r="Q751" s="8"/>
      <c r="R751" s="8"/>
      <c r="S751" s="8"/>
      <c r="T751" s="8"/>
      <c r="U751" s="8"/>
      <c r="V751" s="8"/>
      <c r="W751" s="8"/>
      <c r="X751" s="8"/>
      <c r="Y751" s="8"/>
      <c r="Z751" s="8"/>
      <c r="AA751" s="8"/>
    </row>
    <row r="752" spans="1:27" x14ac:dyDescent="0.2">
      <c r="A752" s="8"/>
      <c r="B752" s="8"/>
      <c r="C752" s="8"/>
      <c r="D752" s="8"/>
      <c r="E752" s="8"/>
      <c r="F752" s="8"/>
      <c r="G752" s="8"/>
      <c r="H752" s="8"/>
      <c r="I752" s="8"/>
      <c r="J752" s="8"/>
      <c r="K752" s="8"/>
      <c r="L752" s="8"/>
      <c r="M752" s="8"/>
      <c r="N752" s="8"/>
      <c r="O752" s="8"/>
      <c r="P752" s="8"/>
      <c r="Q752" s="8"/>
      <c r="R752" s="8"/>
      <c r="S752" s="8"/>
      <c r="T752" s="8"/>
      <c r="U752" s="8"/>
      <c r="V752" s="8"/>
      <c r="W752" s="8"/>
      <c r="X752" s="8"/>
      <c r="Y752" s="8"/>
      <c r="Z752" s="8"/>
      <c r="AA752" s="8"/>
    </row>
    <row r="753" spans="1:27" x14ac:dyDescent="0.2">
      <c r="A753" s="8"/>
      <c r="B753" s="8"/>
      <c r="C753" s="8"/>
      <c r="D753" s="8"/>
      <c r="E753" s="8"/>
      <c r="F753" s="8"/>
      <c r="G753" s="8"/>
      <c r="H753" s="8"/>
      <c r="I753" s="8"/>
      <c r="J753" s="8"/>
      <c r="K753" s="8"/>
      <c r="L753" s="8"/>
      <c r="M753" s="8"/>
      <c r="N753" s="8"/>
      <c r="O753" s="8"/>
      <c r="P753" s="8"/>
      <c r="Q753" s="8"/>
      <c r="R753" s="8"/>
      <c r="S753" s="8"/>
      <c r="T753" s="8"/>
      <c r="U753" s="8"/>
      <c r="V753" s="8"/>
      <c r="W753" s="8"/>
      <c r="X753" s="8"/>
      <c r="Y753" s="8"/>
      <c r="Z753" s="8"/>
      <c r="AA753" s="8"/>
    </row>
    <row r="754" spans="1:27" x14ac:dyDescent="0.2">
      <c r="A754" s="8"/>
      <c r="B754" s="8"/>
      <c r="C754" s="8"/>
      <c r="D754" s="8"/>
      <c r="E754" s="8"/>
      <c r="F754" s="8"/>
      <c r="G754" s="8"/>
      <c r="H754" s="8"/>
      <c r="I754" s="8"/>
      <c r="J754" s="8"/>
      <c r="K754" s="8"/>
      <c r="L754" s="8"/>
      <c r="M754" s="8"/>
      <c r="N754" s="8"/>
      <c r="O754" s="8"/>
      <c r="P754" s="8"/>
      <c r="Q754" s="8"/>
      <c r="R754" s="8"/>
      <c r="S754" s="8"/>
      <c r="T754" s="8"/>
      <c r="U754" s="8"/>
      <c r="V754" s="8"/>
      <c r="W754" s="8"/>
      <c r="X754" s="8"/>
      <c r="Y754" s="8"/>
      <c r="Z754" s="8"/>
      <c r="AA754" s="8"/>
    </row>
    <row r="755" spans="1:27" x14ac:dyDescent="0.2">
      <c r="A755" s="8"/>
      <c r="B755" s="8"/>
      <c r="C755" s="8"/>
      <c r="D755" s="8"/>
      <c r="E755" s="8"/>
      <c r="F755" s="8"/>
      <c r="G755" s="8"/>
      <c r="H755" s="8"/>
      <c r="I755" s="8"/>
      <c r="J755" s="8"/>
      <c r="K755" s="8"/>
      <c r="L755" s="8"/>
      <c r="M755" s="8"/>
      <c r="N755" s="8"/>
      <c r="O755" s="8"/>
      <c r="P755" s="8"/>
      <c r="Q755" s="8"/>
      <c r="R755" s="8"/>
      <c r="S755" s="8"/>
      <c r="T755" s="8"/>
      <c r="U755" s="8"/>
      <c r="V755" s="8"/>
      <c r="W755" s="8"/>
      <c r="X755" s="8"/>
      <c r="Y755" s="8"/>
      <c r="Z755" s="8"/>
      <c r="AA755" s="8"/>
    </row>
    <row r="756" spans="1:27" x14ac:dyDescent="0.2">
      <c r="A756" s="8"/>
      <c r="B756" s="8"/>
      <c r="C756" s="8"/>
      <c r="D756" s="8"/>
      <c r="E756" s="8"/>
      <c r="F756" s="8"/>
      <c r="G756" s="8"/>
      <c r="H756" s="8"/>
      <c r="I756" s="8"/>
      <c r="J756" s="8"/>
      <c r="K756" s="8"/>
      <c r="L756" s="8"/>
      <c r="M756" s="8"/>
      <c r="N756" s="8"/>
      <c r="O756" s="8"/>
      <c r="P756" s="8"/>
      <c r="Q756" s="8"/>
      <c r="R756" s="8"/>
      <c r="S756" s="8"/>
      <c r="T756" s="8"/>
      <c r="U756" s="8"/>
      <c r="V756" s="8"/>
      <c r="W756" s="8"/>
      <c r="X756" s="8"/>
      <c r="Y756" s="8"/>
      <c r="Z756" s="8"/>
      <c r="AA756" s="8"/>
    </row>
    <row r="757" spans="1:27" x14ac:dyDescent="0.2">
      <c r="A757" s="8"/>
      <c r="B757" s="8"/>
      <c r="C757" s="8"/>
      <c r="D757" s="8"/>
      <c r="E757" s="8"/>
      <c r="F757" s="8"/>
      <c r="G757" s="8"/>
      <c r="H757" s="8"/>
      <c r="I757" s="8"/>
      <c r="J757" s="8"/>
      <c r="K757" s="8"/>
      <c r="L757" s="8"/>
      <c r="M757" s="8"/>
      <c r="N757" s="8"/>
      <c r="O757" s="8"/>
      <c r="P757" s="8"/>
      <c r="Q757" s="8"/>
      <c r="R757" s="8"/>
      <c r="S757" s="8"/>
      <c r="T757" s="8"/>
      <c r="U757" s="8"/>
      <c r="V757" s="8"/>
      <c r="W757" s="8"/>
      <c r="X757" s="8"/>
      <c r="Y757" s="8"/>
      <c r="Z757" s="8"/>
      <c r="AA757" s="8"/>
    </row>
    <row r="758" spans="1:27" x14ac:dyDescent="0.2">
      <c r="A758" s="8"/>
      <c r="B758" s="8"/>
      <c r="C758" s="8"/>
      <c r="D758" s="8"/>
      <c r="E758" s="8"/>
      <c r="F758" s="8"/>
      <c r="G758" s="8"/>
      <c r="H758" s="8"/>
      <c r="I758" s="8"/>
      <c r="J758" s="8"/>
      <c r="K758" s="8"/>
      <c r="L758" s="8"/>
      <c r="M758" s="8"/>
      <c r="N758" s="8"/>
      <c r="O758" s="8"/>
      <c r="P758" s="8"/>
      <c r="Q758" s="8"/>
      <c r="R758" s="8"/>
      <c r="S758" s="8"/>
      <c r="T758" s="8"/>
      <c r="U758" s="8"/>
      <c r="V758" s="8"/>
      <c r="W758" s="8"/>
      <c r="X758" s="8"/>
      <c r="Y758" s="8"/>
      <c r="Z758" s="8"/>
      <c r="AA758" s="8"/>
    </row>
    <row r="759" spans="1:27" x14ac:dyDescent="0.2">
      <c r="A759" s="8"/>
      <c r="B759" s="8"/>
      <c r="C759" s="8"/>
      <c r="D759" s="8"/>
      <c r="E759" s="8"/>
      <c r="F759" s="8"/>
      <c r="G759" s="8"/>
      <c r="H759" s="8"/>
      <c r="I759" s="8"/>
      <c r="J759" s="8"/>
      <c r="K759" s="8"/>
      <c r="L759" s="8"/>
      <c r="M759" s="8"/>
      <c r="N759" s="8"/>
      <c r="O759" s="8"/>
      <c r="P759" s="8"/>
      <c r="Q759" s="8"/>
      <c r="R759" s="8"/>
      <c r="S759" s="8"/>
      <c r="T759" s="8"/>
      <c r="U759" s="8"/>
      <c r="V759" s="8"/>
      <c r="W759" s="8"/>
      <c r="X759" s="8"/>
      <c r="Y759" s="8"/>
      <c r="Z759" s="8"/>
      <c r="AA759" s="8"/>
    </row>
    <row r="760" spans="1:27" x14ac:dyDescent="0.2">
      <c r="A760" s="8"/>
      <c r="B760" s="8"/>
      <c r="C760" s="8"/>
      <c r="D760" s="8"/>
      <c r="E760" s="8"/>
      <c r="F760" s="8"/>
      <c r="G760" s="8"/>
      <c r="H760" s="8"/>
      <c r="I760" s="8"/>
      <c r="J760" s="8"/>
      <c r="K760" s="8"/>
      <c r="L760" s="8"/>
      <c r="M760" s="8"/>
      <c r="N760" s="8"/>
      <c r="O760" s="8"/>
      <c r="P760" s="8"/>
      <c r="Q760" s="8"/>
      <c r="R760" s="8"/>
      <c r="S760" s="8"/>
      <c r="T760" s="8"/>
      <c r="U760" s="8"/>
      <c r="V760" s="8"/>
      <c r="W760" s="8"/>
      <c r="X760" s="8"/>
      <c r="Y760" s="8"/>
      <c r="Z760" s="8"/>
      <c r="AA760" s="8"/>
    </row>
    <row r="761" spans="1:27" x14ac:dyDescent="0.2">
      <c r="A761" s="8"/>
      <c r="B761" s="8"/>
      <c r="C761" s="8"/>
      <c r="D761" s="8"/>
      <c r="E761" s="8"/>
      <c r="F761" s="8"/>
      <c r="G761" s="8"/>
      <c r="H761" s="8"/>
      <c r="I761" s="8"/>
      <c r="J761" s="8"/>
      <c r="K761" s="8"/>
      <c r="L761" s="8"/>
      <c r="M761" s="8"/>
      <c r="N761" s="8"/>
      <c r="O761" s="8"/>
      <c r="P761" s="8"/>
      <c r="Q761" s="8"/>
      <c r="R761" s="8"/>
      <c r="S761" s="8"/>
      <c r="T761" s="8"/>
      <c r="U761" s="8"/>
      <c r="V761" s="8"/>
      <c r="W761" s="8"/>
      <c r="X761" s="8"/>
      <c r="Y761" s="8"/>
      <c r="Z761" s="8"/>
      <c r="AA761" s="8"/>
    </row>
    <row r="762" spans="1:27" x14ac:dyDescent="0.2">
      <c r="A762" s="8"/>
      <c r="B762" s="8"/>
      <c r="C762" s="8"/>
      <c r="D762" s="8"/>
      <c r="E762" s="8"/>
      <c r="F762" s="8"/>
      <c r="G762" s="8"/>
      <c r="H762" s="8"/>
      <c r="I762" s="8"/>
      <c r="J762" s="8"/>
      <c r="K762" s="8"/>
      <c r="L762" s="8"/>
      <c r="M762" s="8"/>
      <c r="N762" s="8"/>
      <c r="O762" s="8"/>
      <c r="P762" s="8"/>
      <c r="Q762" s="8"/>
      <c r="R762" s="8"/>
      <c r="S762" s="8"/>
      <c r="T762" s="8"/>
      <c r="U762" s="8"/>
      <c r="V762" s="8"/>
      <c r="W762" s="8"/>
      <c r="X762" s="8"/>
      <c r="Y762" s="8"/>
      <c r="Z762" s="8"/>
      <c r="AA762" s="8"/>
    </row>
    <row r="763" spans="1:27" x14ac:dyDescent="0.2">
      <c r="A763" s="8"/>
      <c r="B763" s="8"/>
      <c r="C763" s="8"/>
      <c r="D763" s="8"/>
      <c r="E763" s="8"/>
      <c r="F763" s="8"/>
      <c r="G763" s="8"/>
      <c r="H763" s="8"/>
      <c r="I763" s="8"/>
      <c r="J763" s="8"/>
      <c r="K763" s="8"/>
      <c r="L763" s="8"/>
      <c r="M763" s="8"/>
      <c r="N763" s="8"/>
      <c r="O763" s="8"/>
      <c r="P763" s="8"/>
      <c r="Q763" s="8"/>
      <c r="R763" s="8"/>
      <c r="S763" s="8"/>
      <c r="T763" s="8"/>
      <c r="U763" s="8"/>
      <c r="V763" s="8"/>
      <c r="W763" s="8"/>
      <c r="X763" s="8"/>
      <c r="Y763" s="8"/>
      <c r="Z763" s="8"/>
      <c r="AA763" s="8"/>
    </row>
    <row r="764" spans="1:27" x14ac:dyDescent="0.2">
      <c r="A764" s="8"/>
      <c r="B764" s="8"/>
      <c r="C764" s="8"/>
      <c r="D764" s="8"/>
      <c r="E764" s="8"/>
      <c r="F764" s="8"/>
      <c r="G764" s="8"/>
      <c r="H764" s="8"/>
      <c r="I764" s="8"/>
      <c r="J764" s="8"/>
      <c r="K764" s="8"/>
      <c r="L764" s="8"/>
      <c r="M764" s="8"/>
      <c r="N764" s="8"/>
      <c r="O764" s="8"/>
      <c r="P764" s="8"/>
      <c r="Q764" s="8"/>
      <c r="R764" s="8"/>
      <c r="S764" s="8"/>
      <c r="T764" s="8"/>
      <c r="U764" s="8"/>
      <c r="V764" s="8"/>
      <c r="W764" s="8"/>
      <c r="X764" s="8"/>
      <c r="Y764" s="8"/>
      <c r="Z764" s="8"/>
      <c r="AA764" s="8"/>
    </row>
    <row r="765" spans="1:27" x14ac:dyDescent="0.2">
      <c r="A765" s="8"/>
      <c r="B765" s="8"/>
      <c r="C765" s="8"/>
      <c r="D765" s="8"/>
      <c r="E765" s="8"/>
      <c r="F765" s="8"/>
      <c r="G765" s="8"/>
      <c r="H765" s="8"/>
      <c r="I765" s="8"/>
      <c r="J765" s="8"/>
      <c r="K765" s="8"/>
      <c r="L765" s="8"/>
      <c r="M765" s="8"/>
      <c r="N765" s="8"/>
      <c r="O765" s="8"/>
      <c r="P765" s="8"/>
      <c r="Q765" s="8"/>
      <c r="R765" s="8"/>
      <c r="S765" s="8"/>
      <c r="T765" s="8"/>
      <c r="U765" s="8"/>
      <c r="V765" s="8"/>
      <c r="W765" s="8"/>
      <c r="X765" s="8"/>
      <c r="Y765" s="8"/>
      <c r="Z765" s="8"/>
      <c r="AA765" s="8"/>
    </row>
    <row r="766" spans="1:27" x14ac:dyDescent="0.2">
      <c r="A766" s="8"/>
      <c r="B766" s="8"/>
      <c r="C766" s="8"/>
      <c r="D766" s="8"/>
      <c r="E766" s="8"/>
      <c r="F766" s="8"/>
      <c r="G766" s="8"/>
      <c r="H766" s="8"/>
      <c r="I766" s="8"/>
      <c r="J766" s="8"/>
      <c r="K766" s="8"/>
      <c r="L766" s="8"/>
      <c r="M766" s="8"/>
      <c r="N766" s="8"/>
      <c r="O766" s="8"/>
      <c r="P766" s="8"/>
      <c r="Q766" s="8"/>
      <c r="R766" s="8"/>
      <c r="S766" s="8"/>
      <c r="T766" s="8"/>
      <c r="U766" s="8"/>
      <c r="V766" s="8"/>
      <c r="W766" s="8"/>
      <c r="X766" s="8"/>
      <c r="Y766" s="8"/>
      <c r="Z766" s="8"/>
      <c r="AA766" s="8"/>
    </row>
    <row r="767" spans="1:27" x14ac:dyDescent="0.2">
      <c r="A767" s="8"/>
      <c r="B767" s="8"/>
      <c r="C767" s="8"/>
      <c r="D767" s="8"/>
      <c r="E767" s="8"/>
      <c r="F767" s="8"/>
      <c r="G767" s="8"/>
      <c r="H767" s="8"/>
      <c r="I767" s="8"/>
      <c r="J767" s="8"/>
      <c r="K767" s="8"/>
      <c r="L767" s="8"/>
      <c r="M767" s="8"/>
      <c r="N767" s="8"/>
      <c r="O767" s="8"/>
      <c r="P767" s="8"/>
      <c r="Q767" s="8"/>
      <c r="R767" s="8"/>
      <c r="S767" s="8"/>
      <c r="T767" s="8"/>
      <c r="U767" s="8"/>
      <c r="V767" s="8"/>
      <c r="W767" s="8"/>
      <c r="X767" s="8"/>
      <c r="Y767" s="8"/>
      <c r="Z767" s="8"/>
      <c r="AA767" s="8"/>
    </row>
    <row r="768" spans="1:27" x14ac:dyDescent="0.2">
      <c r="A768" s="8"/>
      <c r="B768" s="8"/>
      <c r="C768" s="8"/>
      <c r="D768" s="8"/>
      <c r="E768" s="8"/>
      <c r="F768" s="8"/>
      <c r="G768" s="8"/>
      <c r="H768" s="8"/>
      <c r="I768" s="8"/>
      <c r="J768" s="8"/>
      <c r="K768" s="8"/>
      <c r="L768" s="8"/>
      <c r="M768" s="8"/>
      <c r="N768" s="8"/>
      <c r="O768" s="8"/>
      <c r="P768" s="8"/>
      <c r="Q768" s="8"/>
      <c r="R768" s="8"/>
      <c r="S768" s="8"/>
      <c r="T768" s="8"/>
      <c r="U768" s="8"/>
      <c r="V768" s="8"/>
      <c r="W768" s="8"/>
      <c r="X768" s="8"/>
      <c r="Y768" s="8"/>
      <c r="Z768" s="8"/>
      <c r="AA768" s="8"/>
    </row>
    <row r="769" spans="1:27" x14ac:dyDescent="0.2">
      <c r="A769" s="8"/>
      <c r="B769" s="8"/>
      <c r="C769" s="8"/>
      <c r="D769" s="8"/>
      <c r="E769" s="8"/>
      <c r="F769" s="8"/>
      <c r="G769" s="8"/>
      <c r="H769" s="8"/>
      <c r="I769" s="8"/>
      <c r="J769" s="8"/>
      <c r="K769" s="8"/>
      <c r="L769" s="8"/>
      <c r="M769" s="8"/>
      <c r="N769" s="8"/>
      <c r="O769" s="8"/>
      <c r="P769" s="8"/>
      <c r="Q769" s="8"/>
      <c r="R769" s="8"/>
      <c r="S769" s="8"/>
      <c r="T769" s="8"/>
      <c r="U769" s="8"/>
      <c r="V769" s="8"/>
      <c r="W769" s="8"/>
      <c r="X769" s="8"/>
      <c r="Y769" s="8"/>
      <c r="Z769" s="8"/>
      <c r="AA769" s="8"/>
    </row>
    <row r="770" spans="1:27" x14ac:dyDescent="0.2">
      <c r="A770" s="8"/>
      <c r="B770" s="8"/>
      <c r="C770" s="8"/>
      <c r="D770" s="8"/>
      <c r="E770" s="8"/>
      <c r="F770" s="8"/>
      <c r="G770" s="8"/>
      <c r="H770" s="8"/>
      <c r="I770" s="8"/>
      <c r="J770" s="8"/>
      <c r="K770" s="8"/>
      <c r="L770" s="8"/>
      <c r="M770" s="8"/>
      <c r="N770" s="8"/>
      <c r="O770" s="8"/>
      <c r="P770" s="8"/>
      <c r="Q770" s="8"/>
      <c r="R770" s="8"/>
      <c r="S770" s="8"/>
      <c r="T770" s="8"/>
      <c r="U770" s="8"/>
      <c r="V770" s="8"/>
      <c r="W770" s="8"/>
      <c r="X770" s="8"/>
      <c r="Y770" s="8"/>
      <c r="Z770" s="8"/>
      <c r="AA770" s="8"/>
    </row>
    <row r="771" spans="1:27" x14ac:dyDescent="0.2">
      <c r="A771" s="8"/>
      <c r="B771" s="8"/>
      <c r="C771" s="8"/>
      <c r="D771" s="8"/>
      <c r="E771" s="8"/>
      <c r="F771" s="8"/>
      <c r="G771" s="8"/>
      <c r="H771" s="8"/>
      <c r="I771" s="8"/>
      <c r="J771" s="8"/>
      <c r="K771" s="8"/>
      <c r="L771" s="8"/>
      <c r="M771" s="8"/>
      <c r="N771" s="8"/>
      <c r="O771" s="8"/>
      <c r="P771" s="8"/>
      <c r="Q771" s="8"/>
      <c r="R771" s="8"/>
      <c r="S771" s="8"/>
      <c r="T771" s="8"/>
      <c r="U771" s="8"/>
      <c r="V771" s="8"/>
      <c r="W771" s="8"/>
      <c r="X771" s="8"/>
      <c r="Y771" s="8"/>
      <c r="Z771" s="8"/>
      <c r="AA771" s="8"/>
    </row>
    <row r="772" spans="1:27" x14ac:dyDescent="0.2">
      <c r="A772" s="8"/>
      <c r="B772" s="8"/>
      <c r="C772" s="8"/>
      <c r="D772" s="8"/>
      <c r="E772" s="8"/>
      <c r="F772" s="8"/>
      <c r="G772" s="8"/>
      <c r="H772" s="8"/>
      <c r="I772" s="8"/>
      <c r="J772" s="8"/>
      <c r="K772" s="8"/>
      <c r="L772" s="8"/>
      <c r="M772" s="8"/>
      <c r="N772" s="8"/>
      <c r="O772" s="8"/>
      <c r="P772" s="8"/>
      <c r="Q772" s="8"/>
      <c r="R772" s="8"/>
      <c r="S772" s="8"/>
      <c r="T772" s="8"/>
      <c r="U772" s="8"/>
      <c r="V772" s="8"/>
      <c r="W772" s="8"/>
      <c r="X772" s="8"/>
      <c r="Y772" s="8"/>
      <c r="Z772" s="8"/>
      <c r="AA772" s="8"/>
    </row>
    <row r="773" spans="1:27" x14ac:dyDescent="0.2">
      <c r="A773" s="8"/>
      <c r="B773" s="8"/>
      <c r="C773" s="8"/>
      <c r="D773" s="8"/>
      <c r="E773" s="8"/>
      <c r="F773" s="8"/>
      <c r="G773" s="8"/>
      <c r="H773" s="8"/>
      <c r="I773" s="8"/>
      <c r="J773" s="8"/>
      <c r="K773" s="8"/>
      <c r="L773" s="8"/>
      <c r="M773" s="8"/>
      <c r="N773" s="8"/>
      <c r="O773" s="8"/>
      <c r="P773" s="8"/>
      <c r="Q773" s="8"/>
      <c r="R773" s="8"/>
      <c r="S773" s="8"/>
      <c r="T773" s="8"/>
      <c r="U773" s="8"/>
      <c r="V773" s="8"/>
      <c r="W773" s="8"/>
      <c r="X773" s="8"/>
      <c r="Y773" s="8"/>
      <c r="Z773" s="8"/>
      <c r="AA773" s="8"/>
    </row>
    <row r="774" spans="1:27" x14ac:dyDescent="0.2">
      <c r="A774" s="8"/>
      <c r="B774" s="8"/>
      <c r="C774" s="8"/>
      <c r="D774" s="8"/>
      <c r="E774" s="8"/>
      <c r="F774" s="8"/>
      <c r="G774" s="8"/>
      <c r="H774" s="8"/>
      <c r="I774" s="8"/>
      <c r="J774" s="8"/>
      <c r="K774" s="8"/>
      <c r="L774" s="8"/>
      <c r="M774" s="8"/>
      <c r="N774" s="8"/>
      <c r="O774" s="8"/>
      <c r="P774" s="8"/>
      <c r="Q774" s="8"/>
      <c r="R774" s="8"/>
      <c r="S774" s="8"/>
      <c r="T774" s="8"/>
      <c r="U774" s="8"/>
      <c r="V774" s="8"/>
      <c r="W774" s="8"/>
      <c r="X774" s="8"/>
      <c r="Y774" s="8"/>
      <c r="Z774" s="8"/>
      <c r="AA774" s="8"/>
    </row>
    <row r="775" spans="1:27" x14ac:dyDescent="0.2">
      <c r="A775" s="8"/>
      <c r="B775" s="8"/>
      <c r="C775" s="8"/>
      <c r="D775" s="8"/>
      <c r="E775" s="8"/>
      <c r="F775" s="8"/>
      <c r="G775" s="8"/>
      <c r="H775" s="8"/>
      <c r="I775" s="8"/>
      <c r="J775" s="8"/>
      <c r="K775" s="8"/>
      <c r="L775" s="8"/>
      <c r="M775" s="8"/>
      <c r="N775" s="8"/>
      <c r="O775" s="8"/>
      <c r="P775" s="8"/>
      <c r="Q775" s="8"/>
      <c r="R775" s="8"/>
      <c r="S775" s="8"/>
      <c r="T775" s="8"/>
      <c r="U775" s="8"/>
      <c r="V775" s="8"/>
      <c r="W775" s="8"/>
      <c r="X775" s="8"/>
      <c r="Y775" s="8"/>
      <c r="Z775" s="8"/>
      <c r="AA775" s="8"/>
    </row>
    <row r="776" spans="1:27" x14ac:dyDescent="0.2">
      <c r="A776" s="8"/>
      <c r="B776" s="8"/>
      <c r="C776" s="8"/>
      <c r="D776" s="8"/>
      <c r="E776" s="8"/>
      <c r="F776" s="8"/>
      <c r="G776" s="8"/>
      <c r="H776" s="8"/>
      <c r="I776" s="8"/>
      <c r="J776" s="8"/>
      <c r="K776" s="8"/>
      <c r="L776" s="8"/>
      <c r="M776" s="8"/>
      <c r="N776" s="8"/>
      <c r="O776" s="8"/>
      <c r="P776" s="8"/>
      <c r="Q776" s="8"/>
      <c r="R776" s="8"/>
      <c r="S776" s="8"/>
      <c r="T776" s="8"/>
      <c r="U776" s="8"/>
      <c r="V776" s="8"/>
      <c r="W776" s="8"/>
      <c r="X776" s="8"/>
      <c r="Y776" s="8"/>
      <c r="Z776" s="8"/>
      <c r="AA776" s="8"/>
    </row>
    <row r="777" spans="1:27" x14ac:dyDescent="0.2">
      <c r="A777" s="8"/>
      <c r="B777" s="8"/>
      <c r="C777" s="8"/>
      <c r="D777" s="8"/>
      <c r="E777" s="8"/>
      <c r="F777" s="8"/>
      <c r="G777" s="8"/>
      <c r="H777" s="8"/>
      <c r="I777" s="8"/>
      <c r="J777" s="8"/>
      <c r="K777" s="8"/>
      <c r="L777" s="8"/>
      <c r="M777" s="8"/>
      <c r="N777" s="8"/>
      <c r="O777" s="8"/>
      <c r="P777" s="8"/>
      <c r="Q777" s="8"/>
      <c r="R777" s="8"/>
      <c r="S777" s="8"/>
      <c r="T777" s="8"/>
      <c r="U777" s="8"/>
      <c r="V777" s="8"/>
      <c r="W777" s="8"/>
      <c r="X777" s="8"/>
      <c r="Y777" s="8"/>
      <c r="Z777" s="8"/>
    </row>
    <row r="778" spans="1:27" x14ac:dyDescent="0.2">
      <c r="A778" s="8"/>
      <c r="B778" s="8"/>
      <c r="C778" s="8"/>
      <c r="D778" s="8"/>
      <c r="E778" s="8"/>
      <c r="F778" s="8"/>
      <c r="G778" s="8"/>
      <c r="H778" s="8"/>
      <c r="I778" s="8"/>
      <c r="J778" s="8"/>
      <c r="K778" s="8"/>
      <c r="L778" s="8"/>
      <c r="M778" s="8"/>
      <c r="N778" s="8"/>
      <c r="O778" s="8"/>
      <c r="P778" s="8"/>
      <c r="Q778" s="8"/>
      <c r="R778" s="8"/>
      <c r="S778" s="8"/>
      <c r="T778" s="8"/>
      <c r="U778" s="8"/>
      <c r="V778" s="8"/>
      <c r="W778" s="8"/>
      <c r="X778" s="8"/>
      <c r="Y778" s="8"/>
      <c r="Z778" s="8"/>
    </row>
    <row r="779" spans="1:27" x14ac:dyDescent="0.2">
      <c r="A779" s="8"/>
      <c r="B779" s="8"/>
      <c r="C779" s="8"/>
      <c r="D779" s="8"/>
      <c r="E779" s="8"/>
      <c r="F779" s="8"/>
      <c r="G779" s="8"/>
      <c r="H779" s="8"/>
      <c r="I779" s="8"/>
      <c r="J779" s="8"/>
      <c r="K779" s="8"/>
      <c r="L779" s="8"/>
      <c r="M779" s="8"/>
      <c r="N779" s="8"/>
      <c r="O779" s="8"/>
      <c r="P779" s="8"/>
      <c r="Q779" s="8"/>
      <c r="R779" s="8"/>
      <c r="S779" s="8"/>
      <c r="T779" s="8"/>
      <c r="U779" s="8"/>
      <c r="V779" s="8"/>
      <c r="W779" s="8"/>
      <c r="X779" s="8"/>
      <c r="Y779" s="8"/>
      <c r="Z779" s="8"/>
    </row>
    <row r="780" spans="1:27" x14ac:dyDescent="0.2">
      <c r="A780" s="8"/>
      <c r="B780" s="8"/>
      <c r="C780" s="8"/>
      <c r="D780" s="8"/>
      <c r="E780" s="8"/>
      <c r="F780" s="8"/>
      <c r="G780" s="8"/>
      <c r="H780" s="8"/>
      <c r="I780" s="8"/>
      <c r="J780" s="8"/>
      <c r="K780" s="8"/>
      <c r="L780" s="8"/>
      <c r="M780" s="8"/>
      <c r="N780" s="8"/>
      <c r="O780" s="8"/>
      <c r="P780" s="8"/>
      <c r="Q780" s="8"/>
      <c r="R780" s="8"/>
      <c r="S780" s="8"/>
      <c r="T780" s="8"/>
      <c r="U780" s="8"/>
      <c r="V780" s="8"/>
      <c r="W780" s="8"/>
      <c r="X780" s="8"/>
      <c r="Y780" s="8"/>
      <c r="Z780" s="8"/>
    </row>
    <row r="781" spans="1:27" x14ac:dyDescent="0.2">
      <c r="A781" s="8"/>
      <c r="B781" s="8"/>
      <c r="C781" s="8"/>
      <c r="D781" s="8"/>
      <c r="E781" s="8"/>
      <c r="F781" s="8"/>
      <c r="G781" s="8"/>
      <c r="H781" s="8"/>
      <c r="I781" s="8"/>
      <c r="J781" s="8"/>
      <c r="K781" s="8"/>
      <c r="L781" s="8"/>
      <c r="M781" s="8"/>
      <c r="N781" s="8"/>
      <c r="O781" s="8"/>
      <c r="P781" s="8"/>
      <c r="Q781" s="8"/>
      <c r="R781" s="8"/>
      <c r="S781" s="8"/>
      <c r="T781" s="8"/>
      <c r="U781" s="8"/>
      <c r="V781" s="8"/>
      <c r="W781" s="8"/>
      <c r="X781" s="8"/>
      <c r="Y781" s="8"/>
      <c r="Z781" s="8"/>
    </row>
    <row r="782" spans="1:27" x14ac:dyDescent="0.2">
      <c r="A782" s="8"/>
      <c r="B782" s="8"/>
      <c r="C782" s="8"/>
      <c r="D782" s="8"/>
      <c r="E782" s="8"/>
      <c r="F782" s="8"/>
      <c r="G782" s="8"/>
      <c r="H782" s="8"/>
      <c r="I782" s="8"/>
      <c r="J782" s="8"/>
      <c r="K782" s="8"/>
      <c r="L782" s="8"/>
      <c r="M782" s="8"/>
      <c r="N782" s="8"/>
      <c r="O782" s="8"/>
      <c r="P782" s="8"/>
      <c r="Q782" s="8"/>
      <c r="R782" s="8"/>
      <c r="S782" s="8"/>
      <c r="T782" s="8"/>
      <c r="U782" s="8"/>
      <c r="V782" s="8"/>
      <c r="W782" s="8"/>
      <c r="X782" s="8"/>
      <c r="Y782" s="8"/>
      <c r="Z782" s="8"/>
    </row>
    <row r="783" spans="1:27" x14ac:dyDescent="0.2">
      <c r="A783" s="8"/>
      <c r="B783" s="8"/>
      <c r="C783" s="8"/>
      <c r="D783" s="8"/>
      <c r="E783" s="8"/>
      <c r="F783" s="8"/>
      <c r="G783" s="8"/>
      <c r="H783" s="8"/>
      <c r="I783" s="8"/>
      <c r="J783" s="8"/>
      <c r="K783" s="8"/>
      <c r="L783" s="8"/>
      <c r="M783" s="8"/>
      <c r="N783" s="8"/>
      <c r="O783" s="8"/>
      <c r="P783" s="8"/>
      <c r="Q783" s="8"/>
      <c r="R783" s="8"/>
      <c r="S783" s="8"/>
      <c r="T783" s="8"/>
      <c r="U783" s="8"/>
      <c r="V783" s="8"/>
      <c r="W783" s="8"/>
      <c r="X783" s="8"/>
      <c r="Y783" s="8"/>
      <c r="Z783" s="8"/>
    </row>
    <row r="784" spans="1:27" x14ac:dyDescent="0.2">
      <c r="A784" s="8"/>
      <c r="B784" s="8"/>
      <c r="C784" s="8"/>
      <c r="D784" s="8"/>
      <c r="E784" s="8"/>
      <c r="F784" s="8"/>
      <c r="G784" s="8"/>
      <c r="H784" s="8"/>
      <c r="I784" s="8"/>
      <c r="J784" s="8"/>
      <c r="K784" s="8"/>
      <c r="L784" s="8"/>
      <c r="M784" s="8"/>
      <c r="N784" s="8"/>
      <c r="O784" s="8"/>
      <c r="P784" s="8"/>
      <c r="Q784" s="8"/>
      <c r="R784" s="8"/>
      <c r="S784" s="8"/>
      <c r="T784" s="8"/>
      <c r="U784" s="8"/>
      <c r="V784" s="8"/>
      <c r="W784" s="8"/>
      <c r="X784" s="8"/>
      <c r="Y784" s="8"/>
      <c r="Z784" s="8"/>
    </row>
    <row r="785" spans="1:26" x14ac:dyDescent="0.2">
      <c r="A785" s="8"/>
      <c r="B785" s="8"/>
      <c r="C785" s="8"/>
      <c r="D785" s="8"/>
      <c r="E785" s="8"/>
      <c r="F785" s="8"/>
      <c r="G785" s="8"/>
      <c r="H785" s="8"/>
      <c r="I785" s="8"/>
      <c r="J785" s="8"/>
      <c r="K785" s="8"/>
      <c r="L785" s="8"/>
      <c r="M785" s="8"/>
      <c r="N785" s="8"/>
      <c r="O785" s="8"/>
      <c r="P785" s="8"/>
      <c r="Q785" s="8"/>
      <c r="R785" s="8"/>
      <c r="S785" s="8"/>
      <c r="T785" s="8"/>
      <c r="U785" s="8"/>
      <c r="V785" s="8"/>
      <c r="W785" s="8"/>
      <c r="X785" s="8"/>
      <c r="Y785" s="8"/>
      <c r="Z785" s="8"/>
    </row>
    <row r="786" spans="1:26" x14ac:dyDescent="0.2">
      <c r="A786" s="8"/>
      <c r="B786" s="8"/>
      <c r="C786" s="8"/>
      <c r="D786" s="8"/>
      <c r="E786" s="8"/>
      <c r="F786" s="8"/>
      <c r="G786" s="8"/>
      <c r="H786" s="8"/>
      <c r="I786" s="8"/>
      <c r="J786" s="8"/>
      <c r="K786" s="8"/>
      <c r="L786" s="8"/>
      <c r="M786" s="8"/>
      <c r="N786" s="8"/>
      <c r="O786" s="8"/>
      <c r="P786" s="8"/>
      <c r="Q786" s="8"/>
      <c r="R786" s="8"/>
      <c r="S786" s="8"/>
      <c r="T786" s="8"/>
      <c r="U786" s="8"/>
      <c r="V786" s="8"/>
      <c r="W786" s="8"/>
      <c r="X786" s="8"/>
      <c r="Y786" s="8"/>
      <c r="Z786" s="8"/>
    </row>
    <row r="787" spans="1:26" x14ac:dyDescent="0.2">
      <c r="A787" s="8"/>
      <c r="B787" s="8"/>
      <c r="C787" s="8"/>
      <c r="D787" s="8"/>
      <c r="E787" s="8"/>
      <c r="F787" s="8"/>
      <c r="G787" s="8"/>
      <c r="H787" s="8"/>
      <c r="I787" s="8"/>
      <c r="J787" s="8"/>
      <c r="K787" s="8"/>
      <c r="L787" s="8"/>
      <c r="M787" s="8"/>
      <c r="N787" s="8"/>
      <c r="O787" s="8"/>
      <c r="P787" s="8"/>
      <c r="Q787" s="8"/>
      <c r="R787" s="8"/>
      <c r="S787" s="8"/>
      <c r="T787" s="8"/>
      <c r="U787" s="8"/>
      <c r="V787" s="8"/>
      <c r="W787" s="8"/>
      <c r="X787" s="8"/>
      <c r="Y787" s="8"/>
      <c r="Z787" s="8"/>
    </row>
    <row r="788" spans="1:26" x14ac:dyDescent="0.2">
      <c r="A788" s="8"/>
      <c r="B788" s="8"/>
      <c r="C788" s="8"/>
      <c r="D788" s="8"/>
      <c r="E788" s="8"/>
      <c r="F788" s="8"/>
      <c r="G788" s="8"/>
      <c r="H788" s="8"/>
      <c r="I788" s="8"/>
      <c r="J788" s="8"/>
      <c r="K788" s="8"/>
      <c r="L788" s="8"/>
      <c r="M788" s="8"/>
      <c r="N788" s="8"/>
      <c r="O788" s="8"/>
      <c r="P788" s="8"/>
      <c r="Q788" s="8"/>
      <c r="R788" s="8"/>
      <c r="S788" s="8"/>
      <c r="T788" s="8"/>
      <c r="U788" s="8"/>
      <c r="V788" s="8"/>
      <c r="W788" s="8"/>
      <c r="X788" s="8"/>
      <c r="Y788" s="8"/>
      <c r="Z788" s="8"/>
    </row>
    <row r="789" spans="1:26" x14ac:dyDescent="0.2">
      <c r="A789" s="8"/>
      <c r="B789" s="8"/>
      <c r="C789" s="8"/>
      <c r="D789" s="8"/>
      <c r="E789" s="8"/>
      <c r="F789" s="8"/>
      <c r="G789" s="8"/>
      <c r="H789" s="8"/>
      <c r="I789" s="8"/>
      <c r="J789" s="8"/>
      <c r="K789" s="8"/>
      <c r="L789" s="8"/>
      <c r="M789" s="8"/>
      <c r="N789" s="8"/>
      <c r="O789" s="8"/>
      <c r="P789" s="8"/>
      <c r="Q789" s="8"/>
      <c r="R789" s="8"/>
      <c r="S789" s="8"/>
      <c r="T789" s="8"/>
      <c r="U789" s="8"/>
      <c r="V789" s="8"/>
      <c r="W789" s="8"/>
      <c r="X789" s="8"/>
      <c r="Y789" s="8"/>
      <c r="Z789" s="8"/>
    </row>
    <row r="790" spans="1:26" x14ac:dyDescent="0.2">
      <c r="A790" s="8"/>
      <c r="B790" s="8"/>
      <c r="C790" s="8"/>
      <c r="D790" s="8"/>
      <c r="E790" s="8"/>
      <c r="F790" s="8"/>
      <c r="G790" s="8"/>
      <c r="H790" s="8"/>
      <c r="I790" s="8"/>
      <c r="J790" s="8"/>
      <c r="K790" s="8"/>
      <c r="L790" s="8"/>
      <c r="M790" s="8"/>
      <c r="N790" s="8"/>
      <c r="O790" s="8"/>
      <c r="P790" s="8"/>
      <c r="Q790" s="8"/>
      <c r="R790" s="8"/>
      <c r="S790" s="8"/>
      <c r="T790" s="8"/>
      <c r="U790" s="8"/>
      <c r="V790" s="8"/>
      <c r="W790" s="8"/>
      <c r="X790" s="8"/>
      <c r="Y790" s="8"/>
      <c r="Z790" s="8"/>
    </row>
    <row r="791" spans="1:26" x14ac:dyDescent="0.2">
      <c r="A791" s="8"/>
      <c r="B791" s="8"/>
      <c r="C791" s="8"/>
      <c r="D791" s="8"/>
      <c r="E791" s="8"/>
      <c r="F791" s="8"/>
      <c r="G791" s="8"/>
      <c r="H791" s="8"/>
      <c r="I791" s="8"/>
      <c r="J791" s="8"/>
      <c r="K791" s="8"/>
      <c r="L791" s="8"/>
      <c r="M791" s="8"/>
      <c r="N791" s="8"/>
      <c r="O791" s="8"/>
      <c r="P791" s="8"/>
      <c r="Q791" s="8"/>
      <c r="R791" s="8"/>
      <c r="S791" s="8"/>
      <c r="T791" s="8"/>
      <c r="U791" s="8"/>
      <c r="V791" s="8"/>
      <c r="W791" s="8"/>
      <c r="X791" s="8"/>
      <c r="Y791" s="8"/>
      <c r="Z791" s="8"/>
    </row>
    <row r="792" spans="1:26" x14ac:dyDescent="0.2">
      <c r="A792" s="8"/>
      <c r="B792" s="8"/>
      <c r="C792" s="8"/>
      <c r="D792" s="8"/>
      <c r="E792" s="8"/>
      <c r="F792" s="8"/>
      <c r="G792" s="8"/>
      <c r="H792" s="8"/>
      <c r="I792" s="8"/>
      <c r="J792" s="8"/>
      <c r="K792" s="8"/>
      <c r="L792" s="8"/>
      <c r="M792" s="8"/>
      <c r="N792" s="8"/>
      <c r="O792" s="8"/>
      <c r="P792" s="8"/>
      <c r="Q792" s="8"/>
      <c r="R792" s="8"/>
      <c r="S792" s="8"/>
      <c r="T792" s="8"/>
      <c r="U792" s="8"/>
      <c r="V792" s="8"/>
      <c r="W792" s="8"/>
      <c r="X792" s="8"/>
      <c r="Y792" s="8"/>
      <c r="Z792" s="8"/>
    </row>
  </sheetData>
  <mergeCells count="1">
    <mergeCell ref="A5:AA5"/>
  </mergeCells>
  <pageMargins left="0.7" right="0.7" top="0.75" bottom="0.75" header="0.3" footer="0.3"/>
  <pageSetup orientation="portrait" r:id="rId1"/>
  <ignoredErrors>
    <ignoredError sqref="B7:G33 D34:G189" unlockedFormula="1"/>
    <ignoredError sqref="Q7" formula="1"/>
  </ignoredError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AC0BD-9C80-4539-BC62-637E4C1B3A57}">
  <sheetPr codeName="Sheet4"/>
  <dimension ref="B1:O57"/>
  <sheetViews>
    <sheetView zoomScaleNormal="100" workbookViewId="0">
      <selection activeCell="C1" sqref="C1:L1"/>
    </sheetView>
  </sheetViews>
  <sheetFormatPr baseColWidth="10" defaultColWidth="8.83203125" defaultRowHeight="15" x14ac:dyDescent="0.2"/>
  <cols>
    <col min="3" max="3" width="16.5" customWidth="1"/>
    <col min="4" max="4" width="17" bestFit="1" customWidth="1"/>
    <col min="5" max="12" width="25.83203125" bestFit="1" customWidth="1"/>
  </cols>
  <sheetData>
    <row r="1" spans="2:15" x14ac:dyDescent="0.2">
      <c r="C1" s="148" t="s">
        <v>94</v>
      </c>
      <c r="D1" s="148"/>
      <c r="E1" s="148"/>
      <c r="F1" s="148"/>
      <c r="G1" s="148"/>
      <c r="H1" s="148"/>
      <c r="I1" s="148"/>
      <c r="J1" s="148"/>
      <c r="K1" s="148"/>
      <c r="L1" s="148"/>
    </row>
    <row r="2" spans="2:15" x14ac:dyDescent="0.2">
      <c r="B2" s="5"/>
      <c r="C2" s="6" t="s">
        <v>56</v>
      </c>
      <c r="D2" s="6"/>
      <c r="E2" s="145" t="s">
        <v>84</v>
      </c>
      <c r="F2" s="146"/>
      <c r="G2" s="146"/>
      <c r="H2" s="146"/>
      <c r="I2" s="146"/>
      <c r="J2" s="146"/>
      <c r="K2" s="146"/>
      <c r="L2" s="147"/>
    </row>
    <row r="3" spans="2:15" x14ac:dyDescent="0.2">
      <c r="B3" s="1" t="s">
        <v>7</v>
      </c>
      <c r="C3" s="7" t="s">
        <v>123</v>
      </c>
      <c r="D3" s="7" t="s">
        <v>115</v>
      </c>
      <c r="E3" s="3" t="s">
        <v>107</v>
      </c>
      <c r="F3" s="3" t="s">
        <v>108</v>
      </c>
      <c r="G3" s="3" t="s">
        <v>109</v>
      </c>
      <c r="H3" s="3" t="s">
        <v>110</v>
      </c>
      <c r="I3" s="3" t="s">
        <v>111</v>
      </c>
      <c r="J3" s="3" t="s">
        <v>112</v>
      </c>
      <c r="K3" s="3" t="s">
        <v>113</v>
      </c>
      <c r="L3" s="3" t="s">
        <v>114</v>
      </c>
    </row>
    <row r="4" spans="2:15" x14ac:dyDescent="0.2">
      <c r="B4" s="2" t="s">
        <v>60</v>
      </c>
      <c r="C4" s="50">
        <f>O4*CONVERT(1,"lbm","kg")</f>
        <v>369.05908155731998</v>
      </c>
      <c r="D4" s="51">
        <v>416.15395083008298</v>
      </c>
      <c r="E4" s="4"/>
      <c r="F4" s="4"/>
      <c r="G4" s="4"/>
      <c r="H4" s="4"/>
      <c r="I4" s="4"/>
      <c r="J4" s="4"/>
      <c r="K4" s="4"/>
      <c r="L4" s="4"/>
      <c r="O4" s="37">
        <v>813.63599999999997</v>
      </c>
    </row>
    <row r="5" spans="2:15" x14ac:dyDescent="0.2">
      <c r="B5" s="2" t="s">
        <v>8</v>
      </c>
      <c r="C5" s="50">
        <f t="shared" ref="C5:C55" si="0">O5*CONVERT(1,"lbm","kg")</f>
        <v>323.85406596312004</v>
      </c>
      <c r="D5" s="51">
        <v>358.96307720221398</v>
      </c>
      <c r="E5" s="4">
        <f>VLOOKUP($B5&amp;E$57,'NREL Mid-case w tax expiration'!$C$3:$D$386,2,FALSE)</f>
        <v>450.9</v>
      </c>
      <c r="F5" s="4">
        <f>VLOOKUP($B5&amp;F$57,'NREL Mid-case w tax expiration'!$C$3:$D$386,2,FALSE)</f>
        <v>422.8</v>
      </c>
      <c r="G5" s="4">
        <f>VLOOKUP($B5&amp;G$57,'NREL Mid-case w tax expiration'!$C$3:$D$386,2,FALSE)</f>
        <v>370.7</v>
      </c>
      <c r="H5" s="4">
        <f>VLOOKUP($B5&amp;H$57,'NREL Mid-case w tax expiration'!$C$3:$D$386,2,FALSE)</f>
        <v>360.1</v>
      </c>
      <c r="I5" s="4">
        <f>VLOOKUP($B5&amp;I$57,'NREL Mid-case w tax expiration'!$C$3:$D$386,2,FALSE)</f>
        <v>302.10000000000002</v>
      </c>
      <c r="J5" s="4">
        <f>VLOOKUP($B5&amp;J$57,'NREL Mid-case w tax expiration'!$C$3:$D$386,2,FALSE)</f>
        <v>231.6</v>
      </c>
      <c r="K5" s="4">
        <f>VLOOKUP($B5&amp;K$57,'NREL Mid-case w tax expiration'!$C$3:$D$386,2,FALSE)</f>
        <v>211.6</v>
      </c>
      <c r="L5" s="4">
        <f>VLOOKUP($B5&amp;L$57,'NREL Mid-case w tax expiration'!$C$3:$D$386,2,FALSE)</f>
        <v>230.1</v>
      </c>
      <c r="O5" s="37">
        <v>713.976</v>
      </c>
    </row>
    <row r="6" spans="2:15" x14ac:dyDescent="0.2">
      <c r="B6" s="2" t="s">
        <v>9</v>
      </c>
      <c r="C6" s="50">
        <f t="shared" si="0"/>
        <v>452.86934376222001</v>
      </c>
      <c r="D6" s="51">
        <v>481.507302912093</v>
      </c>
      <c r="E6" s="4">
        <f>VLOOKUP($B6&amp;E$57,'NREL Mid-case w tax expiration'!$C$3:$D$386,2,FALSE)</f>
        <v>454.7</v>
      </c>
      <c r="F6" s="4">
        <f>VLOOKUP($B6&amp;F$57,'NREL Mid-case w tax expiration'!$C$3:$D$386,2,FALSE)</f>
        <v>379.6</v>
      </c>
      <c r="G6" s="4">
        <f>VLOOKUP($B6&amp;G$57,'NREL Mid-case w tax expiration'!$C$3:$D$386,2,FALSE)</f>
        <v>214.1</v>
      </c>
      <c r="H6" s="4">
        <f>VLOOKUP($B6&amp;H$57,'NREL Mid-case w tax expiration'!$C$3:$D$386,2,FALSE)</f>
        <v>125</v>
      </c>
      <c r="I6" s="4">
        <f>VLOOKUP($B6&amp;I$57,'NREL Mid-case w tax expiration'!$C$3:$D$386,2,FALSE)</f>
        <v>92.7</v>
      </c>
      <c r="J6" s="4">
        <f>VLOOKUP($B6&amp;J$57,'NREL Mid-case w tax expiration'!$C$3:$D$386,2,FALSE)</f>
        <v>67.599999999999994</v>
      </c>
      <c r="K6" s="4">
        <f>VLOOKUP($B6&amp;K$57,'NREL Mid-case w tax expiration'!$C$3:$D$386,2,FALSE)</f>
        <v>72.2</v>
      </c>
      <c r="L6" s="4">
        <f>VLOOKUP($B6&amp;L$57,'NREL Mid-case w tax expiration'!$C$3:$D$386,2,FALSE)</f>
        <v>164.7</v>
      </c>
      <c r="O6" s="37">
        <v>998.40599999999995</v>
      </c>
    </row>
    <row r="7" spans="2:15" x14ac:dyDescent="0.2">
      <c r="B7" s="2" t="s">
        <v>10</v>
      </c>
      <c r="C7" s="50">
        <f t="shared" si="0"/>
        <v>339.64180199334004</v>
      </c>
      <c r="D7" s="51">
        <v>322.92297922525597</v>
      </c>
      <c r="E7" s="4">
        <f>VLOOKUP($B7&amp;E$57,'NREL Mid-case w tax expiration'!$C$3:$D$386,2,FALSE)</f>
        <v>229.5</v>
      </c>
      <c r="F7" s="4">
        <f>VLOOKUP($B7&amp;F$57,'NREL Mid-case w tax expiration'!$C$3:$D$386,2,FALSE)</f>
        <v>199.9</v>
      </c>
      <c r="G7" s="4">
        <f>VLOOKUP($B7&amp;G$57,'NREL Mid-case w tax expiration'!$C$3:$D$386,2,FALSE)</f>
        <v>148.4</v>
      </c>
      <c r="H7" s="4">
        <f>VLOOKUP($B7&amp;H$57,'NREL Mid-case w tax expiration'!$C$3:$D$386,2,FALSE)</f>
        <v>136.80000000000001</v>
      </c>
      <c r="I7" s="4">
        <f>VLOOKUP($B7&amp;I$57,'NREL Mid-case w tax expiration'!$C$3:$D$386,2,FALSE)</f>
        <v>105.1</v>
      </c>
      <c r="J7" s="4">
        <f>VLOOKUP($B7&amp;J$57,'NREL Mid-case w tax expiration'!$C$3:$D$386,2,FALSE)</f>
        <v>69.3</v>
      </c>
      <c r="K7" s="4">
        <f>VLOOKUP($B7&amp;K$57,'NREL Mid-case w tax expiration'!$C$3:$D$386,2,FALSE)</f>
        <v>52.2</v>
      </c>
      <c r="L7" s="4">
        <f>VLOOKUP($B7&amp;L$57,'NREL Mid-case w tax expiration'!$C$3:$D$386,2,FALSE)</f>
        <v>75.8</v>
      </c>
      <c r="O7" s="37">
        <v>748.78200000000004</v>
      </c>
    </row>
    <row r="8" spans="2:15" x14ac:dyDescent="0.2">
      <c r="B8" s="2" t="s">
        <v>11</v>
      </c>
      <c r="C8" s="50">
        <f t="shared" si="0"/>
        <v>182.56412503945</v>
      </c>
      <c r="D8" s="51">
        <v>207.51383470924401</v>
      </c>
      <c r="E8" s="4">
        <f>VLOOKUP($B8&amp;E$57,'NREL Mid-case w tax expiration'!$C$3:$D$386,2,FALSE)</f>
        <v>143.9</v>
      </c>
      <c r="F8" s="4">
        <f>VLOOKUP($B8&amp;F$57,'NREL Mid-case w tax expiration'!$C$3:$D$386,2,FALSE)</f>
        <v>128.4</v>
      </c>
      <c r="G8" s="4">
        <f>VLOOKUP($B8&amp;G$57,'NREL Mid-case w tax expiration'!$C$3:$D$386,2,FALSE)</f>
        <v>87.6</v>
      </c>
      <c r="H8" s="4">
        <f>VLOOKUP($B8&amp;H$57,'NREL Mid-case w tax expiration'!$C$3:$D$386,2,FALSE)</f>
        <v>55.1</v>
      </c>
      <c r="I8" s="4">
        <f>VLOOKUP($B8&amp;I$57,'NREL Mid-case w tax expiration'!$C$3:$D$386,2,FALSE)</f>
        <v>33.1</v>
      </c>
      <c r="J8" s="4">
        <f>VLOOKUP($B8&amp;J$57,'NREL Mid-case w tax expiration'!$C$3:$D$386,2,FALSE)</f>
        <v>18.2</v>
      </c>
      <c r="K8" s="4">
        <f>VLOOKUP($B8&amp;K$57,'NREL Mid-case w tax expiration'!$C$3:$D$386,2,FALSE)</f>
        <v>13.1</v>
      </c>
      <c r="L8" s="4">
        <f>VLOOKUP($B8&amp;L$57,'NREL Mid-case w tax expiration'!$C$3:$D$386,2,FALSE)</f>
        <v>23.6</v>
      </c>
      <c r="O8" s="37">
        <v>402.48500000000001</v>
      </c>
    </row>
    <row r="9" spans="2:15" x14ac:dyDescent="0.2">
      <c r="B9" s="2" t="s">
        <v>12</v>
      </c>
      <c r="C9" s="50">
        <f t="shared" si="0"/>
        <v>494.58215169979002</v>
      </c>
      <c r="D9" s="51">
        <v>532.13644198494001</v>
      </c>
      <c r="E9" s="4">
        <f>VLOOKUP($B9&amp;E$57,'NREL Mid-case w tax expiration'!$C$3:$D$386,2,FALSE)</f>
        <v>497.8</v>
      </c>
      <c r="F9" s="4">
        <f>VLOOKUP($B9&amp;F$57,'NREL Mid-case w tax expiration'!$C$3:$D$386,2,FALSE)</f>
        <v>435</v>
      </c>
      <c r="G9" s="4">
        <f>VLOOKUP($B9&amp;G$57,'NREL Mid-case w tax expiration'!$C$3:$D$386,2,FALSE)</f>
        <v>147.69999999999999</v>
      </c>
      <c r="H9" s="4">
        <f>VLOOKUP($B9&amp;H$57,'NREL Mid-case w tax expiration'!$C$3:$D$386,2,FALSE)</f>
        <v>34.799999999999997</v>
      </c>
      <c r="I9" s="4">
        <f>VLOOKUP($B9&amp;I$57,'NREL Mid-case w tax expiration'!$C$3:$D$386,2,FALSE)</f>
        <v>26.6</v>
      </c>
      <c r="J9" s="4">
        <f>VLOOKUP($B9&amp;J$57,'NREL Mid-case w tax expiration'!$C$3:$D$386,2,FALSE)</f>
        <v>18.8</v>
      </c>
      <c r="K9" s="4">
        <f>VLOOKUP($B9&amp;K$57,'NREL Mid-case w tax expiration'!$C$3:$D$386,2,FALSE)</f>
        <v>7.2</v>
      </c>
      <c r="L9" s="4">
        <f>VLOOKUP($B9&amp;L$57,'NREL Mid-case w tax expiration'!$C$3:$D$386,2,FALSE)</f>
        <v>23.2</v>
      </c>
      <c r="O9" s="37">
        <v>1090.367</v>
      </c>
    </row>
    <row r="10" spans="2:15" x14ac:dyDescent="0.2">
      <c r="B10" s="2" t="s">
        <v>13</v>
      </c>
      <c r="C10" s="50">
        <f t="shared" si="0"/>
        <v>245.26465193692002</v>
      </c>
      <c r="D10" s="51">
        <v>237.36596207928901</v>
      </c>
      <c r="E10" s="4">
        <f>VLOOKUP($B10&amp;E$57,'NREL Mid-case w tax expiration'!$C$3:$D$386,2,FALSE)</f>
        <v>238.9</v>
      </c>
      <c r="F10" s="4">
        <f>VLOOKUP($B10&amp;F$57,'NREL Mid-case w tax expiration'!$C$3:$D$386,2,FALSE)</f>
        <v>235.1</v>
      </c>
      <c r="G10" s="4">
        <f>VLOOKUP($B10&amp;G$57,'NREL Mid-case w tax expiration'!$C$3:$D$386,2,FALSE)</f>
        <v>225.7</v>
      </c>
      <c r="H10" s="4">
        <f>VLOOKUP($B10&amp;H$57,'NREL Mid-case w tax expiration'!$C$3:$D$386,2,FALSE)</f>
        <v>211.4</v>
      </c>
      <c r="I10" s="4">
        <f>VLOOKUP($B10&amp;I$57,'NREL Mid-case w tax expiration'!$C$3:$D$386,2,FALSE)</f>
        <v>192.7</v>
      </c>
      <c r="J10" s="4">
        <f>VLOOKUP($B10&amp;J$57,'NREL Mid-case w tax expiration'!$C$3:$D$386,2,FALSE)</f>
        <v>191.1</v>
      </c>
      <c r="K10" s="4">
        <f>VLOOKUP($B10&amp;K$57,'NREL Mid-case w tax expiration'!$C$3:$D$386,2,FALSE)</f>
        <v>203.7</v>
      </c>
      <c r="L10" s="4">
        <f>VLOOKUP($B10&amp;L$57,'NREL Mid-case w tax expiration'!$C$3:$D$386,2,FALSE)</f>
        <v>218.4</v>
      </c>
      <c r="O10" s="37">
        <v>540.71600000000001</v>
      </c>
    </row>
    <row r="11" spans="2:15" x14ac:dyDescent="0.2">
      <c r="B11" s="2" t="s">
        <v>61</v>
      </c>
      <c r="C11" s="50">
        <f t="shared" si="0"/>
        <v>179.17397566607002</v>
      </c>
      <c r="D11" s="51">
        <v>251.69872085639099</v>
      </c>
      <c r="E11" s="4"/>
      <c r="F11" s="4"/>
      <c r="G11" s="4"/>
      <c r="H11" s="4"/>
      <c r="I11" s="4"/>
      <c r="J11" s="4"/>
      <c r="K11" s="4"/>
      <c r="L11" s="4"/>
      <c r="O11" s="37">
        <v>395.01100000000002</v>
      </c>
    </row>
    <row r="12" spans="2:15" x14ac:dyDescent="0.2">
      <c r="B12" s="2" t="s">
        <v>14</v>
      </c>
      <c r="C12" s="50">
        <f t="shared" si="0"/>
        <v>318.10296830389001</v>
      </c>
      <c r="D12" s="51">
        <v>408.59838519459299</v>
      </c>
      <c r="E12" s="4">
        <f>VLOOKUP($B12&amp;E$57,'NREL Mid-case w tax expiration'!$C$3:$D$386,2,FALSE)</f>
        <v>412.5</v>
      </c>
      <c r="F12" s="4">
        <f>VLOOKUP($B12&amp;F$57,'NREL Mid-case w tax expiration'!$C$3:$D$386,2,FALSE)</f>
        <v>403.1</v>
      </c>
      <c r="G12" s="4">
        <f>VLOOKUP($B12&amp;G$57,'NREL Mid-case w tax expiration'!$C$3:$D$386,2,FALSE)</f>
        <v>379.2</v>
      </c>
      <c r="H12" s="4">
        <f>VLOOKUP($B12&amp;H$57,'NREL Mid-case w tax expiration'!$C$3:$D$386,2,FALSE)</f>
        <v>357.8</v>
      </c>
      <c r="I12" s="4">
        <f>VLOOKUP($B12&amp;I$57,'NREL Mid-case w tax expiration'!$C$3:$D$386,2,FALSE)</f>
        <v>325.39999999999998</v>
      </c>
      <c r="J12" s="4">
        <f>VLOOKUP($B12&amp;J$57,'NREL Mid-case w tax expiration'!$C$3:$D$386,2,FALSE)</f>
        <v>276.2</v>
      </c>
      <c r="K12" s="4">
        <f>VLOOKUP($B12&amp;K$57,'NREL Mid-case w tax expiration'!$C$3:$D$386,2,FALSE)</f>
        <v>289.8</v>
      </c>
      <c r="L12" s="4">
        <f>VLOOKUP($B12&amp;L$57,'NREL Mid-case w tax expiration'!$C$3:$D$386,2,FALSE)</f>
        <v>395.8</v>
      </c>
      <c r="O12" s="37">
        <v>701.29700000000003</v>
      </c>
    </row>
    <row r="13" spans="2:15" x14ac:dyDescent="0.2">
      <c r="B13" s="2" t="s">
        <v>15</v>
      </c>
      <c r="C13" s="50">
        <f t="shared" si="0"/>
        <v>366.63871267100001</v>
      </c>
      <c r="D13" s="51">
        <v>371.29728748979397</v>
      </c>
      <c r="E13" s="4">
        <f>VLOOKUP($B13&amp;E$57,'NREL Mid-case w tax expiration'!$C$3:$D$386,2,FALSE)</f>
        <v>356.5</v>
      </c>
      <c r="F13" s="4">
        <f>VLOOKUP($B13&amp;F$57,'NREL Mid-case w tax expiration'!$C$3:$D$386,2,FALSE)</f>
        <v>282.39999999999998</v>
      </c>
      <c r="G13" s="4">
        <f>VLOOKUP($B13&amp;G$57,'NREL Mid-case w tax expiration'!$C$3:$D$386,2,FALSE)</f>
        <v>216.4</v>
      </c>
      <c r="H13" s="4">
        <f>VLOOKUP($B13&amp;H$57,'NREL Mid-case w tax expiration'!$C$3:$D$386,2,FALSE)</f>
        <v>183.2</v>
      </c>
      <c r="I13" s="4">
        <f>VLOOKUP($B13&amp;I$57,'NREL Mid-case w tax expiration'!$C$3:$D$386,2,FALSE)</f>
        <v>125.5</v>
      </c>
      <c r="J13" s="4">
        <f>VLOOKUP($B13&amp;J$57,'NREL Mid-case w tax expiration'!$C$3:$D$386,2,FALSE)</f>
        <v>113.1</v>
      </c>
      <c r="K13" s="4">
        <f>VLOOKUP($B13&amp;K$57,'NREL Mid-case w tax expiration'!$C$3:$D$386,2,FALSE)</f>
        <v>100.2</v>
      </c>
      <c r="L13" s="4">
        <f>VLOOKUP($B13&amp;L$57,'NREL Mid-case w tax expiration'!$C$3:$D$386,2,FALSE)</f>
        <v>127.6</v>
      </c>
      <c r="O13" s="37">
        <v>808.3</v>
      </c>
    </row>
    <row r="14" spans="2:15" x14ac:dyDescent="0.2">
      <c r="B14" s="2" t="s">
        <v>16</v>
      </c>
      <c r="C14" s="50">
        <f t="shared" si="0"/>
        <v>324.32943076688002</v>
      </c>
      <c r="D14" s="51">
        <v>336.20339290574202</v>
      </c>
      <c r="E14" s="4">
        <f>VLOOKUP($B14&amp;E$57,'NREL Mid-case w tax expiration'!$C$3:$D$386,2,FALSE)</f>
        <v>302.7</v>
      </c>
      <c r="F14" s="4">
        <f>VLOOKUP($B14&amp;F$57,'NREL Mid-case w tax expiration'!$C$3:$D$386,2,FALSE)</f>
        <v>266.7</v>
      </c>
      <c r="G14" s="4">
        <f>VLOOKUP($B14&amp;G$57,'NREL Mid-case w tax expiration'!$C$3:$D$386,2,FALSE)</f>
        <v>211.6</v>
      </c>
      <c r="H14" s="4">
        <f>VLOOKUP($B14&amp;H$57,'NREL Mid-case w tax expiration'!$C$3:$D$386,2,FALSE)</f>
        <v>188.7</v>
      </c>
      <c r="I14" s="4">
        <f>VLOOKUP($B14&amp;I$57,'NREL Mid-case w tax expiration'!$C$3:$D$386,2,FALSE)</f>
        <v>132.1</v>
      </c>
      <c r="J14" s="4">
        <f>VLOOKUP($B14&amp;J$57,'NREL Mid-case w tax expiration'!$C$3:$D$386,2,FALSE)</f>
        <v>87.8</v>
      </c>
      <c r="K14" s="4">
        <f>VLOOKUP($B14&amp;K$57,'NREL Mid-case w tax expiration'!$C$3:$D$386,2,FALSE)</f>
        <v>63.7</v>
      </c>
      <c r="L14" s="4">
        <f>VLOOKUP($B14&amp;L$57,'NREL Mid-case w tax expiration'!$C$3:$D$386,2,FALSE)</f>
        <v>96.2</v>
      </c>
      <c r="O14" s="37">
        <v>715.024</v>
      </c>
    </row>
    <row r="15" spans="2:15" x14ac:dyDescent="0.2">
      <c r="B15" s="2" t="s">
        <v>62</v>
      </c>
      <c r="C15" s="50">
        <f t="shared" si="0"/>
        <v>632.35811253307008</v>
      </c>
      <c r="D15" s="51">
        <v>663.86918261816197</v>
      </c>
      <c r="E15" s="4"/>
      <c r="F15" s="4"/>
      <c r="G15" s="4"/>
      <c r="H15" s="4"/>
      <c r="I15" s="4"/>
      <c r="J15" s="4"/>
      <c r="K15" s="4"/>
      <c r="L15" s="4"/>
      <c r="O15" s="37">
        <v>1394.1110000000001</v>
      </c>
    </row>
    <row r="16" spans="2:15" x14ac:dyDescent="0.2">
      <c r="B16" s="2" t="s">
        <v>17</v>
      </c>
      <c r="C16" s="50">
        <f t="shared" si="0"/>
        <v>287.59615986717006</v>
      </c>
      <c r="D16" s="51">
        <v>281.94094166742298</v>
      </c>
      <c r="E16" s="4">
        <f>VLOOKUP($B16&amp;E$57,'NREL Mid-case w tax expiration'!$C$3:$D$386,2,FALSE)</f>
        <v>432.1</v>
      </c>
      <c r="F16" s="4">
        <f>VLOOKUP($B16&amp;F$57,'NREL Mid-case w tax expiration'!$C$3:$D$386,2,FALSE)</f>
        <v>341.8</v>
      </c>
      <c r="G16" s="4">
        <f>VLOOKUP($B16&amp;G$57,'NREL Mid-case w tax expiration'!$C$3:$D$386,2,FALSE)</f>
        <v>164.9</v>
      </c>
      <c r="H16" s="4">
        <f>VLOOKUP($B16&amp;H$57,'NREL Mid-case w tax expiration'!$C$3:$D$386,2,FALSE)</f>
        <v>109.1</v>
      </c>
      <c r="I16" s="4">
        <f>VLOOKUP($B16&amp;I$57,'NREL Mid-case w tax expiration'!$C$3:$D$386,2,FALSE)</f>
        <v>95.3</v>
      </c>
      <c r="J16" s="4">
        <f>VLOOKUP($B16&amp;J$57,'NREL Mid-case w tax expiration'!$C$3:$D$386,2,FALSE)</f>
        <v>72.8</v>
      </c>
      <c r="K16" s="4">
        <f>VLOOKUP($B16&amp;K$57,'NREL Mid-case w tax expiration'!$C$3:$D$386,2,FALSE)</f>
        <v>62.2</v>
      </c>
      <c r="L16" s="4">
        <f>VLOOKUP($B16&amp;L$57,'NREL Mid-case w tax expiration'!$C$3:$D$386,2,FALSE)</f>
        <v>89.2</v>
      </c>
      <c r="O16" s="37">
        <v>634.04100000000005</v>
      </c>
    </row>
    <row r="17" spans="2:15" x14ac:dyDescent="0.2">
      <c r="B17" s="2" t="s">
        <v>18</v>
      </c>
      <c r="C17" s="50">
        <f t="shared" si="0"/>
        <v>142.36994435664002</v>
      </c>
      <c r="D17" s="51">
        <v>112.688923160664</v>
      </c>
      <c r="E17" s="4">
        <f>VLOOKUP($B17&amp;E$57,'NREL Mid-case w tax expiration'!$C$3:$D$386,2,FALSE)</f>
        <v>67.2</v>
      </c>
      <c r="F17" s="4">
        <f>VLOOKUP($B17&amp;F$57,'NREL Mid-case w tax expiration'!$C$3:$D$386,2,FALSE)</f>
        <v>59.5</v>
      </c>
      <c r="G17" s="4">
        <f>VLOOKUP($B17&amp;G$57,'NREL Mid-case w tax expiration'!$C$3:$D$386,2,FALSE)</f>
        <v>41.9</v>
      </c>
      <c r="H17" s="4">
        <f>VLOOKUP($B17&amp;H$57,'NREL Mid-case w tax expiration'!$C$3:$D$386,2,FALSE)</f>
        <v>33.5</v>
      </c>
      <c r="I17" s="4">
        <f>VLOOKUP($B17&amp;I$57,'NREL Mid-case w tax expiration'!$C$3:$D$386,2,FALSE)</f>
        <v>34.200000000000003</v>
      </c>
      <c r="J17" s="4">
        <f>VLOOKUP($B17&amp;J$57,'NREL Mid-case w tax expiration'!$C$3:$D$386,2,FALSE)</f>
        <v>63.8</v>
      </c>
      <c r="K17" s="4">
        <f>VLOOKUP($B17&amp;K$57,'NREL Mid-case w tax expiration'!$C$3:$D$386,2,FALSE)</f>
        <v>68.400000000000006</v>
      </c>
      <c r="L17" s="4">
        <f>VLOOKUP($B17&amp;L$57,'NREL Mid-case w tax expiration'!$C$3:$D$386,2,FALSE)</f>
        <v>126.8</v>
      </c>
      <c r="O17" s="37">
        <v>313.87200000000001</v>
      </c>
    </row>
    <row r="18" spans="2:15" x14ac:dyDescent="0.2">
      <c r="B18" s="2" t="s">
        <v>19</v>
      </c>
      <c r="C18" s="50">
        <f t="shared" si="0"/>
        <v>215.15292245447003</v>
      </c>
      <c r="D18" s="51">
        <v>268.70815567449898</v>
      </c>
      <c r="E18" s="4">
        <f>VLOOKUP($B18&amp;E$57,'NREL Mid-case w tax expiration'!$C$3:$D$386,2,FALSE)</f>
        <v>238.8</v>
      </c>
      <c r="F18" s="4">
        <f>VLOOKUP($B18&amp;F$57,'NREL Mid-case w tax expiration'!$C$3:$D$386,2,FALSE)</f>
        <v>182.9</v>
      </c>
      <c r="G18" s="4">
        <f>VLOOKUP($B18&amp;G$57,'NREL Mid-case w tax expiration'!$C$3:$D$386,2,FALSE)</f>
        <v>76.2</v>
      </c>
      <c r="H18" s="4">
        <f>VLOOKUP($B18&amp;H$57,'NREL Mid-case w tax expiration'!$C$3:$D$386,2,FALSE)</f>
        <v>44.7</v>
      </c>
      <c r="I18" s="4">
        <f>VLOOKUP($B18&amp;I$57,'NREL Mid-case w tax expiration'!$C$3:$D$386,2,FALSE)</f>
        <v>34.6</v>
      </c>
      <c r="J18" s="4">
        <f>VLOOKUP($B18&amp;J$57,'NREL Mid-case w tax expiration'!$C$3:$D$386,2,FALSE)</f>
        <v>29.1</v>
      </c>
      <c r="K18" s="4">
        <f>VLOOKUP($B18&amp;K$57,'NREL Mid-case w tax expiration'!$C$3:$D$386,2,FALSE)</f>
        <v>5.9</v>
      </c>
      <c r="L18" s="4">
        <f>VLOOKUP($B18&amp;L$57,'NREL Mid-case w tax expiration'!$C$3:$D$386,2,FALSE)</f>
        <v>7.7</v>
      </c>
      <c r="O18" s="37">
        <v>474.33100000000002</v>
      </c>
    </row>
    <row r="19" spans="2:15" x14ac:dyDescent="0.2">
      <c r="B19" s="2" t="s">
        <v>20</v>
      </c>
      <c r="C19" s="50">
        <f t="shared" si="0"/>
        <v>664.73372153419007</v>
      </c>
      <c r="D19" s="51">
        <v>715.14106867458895</v>
      </c>
      <c r="E19" s="4">
        <f>VLOOKUP($B19&amp;E$57,'NREL Mid-case w tax expiration'!$C$3:$D$386,2,FALSE)</f>
        <v>760.5</v>
      </c>
      <c r="F19" s="4">
        <f>VLOOKUP($B19&amp;F$57,'NREL Mid-case w tax expiration'!$C$3:$D$386,2,FALSE)</f>
        <v>699</v>
      </c>
      <c r="G19" s="4">
        <f>VLOOKUP($B19&amp;G$57,'NREL Mid-case w tax expiration'!$C$3:$D$386,2,FALSE)</f>
        <v>538.4</v>
      </c>
      <c r="H19" s="4">
        <f>VLOOKUP($B19&amp;H$57,'NREL Mid-case w tax expiration'!$C$3:$D$386,2,FALSE)</f>
        <v>444.5</v>
      </c>
      <c r="I19" s="4">
        <f>VLOOKUP($B19&amp;I$57,'NREL Mid-case w tax expiration'!$C$3:$D$386,2,FALSE)</f>
        <v>325.60000000000002</v>
      </c>
      <c r="J19" s="4">
        <f>VLOOKUP($B19&amp;J$57,'NREL Mid-case w tax expiration'!$C$3:$D$386,2,FALSE)</f>
        <v>287.3</v>
      </c>
      <c r="K19" s="4">
        <f>VLOOKUP($B19&amp;K$57,'NREL Mid-case w tax expiration'!$C$3:$D$386,2,FALSE)</f>
        <v>277.5</v>
      </c>
      <c r="L19" s="4">
        <f>VLOOKUP($B19&amp;L$57,'NREL Mid-case w tax expiration'!$C$3:$D$386,2,FALSE)</f>
        <v>369.5</v>
      </c>
      <c r="O19" s="37">
        <v>1465.4870000000001</v>
      </c>
    </row>
    <row r="20" spans="2:15" x14ac:dyDescent="0.2">
      <c r="B20" s="2" t="s">
        <v>21</v>
      </c>
      <c r="C20" s="50">
        <f t="shared" si="0"/>
        <v>332.57619364585003</v>
      </c>
      <c r="D20" s="51">
        <v>374.78136623423802</v>
      </c>
      <c r="E20" s="4">
        <f>VLOOKUP($B20&amp;E$57,'NREL Mid-case w tax expiration'!$C$3:$D$386,2,FALSE)</f>
        <v>291</v>
      </c>
      <c r="F20" s="4">
        <f>VLOOKUP($B20&amp;F$57,'NREL Mid-case w tax expiration'!$C$3:$D$386,2,FALSE)</f>
        <v>120.5</v>
      </c>
      <c r="G20" s="4">
        <f>VLOOKUP($B20&amp;G$57,'NREL Mid-case w tax expiration'!$C$3:$D$386,2,FALSE)</f>
        <v>58.4</v>
      </c>
      <c r="H20" s="4">
        <f>VLOOKUP($B20&amp;H$57,'NREL Mid-case w tax expiration'!$C$3:$D$386,2,FALSE)</f>
        <v>50</v>
      </c>
      <c r="I20" s="4">
        <f>VLOOKUP($B20&amp;I$57,'NREL Mid-case w tax expiration'!$C$3:$D$386,2,FALSE)</f>
        <v>37.4</v>
      </c>
      <c r="J20" s="4">
        <f>VLOOKUP($B20&amp;J$57,'NREL Mid-case w tax expiration'!$C$3:$D$386,2,FALSE)</f>
        <v>25.3</v>
      </c>
      <c r="K20" s="4">
        <f>VLOOKUP($B20&amp;K$57,'NREL Mid-case w tax expiration'!$C$3:$D$386,2,FALSE)</f>
        <v>13.7</v>
      </c>
      <c r="L20" s="4">
        <f>VLOOKUP($B20&amp;L$57,'NREL Mid-case w tax expiration'!$C$3:$D$386,2,FALSE)</f>
        <v>30.2</v>
      </c>
      <c r="O20" s="37">
        <v>733.20500000000004</v>
      </c>
    </row>
    <row r="21" spans="2:15" x14ac:dyDescent="0.2">
      <c r="B21" s="2" t="s">
        <v>22</v>
      </c>
      <c r="C21" s="50">
        <f t="shared" si="0"/>
        <v>792.40455154861002</v>
      </c>
      <c r="D21" s="51">
        <v>785.74571350811902</v>
      </c>
      <c r="E21" s="4">
        <f>VLOOKUP($B21&amp;E$57,'NREL Mid-case w tax expiration'!$C$3:$D$386,2,FALSE)</f>
        <v>944.6</v>
      </c>
      <c r="F21" s="4">
        <f>VLOOKUP($B21&amp;F$57,'NREL Mid-case w tax expiration'!$C$3:$D$386,2,FALSE)</f>
        <v>926.3</v>
      </c>
      <c r="G21" s="4">
        <f>VLOOKUP($B21&amp;G$57,'NREL Mid-case w tax expiration'!$C$3:$D$386,2,FALSE)</f>
        <v>831.4</v>
      </c>
      <c r="H21" s="4">
        <f>VLOOKUP($B21&amp;H$57,'NREL Mid-case w tax expiration'!$C$3:$D$386,2,FALSE)</f>
        <v>761.3</v>
      </c>
      <c r="I21" s="4">
        <f>VLOOKUP($B21&amp;I$57,'NREL Mid-case w tax expiration'!$C$3:$D$386,2,FALSE)</f>
        <v>605.5</v>
      </c>
      <c r="J21" s="4">
        <f>VLOOKUP($B21&amp;J$57,'NREL Mid-case w tax expiration'!$C$3:$D$386,2,FALSE)</f>
        <v>377.9</v>
      </c>
      <c r="K21" s="4">
        <f>VLOOKUP($B21&amp;K$57,'NREL Mid-case w tax expiration'!$C$3:$D$386,2,FALSE)</f>
        <v>388.7</v>
      </c>
      <c r="L21" s="4">
        <f>VLOOKUP($B21&amp;L$57,'NREL Mid-case w tax expiration'!$C$3:$D$386,2,FALSE)</f>
        <v>399.7</v>
      </c>
      <c r="O21" s="37">
        <v>1746.953</v>
      </c>
    </row>
    <row r="22" spans="2:15" x14ac:dyDescent="0.2">
      <c r="B22" s="2" t="s">
        <v>23</v>
      </c>
      <c r="C22" s="50">
        <f t="shared" si="0"/>
        <v>358.56023256130004</v>
      </c>
      <c r="D22" s="51">
        <v>372.246666061871</v>
      </c>
      <c r="E22" s="4">
        <f>VLOOKUP($B22&amp;E$57,'NREL Mid-case w tax expiration'!$C$3:$D$386,2,FALSE)</f>
        <v>461.3</v>
      </c>
      <c r="F22" s="4">
        <f>VLOOKUP($B22&amp;F$57,'NREL Mid-case w tax expiration'!$C$3:$D$386,2,FALSE)</f>
        <v>429.4</v>
      </c>
      <c r="G22" s="4">
        <f>VLOOKUP($B22&amp;G$57,'NREL Mid-case w tax expiration'!$C$3:$D$386,2,FALSE)</f>
        <v>359.7</v>
      </c>
      <c r="H22" s="4">
        <f>VLOOKUP($B22&amp;H$57,'NREL Mid-case w tax expiration'!$C$3:$D$386,2,FALSE)</f>
        <v>285.89999999999998</v>
      </c>
      <c r="I22" s="4">
        <f>VLOOKUP($B22&amp;I$57,'NREL Mid-case w tax expiration'!$C$3:$D$386,2,FALSE)</f>
        <v>186.2</v>
      </c>
      <c r="J22" s="4">
        <f>VLOOKUP($B22&amp;J$57,'NREL Mid-case w tax expiration'!$C$3:$D$386,2,FALSE)</f>
        <v>142</v>
      </c>
      <c r="K22" s="4">
        <f>VLOOKUP($B22&amp;K$57,'NREL Mid-case w tax expiration'!$C$3:$D$386,2,FALSE)</f>
        <v>135</v>
      </c>
      <c r="L22" s="4">
        <f>VLOOKUP($B22&amp;L$57,'NREL Mid-case w tax expiration'!$C$3:$D$386,2,FALSE)</f>
        <v>224.1</v>
      </c>
      <c r="O22" s="37">
        <v>790.49</v>
      </c>
    </row>
    <row r="23" spans="2:15" x14ac:dyDescent="0.2">
      <c r="B23" s="2" t="s">
        <v>24</v>
      </c>
      <c r="C23" s="50">
        <f t="shared" si="0"/>
        <v>369.26954841700001</v>
      </c>
      <c r="D23" s="51">
        <v>389.73918171096801</v>
      </c>
      <c r="E23" s="4">
        <f>VLOOKUP($B23&amp;E$57,'NREL Mid-case w tax expiration'!$C$3:$D$386,2,FALSE)</f>
        <v>273.5</v>
      </c>
      <c r="F23" s="4">
        <f>VLOOKUP($B23&amp;F$57,'NREL Mid-case w tax expiration'!$C$3:$D$386,2,FALSE)</f>
        <v>254.5</v>
      </c>
      <c r="G23" s="4">
        <f>VLOOKUP($B23&amp;G$57,'NREL Mid-case w tax expiration'!$C$3:$D$386,2,FALSE)</f>
        <v>201.2</v>
      </c>
      <c r="H23" s="4">
        <f>VLOOKUP($B23&amp;H$57,'NREL Mid-case w tax expiration'!$C$3:$D$386,2,FALSE)</f>
        <v>164.8</v>
      </c>
      <c r="I23" s="4">
        <f>VLOOKUP($B23&amp;I$57,'NREL Mid-case w tax expiration'!$C$3:$D$386,2,FALSE)</f>
        <v>106.9</v>
      </c>
      <c r="J23" s="4">
        <f>VLOOKUP($B23&amp;J$57,'NREL Mid-case w tax expiration'!$C$3:$D$386,2,FALSE)</f>
        <v>104.7</v>
      </c>
      <c r="K23" s="4">
        <f>VLOOKUP($B23&amp;K$57,'NREL Mid-case w tax expiration'!$C$3:$D$386,2,FALSE)</f>
        <v>118.5</v>
      </c>
      <c r="L23" s="4">
        <f>VLOOKUP($B23&amp;L$57,'NREL Mid-case w tax expiration'!$C$3:$D$386,2,FALSE)</f>
        <v>125.4</v>
      </c>
      <c r="O23" s="37">
        <v>814.1</v>
      </c>
    </row>
    <row r="24" spans="2:15" x14ac:dyDescent="0.2">
      <c r="B24" s="2" t="s">
        <v>25</v>
      </c>
      <c r="C24" s="50">
        <f t="shared" si="0"/>
        <v>236.83735929468997</v>
      </c>
      <c r="D24" s="51">
        <v>290.52889413045398</v>
      </c>
      <c r="E24" s="4">
        <f>VLOOKUP($B24&amp;E$57,'NREL Mid-case w tax expiration'!$C$3:$D$386,2,FALSE)</f>
        <v>167</v>
      </c>
      <c r="F24" s="4">
        <f>VLOOKUP($B24&amp;F$57,'NREL Mid-case w tax expiration'!$C$3:$D$386,2,FALSE)</f>
        <v>140.1</v>
      </c>
      <c r="G24" s="4">
        <f>VLOOKUP($B24&amp;G$57,'NREL Mid-case w tax expiration'!$C$3:$D$386,2,FALSE)</f>
        <v>123.5</v>
      </c>
      <c r="H24" s="4">
        <f>VLOOKUP($B24&amp;H$57,'NREL Mid-case w tax expiration'!$C$3:$D$386,2,FALSE)</f>
        <v>115.6</v>
      </c>
      <c r="I24" s="4">
        <f>VLOOKUP($B24&amp;I$57,'NREL Mid-case w tax expiration'!$C$3:$D$386,2,FALSE)</f>
        <v>103</v>
      </c>
      <c r="J24" s="4">
        <f>VLOOKUP($B24&amp;J$57,'NREL Mid-case w tax expiration'!$C$3:$D$386,2,FALSE)</f>
        <v>94.1</v>
      </c>
      <c r="K24" s="4">
        <f>VLOOKUP($B24&amp;K$57,'NREL Mid-case w tax expiration'!$C$3:$D$386,2,FALSE)</f>
        <v>96.7</v>
      </c>
      <c r="L24" s="4">
        <f>VLOOKUP($B24&amp;L$57,'NREL Mid-case w tax expiration'!$C$3:$D$386,2,FALSE)</f>
        <v>113.1</v>
      </c>
      <c r="O24" s="37">
        <v>522.13699999999994</v>
      </c>
    </row>
    <row r="25" spans="2:15" x14ac:dyDescent="0.2">
      <c r="B25" s="2" t="s">
        <v>26</v>
      </c>
      <c r="C25" s="50">
        <f t="shared" si="0"/>
        <v>143.66540416536</v>
      </c>
      <c r="D25" s="51">
        <v>155.451329039282</v>
      </c>
      <c r="E25" s="4">
        <f>VLOOKUP($B25&amp;E$57,'NREL Mid-case w tax expiration'!$C$3:$D$386,2,FALSE)</f>
        <v>50.6</v>
      </c>
      <c r="F25" s="4">
        <f>VLOOKUP($B25&amp;F$57,'NREL Mid-case w tax expiration'!$C$3:$D$386,2,FALSE)</f>
        <v>61.3</v>
      </c>
      <c r="G25" s="4">
        <f>VLOOKUP($B25&amp;G$57,'NREL Mid-case w tax expiration'!$C$3:$D$386,2,FALSE)</f>
        <v>65.5</v>
      </c>
      <c r="H25" s="4">
        <f>VLOOKUP($B25&amp;H$57,'NREL Mid-case w tax expiration'!$C$3:$D$386,2,FALSE)</f>
        <v>42.5</v>
      </c>
      <c r="I25" s="4">
        <f>VLOOKUP($B25&amp;I$57,'NREL Mid-case w tax expiration'!$C$3:$D$386,2,FALSE)</f>
        <v>29.6</v>
      </c>
      <c r="J25" s="4">
        <f>VLOOKUP($B25&amp;J$57,'NREL Mid-case w tax expiration'!$C$3:$D$386,2,FALSE)</f>
        <v>32.700000000000003</v>
      </c>
      <c r="K25" s="4">
        <f>VLOOKUP($B25&amp;K$57,'NREL Mid-case w tax expiration'!$C$3:$D$386,2,FALSE)</f>
        <v>52.3</v>
      </c>
      <c r="L25" s="4">
        <f>VLOOKUP($B25&amp;L$57,'NREL Mid-case w tax expiration'!$C$3:$D$386,2,FALSE)</f>
        <v>98.6</v>
      </c>
      <c r="O25" s="37">
        <v>316.72800000000001</v>
      </c>
    </row>
    <row r="26" spans="2:15" x14ac:dyDescent="0.2">
      <c r="B26" s="2" t="s">
        <v>27</v>
      </c>
      <c r="C26" s="50">
        <f t="shared" si="0"/>
        <v>359.28824831515004</v>
      </c>
      <c r="D26" s="51">
        <v>460.73074480631402</v>
      </c>
      <c r="E26" s="4">
        <f>VLOOKUP($B26&amp;E$57,'NREL Mid-case w tax expiration'!$C$3:$D$386,2,FALSE)</f>
        <v>513</v>
      </c>
      <c r="F26" s="4">
        <f>VLOOKUP($B26&amp;F$57,'NREL Mid-case w tax expiration'!$C$3:$D$386,2,FALSE)</f>
        <v>435.7</v>
      </c>
      <c r="G26" s="4">
        <f>VLOOKUP($B26&amp;G$57,'NREL Mid-case w tax expiration'!$C$3:$D$386,2,FALSE)</f>
        <v>387.3</v>
      </c>
      <c r="H26" s="4">
        <f>VLOOKUP($B26&amp;H$57,'NREL Mid-case w tax expiration'!$C$3:$D$386,2,FALSE)</f>
        <v>329.6</v>
      </c>
      <c r="I26" s="4">
        <f>VLOOKUP($B26&amp;I$57,'NREL Mid-case w tax expiration'!$C$3:$D$386,2,FALSE)</f>
        <v>307.7</v>
      </c>
      <c r="J26" s="4">
        <f>VLOOKUP($B26&amp;J$57,'NREL Mid-case w tax expiration'!$C$3:$D$386,2,FALSE)</f>
        <v>284.5</v>
      </c>
      <c r="K26" s="4">
        <f>VLOOKUP($B26&amp;K$57,'NREL Mid-case w tax expiration'!$C$3:$D$386,2,FALSE)</f>
        <v>265.8</v>
      </c>
      <c r="L26" s="4">
        <f>VLOOKUP($B26&amp;L$57,'NREL Mid-case w tax expiration'!$C$3:$D$386,2,FALSE)</f>
        <v>276.3</v>
      </c>
      <c r="O26" s="37">
        <v>792.09500000000003</v>
      </c>
    </row>
    <row r="27" spans="2:15" x14ac:dyDescent="0.2">
      <c r="B27" s="2" t="s">
        <v>28</v>
      </c>
      <c r="C27" s="50">
        <f t="shared" si="0"/>
        <v>341.17721216579002</v>
      </c>
      <c r="D27" s="51">
        <v>350.99836705071198</v>
      </c>
      <c r="E27" s="4">
        <f>VLOOKUP($B27&amp;E$57,'NREL Mid-case w tax expiration'!$C$3:$D$386,2,FALSE)</f>
        <v>266.60000000000002</v>
      </c>
      <c r="F27" s="4">
        <f>VLOOKUP($B27&amp;F$57,'NREL Mid-case w tax expiration'!$C$3:$D$386,2,FALSE)</f>
        <v>136.5</v>
      </c>
      <c r="G27" s="4">
        <f>VLOOKUP($B27&amp;G$57,'NREL Mid-case w tax expiration'!$C$3:$D$386,2,FALSE)</f>
        <v>89.6</v>
      </c>
      <c r="H27" s="4">
        <f>VLOOKUP($B27&amp;H$57,'NREL Mid-case w tax expiration'!$C$3:$D$386,2,FALSE)</f>
        <v>61.4</v>
      </c>
      <c r="I27" s="4">
        <f>VLOOKUP($B27&amp;I$57,'NREL Mid-case w tax expiration'!$C$3:$D$386,2,FALSE)</f>
        <v>22</v>
      </c>
      <c r="J27" s="4">
        <f>VLOOKUP($B27&amp;J$57,'NREL Mid-case w tax expiration'!$C$3:$D$386,2,FALSE)</f>
        <v>15.2</v>
      </c>
      <c r="K27" s="4">
        <f>VLOOKUP($B27&amp;K$57,'NREL Mid-case w tax expiration'!$C$3:$D$386,2,FALSE)</f>
        <v>18.899999999999999</v>
      </c>
      <c r="L27" s="4">
        <f>VLOOKUP($B27&amp;L$57,'NREL Mid-case w tax expiration'!$C$3:$D$386,2,FALSE)</f>
        <v>32.9</v>
      </c>
      <c r="O27" s="37">
        <v>752.16700000000003</v>
      </c>
    </row>
    <row r="28" spans="2:15" x14ac:dyDescent="0.2">
      <c r="B28" s="2" t="s">
        <v>29</v>
      </c>
      <c r="C28" s="50">
        <f t="shared" si="0"/>
        <v>658.50907344068003</v>
      </c>
      <c r="D28" s="51">
        <v>688.454594937857</v>
      </c>
      <c r="E28" s="4">
        <f>VLOOKUP($B28&amp;E$57,'NREL Mid-case w tax expiration'!$C$3:$D$386,2,FALSE)</f>
        <v>841.9</v>
      </c>
      <c r="F28" s="4">
        <f>VLOOKUP($B28&amp;F$57,'NREL Mid-case w tax expiration'!$C$3:$D$386,2,FALSE)</f>
        <v>805.4</v>
      </c>
      <c r="G28" s="4">
        <f>VLOOKUP($B28&amp;G$57,'NREL Mid-case w tax expiration'!$C$3:$D$386,2,FALSE)</f>
        <v>487.7</v>
      </c>
      <c r="H28" s="4">
        <f>VLOOKUP($B28&amp;H$57,'NREL Mid-case w tax expiration'!$C$3:$D$386,2,FALSE)</f>
        <v>339.9</v>
      </c>
      <c r="I28" s="4">
        <f>VLOOKUP($B28&amp;I$57,'NREL Mid-case w tax expiration'!$C$3:$D$386,2,FALSE)</f>
        <v>288.3</v>
      </c>
      <c r="J28" s="4">
        <f>VLOOKUP($B28&amp;J$57,'NREL Mid-case w tax expiration'!$C$3:$D$386,2,FALSE)</f>
        <v>201.9</v>
      </c>
      <c r="K28" s="4">
        <f>VLOOKUP($B28&amp;K$57,'NREL Mid-case w tax expiration'!$C$3:$D$386,2,FALSE)</f>
        <v>168.9</v>
      </c>
      <c r="L28" s="4">
        <f>VLOOKUP($B28&amp;L$57,'NREL Mid-case w tax expiration'!$C$3:$D$386,2,FALSE)</f>
        <v>147.9</v>
      </c>
      <c r="O28" s="37">
        <v>1451.7639999999999</v>
      </c>
    </row>
    <row r="29" spans="2:15" x14ac:dyDescent="0.2">
      <c r="B29" s="2" t="s">
        <v>30</v>
      </c>
      <c r="C29" s="50">
        <f t="shared" si="0"/>
        <v>375.69876666938001</v>
      </c>
      <c r="D29" s="51">
        <v>403.111675587408</v>
      </c>
      <c r="E29" s="4">
        <f>VLOOKUP($B29&amp;E$57,'NREL Mid-case w tax expiration'!$C$3:$D$386,2,FALSE)</f>
        <v>451.3</v>
      </c>
      <c r="F29" s="4">
        <f>VLOOKUP($B29&amp;F$57,'NREL Mid-case w tax expiration'!$C$3:$D$386,2,FALSE)</f>
        <v>431.5</v>
      </c>
      <c r="G29" s="4">
        <f>VLOOKUP($B29&amp;G$57,'NREL Mid-case w tax expiration'!$C$3:$D$386,2,FALSE)</f>
        <v>378</v>
      </c>
      <c r="H29" s="4">
        <f>VLOOKUP($B29&amp;H$57,'NREL Mid-case w tax expiration'!$C$3:$D$386,2,FALSE)</f>
        <v>321.89999999999998</v>
      </c>
      <c r="I29" s="4">
        <f>VLOOKUP($B29&amp;I$57,'NREL Mid-case w tax expiration'!$C$3:$D$386,2,FALSE)</f>
        <v>208.9</v>
      </c>
      <c r="J29" s="4">
        <f>VLOOKUP($B29&amp;J$57,'NREL Mid-case w tax expiration'!$C$3:$D$386,2,FALSE)</f>
        <v>69.2</v>
      </c>
      <c r="K29" s="4">
        <f>VLOOKUP($B29&amp;K$57,'NREL Mid-case w tax expiration'!$C$3:$D$386,2,FALSE)</f>
        <v>64.099999999999994</v>
      </c>
      <c r="L29" s="4">
        <f>VLOOKUP($B29&amp;L$57,'NREL Mid-case w tax expiration'!$C$3:$D$386,2,FALSE)</f>
        <v>93.5</v>
      </c>
      <c r="O29" s="37">
        <v>828.274</v>
      </c>
    </row>
    <row r="30" spans="2:15" x14ac:dyDescent="0.2">
      <c r="B30" s="2" t="s">
        <v>31</v>
      </c>
      <c r="C30" s="50">
        <f t="shared" si="0"/>
        <v>482.58644788277007</v>
      </c>
      <c r="D30" s="51">
        <v>467.819105506668</v>
      </c>
      <c r="E30" s="4">
        <f>VLOOKUP($B30&amp;E$57,'NREL Mid-case w tax expiration'!$C$3:$D$386,2,FALSE)</f>
        <v>295.3</v>
      </c>
      <c r="F30" s="4">
        <f>VLOOKUP($B30&amp;F$57,'NREL Mid-case w tax expiration'!$C$3:$D$386,2,FALSE)</f>
        <v>80.7</v>
      </c>
      <c r="G30" s="4">
        <f>VLOOKUP($B30&amp;G$57,'NREL Mid-case w tax expiration'!$C$3:$D$386,2,FALSE)</f>
        <v>30.8</v>
      </c>
      <c r="H30" s="4">
        <f>VLOOKUP($B30&amp;H$57,'NREL Mid-case w tax expiration'!$C$3:$D$386,2,FALSE)</f>
        <v>21.7</v>
      </c>
      <c r="I30" s="4">
        <f>VLOOKUP($B30&amp;I$57,'NREL Mid-case w tax expiration'!$C$3:$D$386,2,FALSE)</f>
        <v>27.8</v>
      </c>
      <c r="J30" s="4">
        <f>VLOOKUP($B30&amp;J$57,'NREL Mid-case w tax expiration'!$C$3:$D$386,2,FALSE)</f>
        <v>20.3</v>
      </c>
      <c r="K30" s="4">
        <f>VLOOKUP($B30&amp;K$57,'NREL Mid-case w tax expiration'!$C$3:$D$386,2,FALSE)</f>
        <v>21</v>
      </c>
      <c r="L30" s="4">
        <f>VLOOKUP($B30&amp;L$57,'NREL Mid-case w tax expiration'!$C$3:$D$386,2,FALSE)</f>
        <v>36</v>
      </c>
      <c r="O30" s="37">
        <v>1063.921</v>
      </c>
    </row>
    <row r="31" spans="2:15" x14ac:dyDescent="0.2">
      <c r="B31" s="2" t="s">
        <v>32</v>
      </c>
      <c r="C31" s="50">
        <f t="shared" si="0"/>
        <v>284.13978600777006</v>
      </c>
      <c r="D31" s="51">
        <v>298.063594302821</v>
      </c>
      <c r="E31" s="4">
        <f>VLOOKUP($B31&amp;E$57,'NREL Mid-case w tax expiration'!$C$3:$D$386,2,FALSE)</f>
        <v>385.7</v>
      </c>
      <c r="F31" s="4">
        <f>VLOOKUP($B31&amp;F$57,'NREL Mid-case w tax expiration'!$C$3:$D$386,2,FALSE)</f>
        <v>333.9</v>
      </c>
      <c r="G31" s="4">
        <f>VLOOKUP($B31&amp;G$57,'NREL Mid-case w tax expiration'!$C$3:$D$386,2,FALSE)</f>
        <v>237.6</v>
      </c>
      <c r="H31" s="4">
        <f>VLOOKUP($B31&amp;H$57,'NREL Mid-case w tax expiration'!$C$3:$D$386,2,FALSE)</f>
        <v>199.6</v>
      </c>
      <c r="I31" s="4">
        <f>VLOOKUP($B31&amp;I$57,'NREL Mid-case w tax expiration'!$C$3:$D$386,2,FALSE)</f>
        <v>110.3</v>
      </c>
      <c r="J31" s="4">
        <f>VLOOKUP($B31&amp;J$57,'NREL Mid-case w tax expiration'!$C$3:$D$386,2,FALSE)</f>
        <v>82.2</v>
      </c>
      <c r="K31" s="4">
        <f>VLOOKUP($B31&amp;K$57,'NREL Mid-case w tax expiration'!$C$3:$D$386,2,FALSE)</f>
        <v>72.099999999999994</v>
      </c>
      <c r="L31" s="4">
        <f>VLOOKUP($B31&amp;L$57,'NREL Mid-case w tax expiration'!$C$3:$D$386,2,FALSE)</f>
        <v>79.3</v>
      </c>
      <c r="O31" s="37">
        <v>626.42100000000005</v>
      </c>
    </row>
    <row r="32" spans="2:15" x14ac:dyDescent="0.2">
      <c r="B32" s="2" t="s">
        <v>33</v>
      </c>
      <c r="C32" s="50">
        <f t="shared" si="0"/>
        <v>588.69576458924007</v>
      </c>
      <c r="D32" s="51">
        <v>599.39943753968998</v>
      </c>
      <c r="E32" s="4">
        <f>VLOOKUP($B32&amp;E$57,'NREL Mid-case w tax expiration'!$C$3:$D$386,2,FALSE)</f>
        <v>301.3</v>
      </c>
      <c r="F32" s="4">
        <f>VLOOKUP($B32&amp;F$57,'NREL Mid-case w tax expiration'!$C$3:$D$386,2,FALSE)</f>
        <v>171.2</v>
      </c>
      <c r="G32" s="4">
        <f>VLOOKUP($B32&amp;G$57,'NREL Mid-case w tax expiration'!$C$3:$D$386,2,FALSE)</f>
        <v>83.6</v>
      </c>
      <c r="H32" s="4">
        <f>VLOOKUP($B32&amp;H$57,'NREL Mid-case w tax expiration'!$C$3:$D$386,2,FALSE)</f>
        <v>49.8</v>
      </c>
      <c r="I32" s="4">
        <f>VLOOKUP($B32&amp;I$57,'NREL Mid-case w tax expiration'!$C$3:$D$386,2,FALSE)</f>
        <v>32.799999999999997</v>
      </c>
      <c r="J32" s="4">
        <f>VLOOKUP($B32&amp;J$57,'NREL Mid-case w tax expiration'!$C$3:$D$386,2,FALSE)</f>
        <v>16.399999999999999</v>
      </c>
      <c r="K32" s="4">
        <f>VLOOKUP($B32&amp;K$57,'NREL Mid-case w tax expiration'!$C$3:$D$386,2,FALSE)</f>
        <v>15.6</v>
      </c>
      <c r="L32" s="4">
        <f>VLOOKUP($B32&amp;L$57,'NREL Mid-case w tax expiration'!$C$3:$D$386,2,FALSE)</f>
        <v>27</v>
      </c>
      <c r="O32" s="37">
        <v>1297.8520000000001</v>
      </c>
    </row>
    <row r="33" spans="2:15" x14ac:dyDescent="0.2">
      <c r="B33" s="2" t="s">
        <v>34</v>
      </c>
      <c r="C33" s="50">
        <f t="shared" si="0"/>
        <v>465.27827022830996</v>
      </c>
      <c r="D33" s="51">
        <v>501.52408600199601</v>
      </c>
      <c r="E33" s="4">
        <f>VLOOKUP($B33&amp;E$57,'NREL Mid-case w tax expiration'!$C$3:$D$386,2,FALSE)</f>
        <v>167.6</v>
      </c>
      <c r="F33" s="4">
        <f>VLOOKUP($B33&amp;F$57,'NREL Mid-case w tax expiration'!$C$3:$D$386,2,FALSE)</f>
        <v>116.8</v>
      </c>
      <c r="G33" s="4">
        <f>VLOOKUP($B33&amp;G$57,'NREL Mid-case w tax expiration'!$C$3:$D$386,2,FALSE)</f>
        <v>59</v>
      </c>
      <c r="H33" s="4">
        <f>VLOOKUP($B33&amp;H$57,'NREL Mid-case w tax expiration'!$C$3:$D$386,2,FALSE)</f>
        <v>46</v>
      </c>
      <c r="I33" s="4">
        <f>VLOOKUP($B33&amp;I$57,'NREL Mid-case w tax expiration'!$C$3:$D$386,2,FALSE)</f>
        <v>42.9</v>
      </c>
      <c r="J33" s="4">
        <f>VLOOKUP($B33&amp;J$57,'NREL Mid-case w tax expiration'!$C$3:$D$386,2,FALSE)</f>
        <v>17.3</v>
      </c>
      <c r="K33" s="4">
        <f>VLOOKUP($B33&amp;K$57,'NREL Mid-case w tax expiration'!$C$3:$D$386,2,FALSE)</f>
        <v>18.5</v>
      </c>
      <c r="L33" s="4">
        <f>VLOOKUP($B33&amp;L$57,'NREL Mid-case w tax expiration'!$C$3:$D$386,2,FALSE)</f>
        <v>33.299999999999997</v>
      </c>
      <c r="O33" s="37">
        <v>1025.7629999999999</v>
      </c>
    </row>
    <row r="34" spans="2:15" x14ac:dyDescent="0.2">
      <c r="B34" s="2" t="s">
        <v>35</v>
      </c>
      <c r="C34" s="50">
        <f t="shared" si="0"/>
        <v>125.29219162614</v>
      </c>
      <c r="D34" s="51">
        <v>139.00843690465399</v>
      </c>
      <c r="E34" s="4">
        <f>VLOOKUP($B34&amp;E$57,'NREL Mid-case w tax expiration'!$C$3:$D$386,2,FALSE)</f>
        <v>73.2</v>
      </c>
      <c r="F34" s="4">
        <f>VLOOKUP($B34&amp;F$57,'NREL Mid-case w tax expiration'!$C$3:$D$386,2,FALSE)</f>
        <v>67.599999999999994</v>
      </c>
      <c r="G34" s="4">
        <f>VLOOKUP($B34&amp;G$57,'NREL Mid-case w tax expiration'!$C$3:$D$386,2,FALSE)</f>
        <v>54.2</v>
      </c>
      <c r="H34" s="4">
        <f>VLOOKUP($B34&amp;H$57,'NREL Mid-case w tax expiration'!$C$3:$D$386,2,FALSE)</f>
        <v>37.700000000000003</v>
      </c>
      <c r="I34" s="4">
        <f>VLOOKUP($B34&amp;I$57,'NREL Mid-case w tax expiration'!$C$3:$D$386,2,FALSE)</f>
        <v>30.4</v>
      </c>
      <c r="J34" s="4">
        <f>VLOOKUP($B34&amp;J$57,'NREL Mid-case w tax expiration'!$C$3:$D$386,2,FALSE)</f>
        <v>32</v>
      </c>
      <c r="K34" s="4">
        <f>VLOOKUP($B34&amp;K$57,'NREL Mid-case w tax expiration'!$C$3:$D$386,2,FALSE)</f>
        <v>40.6</v>
      </c>
      <c r="L34" s="4">
        <f>VLOOKUP($B34&amp;L$57,'NREL Mid-case w tax expiration'!$C$3:$D$386,2,FALSE)</f>
        <v>60.9</v>
      </c>
      <c r="O34" s="37">
        <v>276.22199999999998</v>
      </c>
    </row>
    <row r="35" spans="2:15" x14ac:dyDescent="0.2">
      <c r="B35" s="2" t="s">
        <v>36</v>
      </c>
      <c r="C35" s="50">
        <f t="shared" si="0"/>
        <v>212.67222578294002</v>
      </c>
      <c r="D35" s="51">
        <v>221.614805406877</v>
      </c>
      <c r="E35" s="4">
        <f>VLOOKUP($B35&amp;E$57,'NREL Mid-case w tax expiration'!$C$3:$D$386,2,FALSE)</f>
        <v>256.3</v>
      </c>
      <c r="F35" s="4">
        <f>VLOOKUP($B35&amp;F$57,'NREL Mid-case w tax expiration'!$C$3:$D$386,2,FALSE)</f>
        <v>249.6</v>
      </c>
      <c r="G35" s="4">
        <f>VLOOKUP($B35&amp;G$57,'NREL Mid-case w tax expiration'!$C$3:$D$386,2,FALSE)</f>
        <v>221.3</v>
      </c>
      <c r="H35" s="4">
        <f>VLOOKUP($B35&amp;H$57,'NREL Mid-case w tax expiration'!$C$3:$D$386,2,FALSE)</f>
        <v>202.9</v>
      </c>
      <c r="I35" s="4">
        <f>VLOOKUP($B35&amp;I$57,'NREL Mid-case w tax expiration'!$C$3:$D$386,2,FALSE)</f>
        <v>152.30000000000001</v>
      </c>
      <c r="J35" s="4">
        <f>VLOOKUP($B35&amp;J$57,'NREL Mid-case w tax expiration'!$C$3:$D$386,2,FALSE)</f>
        <v>154.80000000000001</v>
      </c>
      <c r="K35" s="4">
        <f>VLOOKUP($B35&amp;K$57,'NREL Mid-case w tax expiration'!$C$3:$D$386,2,FALSE)</f>
        <v>171.5</v>
      </c>
      <c r="L35" s="4">
        <f>VLOOKUP($B35&amp;L$57,'NREL Mid-case w tax expiration'!$C$3:$D$386,2,FALSE)</f>
        <v>159.80000000000001</v>
      </c>
      <c r="O35" s="37">
        <v>468.86200000000002</v>
      </c>
    </row>
    <row r="36" spans="2:15" x14ac:dyDescent="0.2">
      <c r="B36" s="2" t="s">
        <v>37</v>
      </c>
      <c r="C36" s="50">
        <f t="shared" si="0"/>
        <v>350.46315516443002</v>
      </c>
      <c r="D36" s="51">
        <v>449.79814932414001</v>
      </c>
      <c r="E36" s="4">
        <f>VLOOKUP($B36&amp;E$57,'NREL Mid-case w tax expiration'!$C$3:$D$386,2,FALSE)</f>
        <v>384.5</v>
      </c>
      <c r="F36" s="4">
        <f>VLOOKUP($B36&amp;F$57,'NREL Mid-case w tax expiration'!$C$3:$D$386,2,FALSE)</f>
        <v>238.5</v>
      </c>
      <c r="G36" s="4">
        <f>VLOOKUP($B36&amp;G$57,'NREL Mid-case w tax expiration'!$C$3:$D$386,2,FALSE)</f>
        <v>117.5</v>
      </c>
      <c r="H36" s="4">
        <f>VLOOKUP($B36&amp;H$57,'NREL Mid-case w tax expiration'!$C$3:$D$386,2,FALSE)</f>
        <v>84.2</v>
      </c>
      <c r="I36" s="4">
        <f>VLOOKUP($B36&amp;I$57,'NREL Mid-case w tax expiration'!$C$3:$D$386,2,FALSE)</f>
        <v>8.9</v>
      </c>
      <c r="J36" s="4">
        <f>VLOOKUP($B36&amp;J$57,'NREL Mid-case w tax expiration'!$C$3:$D$386,2,FALSE)</f>
        <v>4.8</v>
      </c>
      <c r="K36" s="4">
        <f>VLOOKUP($B36&amp;K$57,'NREL Mid-case w tax expiration'!$C$3:$D$386,2,FALSE)</f>
        <v>3.7</v>
      </c>
      <c r="L36" s="4">
        <f>VLOOKUP($B36&amp;L$57,'NREL Mid-case w tax expiration'!$C$3:$D$386,2,FALSE)</f>
        <v>10.8</v>
      </c>
      <c r="O36" s="37">
        <v>772.63900000000001</v>
      </c>
    </row>
    <row r="37" spans="2:15" x14ac:dyDescent="0.2">
      <c r="B37" s="2" t="s">
        <v>38</v>
      </c>
      <c r="C37" s="50">
        <f t="shared" si="0"/>
        <v>291.50249735761003</v>
      </c>
      <c r="D37" s="51">
        <v>307.87671232876698</v>
      </c>
      <c r="E37" s="4">
        <f>VLOOKUP($B37&amp;E$57,'NREL Mid-case w tax expiration'!$C$3:$D$386,2,FALSE)</f>
        <v>284.10000000000002</v>
      </c>
      <c r="F37" s="4">
        <f>VLOOKUP($B37&amp;F$57,'NREL Mid-case w tax expiration'!$C$3:$D$386,2,FALSE)</f>
        <v>232.2</v>
      </c>
      <c r="G37" s="4">
        <f>VLOOKUP($B37&amp;G$57,'NREL Mid-case w tax expiration'!$C$3:$D$386,2,FALSE)</f>
        <v>149.9</v>
      </c>
      <c r="H37" s="4">
        <f>VLOOKUP($B37&amp;H$57,'NREL Mid-case w tax expiration'!$C$3:$D$386,2,FALSE)</f>
        <v>115.3</v>
      </c>
      <c r="I37" s="4">
        <f>VLOOKUP($B37&amp;I$57,'NREL Mid-case w tax expiration'!$C$3:$D$386,2,FALSE)</f>
        <v>76.599999999999994</v>
      </c>
      <c r="J37" s="4">
        <f>VLOOKUP($B37&amp;J$57,'NREL Mid-case w tax expiration'!$C$3:$D$386,2,FALSE)</f>
        <v>43.9</v>
      </c>
      <c r="K37" s="4">
        <f>VLOOKUP($B37&amp;K$57,'NREL Mid-case w tax expiration'!$C$3:$D$386,2,FALSE)</f>
        <v>28</v>
      </c>
      <c r="L37" s="4">
        <f>VLOOKUP($B37&amp;L$57,'NREL Mid-case w tax expiration'!$C$3:$D$386,2,FALSE)</f>
        <v>47.4</v>
      </c>
      <c r="O37" s="37">
        <v>642.65300000000002</v>
      </c>
    </row>
    <row r="38" spans="2:15" x14ac:dyDescent="0.2">
      <c r="B38" s="2" t="s">
        <v>39</v>
      </c>
      <c r="C38" s="50">
        <f t="shared" si="0"/>
        <v>217.86994075077001</v>
      </c>
      <c r="D38" s="51">
        <v>222.87399074662099</v>
      </c>
      <c r="E38" s="4">
        <f>VLOOKUP($B38&amp;E$57,'NREL Mid-case w tax expiration'!$C$3:$D$386,2,FALSE)</f>
        <v>202.5</v>
      </c>
      <c r="F38" s="4">
        <f>VLOOKUP($B38&amp;F$57,'NREL Mid-case w tax expiration'!$C$3:$D$386,2,FALSE)</f>
        <v>142.6</v>
      </c>
      <c r="G38" s="4">
        <f>VLOOKUP($B38&amp;G$57,'NREL Mid-case w tax expiration'!$C$3:$D$386,2,FALSE)</f>
        <v>124.4</v>
      </c>
      <c r="H38" s="4">
        <f>VLOOKUP($B38&amp;H$57,'NREL Mid-case w tax expiration'!$C$3:$D$386,2,FALSE)</f>
        <v>103.6</v>
      </c>
      <c r="I38" s="4">
        <f>VLOOKUP($B38&amp;I$57,'NREL Mid-case w tax expiration'!$C$3:$D$386,2,FALSE)</f>
        <v>82.3</v>
      </c>
      <c r="J38" s="4">
        <f>VLOOKUP($B38&amp;J$57,'NREL Mid-case w tax expiration'!$C$3:$D$386,2,FALSE)</f>
        <v>81</v>
      </c>
      <c r="K38" s="4">
        <f>VLOOKUP($B38&amp;K$57,'NREL Mid-case w tax expiration'!$C$3:$D$386,2,FALSE)</f>
        <v>91.9</v>
      </c>
      <c r="L38" s="4">
        <f>VLOOKUP($B38&amp;L$57,'NREL Mid-case w tax expiration'!$C$3:$D$386,2,FALSE)</f>
        <v>123.5</v>
      </c>
      <c r="O38" s="37">
        <v>480.32100000000003</v>
      </c>
    </row>
    <row r="39" spans="2:15" x14ac:dyDescent="0.2">
      <c r="B39" s="2" t="s">
        <v>40</v>
      </c>
      <c r="C39" s="50">
        <f t="shared" si="0"/>
        <v>484.54868847539007</v>
      </c>
      <c r="D39" s="51">
        <v>527.13780277601404</v>
      </c>
      <c r="E39" s="4">
        <f>VLOOKUP($B39&amp;E$57,'NREL Mid-case w tax expiration'!$C$3:$D$386,2,FALSE)</f>
        <v>590.6</v>
      </c>
      <c r="F39" s="4">
        <f>VLOOKUP($B39&amp;F$57,'NREL Mid-case w tax expiration'!$C$3:$D$386,2,FALSE)</f>
        <v>560.1</v>
      </c>
      <c r="G39" s="4">
        <f>VLOOKUP($B39&amp;G$57,'NREL Mid-case w tax expiration'!$C$3:$D$386,2,FALSE)</f>
        <v>424.6</v>
      </c>
      <c r="H39" s="4">
        <f>VLOOKUP($B39&amp;H$57,'NREL Mid-case w tax expiration'!$C$3:$D$386,2,FALSE)</f>
        <v>339.7</v>
      </c>
      <c r="I39" s="4">
        <f>VLOOKUP($B39&amp;I$57,'NREL Mid-case w tax expiration'!$C$3:$D$386,2,FALSE)</f>
        <v>282.10000000000002</v>
      </c>
      <c r="J39" s="4">
        <f>VLOOKUP($B39&amp;J$57,'NREL Mid-case w tax expiration'!$C$3:$D$386,2,FALSE)</f>
        <v>165.2</v>
      </c>
      <c r="K39" s="4">
        <f>VLOOKUP($B39&amp;K$57,'NREL Mid-case w tax expiration'!$C$3:$D$386,2,FALSE)</f>
        <v>171.7</v>
      </c>
      <c r="L39" s="4">
        <f>VLOOKUP($B39&amp;L$57,'NREL Mid-case w tax expiration'!$C$3:$D$386,2,FALSE)</f>
        <v>202.8</v>
      </c>
      <c r="O39" s="37">
        <v>1068.2470000000001</v>
      </c>
    </row>
    <row r="40" spans="2:15" x14ac:dyDescent="0.2">
      <c r="B40" s="2" t="s">
        <v>41</v>
      </c>
      <c r="C40" s="50">
        <f t="shared" si="0"/>
        <v>294.07119094892005</v>
      </c>
      <c r="D40" s="51">
        <v>312.58595663612402</v>
      </c>
      <c r="E40" s="4">
        <f>VLOOKUP($B40&amp;E$57,'NREL Mid-case w tax expiration'!$C$3:$D$386,2,FALSE)</f>
        <v>104.3</v>
      </c>
      <c r="F40" s="4">
        <f>VLOOKUP($B40&amp;F$57,'NREL Mid-case w tax expiration'!$C$3:$D$386,2,FALSE)</f>
        <v>73.7</v>
      </c>
      <c r="G40" s="4">
        <f>VLOOKUP($B40&amp;G$57,'NREL Mid-case w tax expiration'!$C$3:$D$386,2,FALSE)</f>
        <v>42.8</v>
      </c>
      <c r="H40" s="4">
        <f>VLOOKUP($B40&amp;H$57,'NREL Mid-case w tax expiration'!$C$3:$D$386,2,FALSE)</f>
        <v>28.8</v>
      </c>
      <c r="I40" s="4">
        <f>VLOOKUP($B40&amp;I$57,'NREL Mid-case w tax expiration'!$C$3:$D$386,2,FALSE)</f>
        <v>19.7</v>
      </c>
      <c r="J40" s="4">
        <f>VLOOKUP($B40&amp;J$57,'NREL Mid-case w tax expiration'!$C$3:$D$386,2,FALSE)</f>
        <v>13.1</v>
      </c>
      <c r="K40" s="4">
        <f>VLOOKUP($B40&amp;K$57,'NREL Mid-case w tax expiration'!$C$3:$D$386,2,FALSE)</f>
        <v>13.1</v>
      </c>
      <c r="L40" s="4">
        <f>VLOOKUP($B40&amp;L$57,'NREL Mid-case w tax expiration'!$C$3:$D$386,2,FALSE)</f>
        <v>41.6</v>
      </c>
      <c r="O40" s="37">
        <v>648.31600000000003</v>
      </c>
    </row>
    <row r="41" spans="2:15" x14ac:dyDescent="0.2">
      <c r="B41" s="2" t="s">
        <v>42</v>
      </c>
      <c r="C41" s="50">
        <f t="shared" si="0"/>
        <v>165.53445310017</v>
      </c>
      <c r="D41" s="51">
        <v>135.65499410323901</v>
      </c>
      <c r="E41" s="4">
        <f>VLOOKUP($B41&amp;E$57,'NREL Mid-case w tax expiration'!$C$3:$D$386,2,FALSE)</f>
        <v>93.6</v>
      </c>
      <c r="F41" s="4">
        <f>VLOOKUP($B41&amp;F$57,'NREL Mid-case w tax expiration'!$C$3:$D$386,2,FALSE)</f>
        <v>82.5</v>
      </c>
      <c r="G41" s="4">
        <f>VLOOKUP($B41&amp;G$57,'NREL Mid-case w tax expiration'!$C$3:$D$386,2,FALSE)</f>
        <v>64.7</v>
      </c>
      <c r="H41" s="4">
        <f>VLOOKUP($B41&amp;H$57,'NREL Mid-case w tax expiration'!$C$3:$D$386,2,FALSE)</f>
        <v>52.3</v>
      </c>
      <c r="I41" s="4">
        <f>VLOOKUP($B41&amp;I$57,'NREL Mid-case w tax expiration'!$C$3:$D$386,2,FALSE)</f>
        <v>44.9</v>
      </c>
      <c r="J41" s="4">
        <f>VLOOKUP($B41&amp;J$57,'NREL Mid-case w tax expiration'!$C$3:$D$386,2,FALSE)</f>
        <v>25.8</v>
      </c>
      <c r="K41" s="4">
        <f>VLOOKUP($B41&amp;K$57,'NREL Mid-case w tax expiration'!$C$3:$D$386,2,FALSE)</f>
        <v>23.2</v>
      </c>
      <c r="L41" s="4">
        <f>VLOOKUP($B41&amp;L$57,'NREL Mid-case w tax expiration'!$C$3:$D$386,2,FALSE)</f>
        <v>26.7</v>
      </c>
      <c r="O41" s="37">
        <v>364.94099999999997</v>
      </c>
    </row>
    <row r="42" spans="2:15" x14ac:dyDescent="0.2">
      <c r="B42" s="2" t="s">
        <v>43</v>
      </c>
      <c r="C42" s="50">
        <f t="shared" si="0"/>
        <v>292.83288377882002</v>
      </c>
      <c r="D42" s="51">
        <v>323.97214914270199</v>
      </c>
      <c r="E42" s="4">
        <f>VLOOKUP($B42&amp;E$57,'NREL Mid-case w tax expiration'!$C$3:$D$386,2,FALSE)</f>
        <v>368.4</v>
      </c>
      <c r="F42" s="4">
        <f>VLOOKUP($B42&amp;F$57,'NREL Mid-case w tax expiration'!$C$3:$D$386,2,FALSE)</f>
        <v>342.5</v>
      </c>
      <c r="G42" s="4">
        <f>VLOOKUP($B42&amp;G$57,'NREL Mid-case w tax expiration'!$C$3:$D$386,2,FALSE)</f>
        <v>315.2</v>
      </c>
      <c r="H42" s="4">
        <f>VLOOKUP($B42&amp;H$57,'NREL Mid-case w tax expiration'!$C$3:$D$386,2,FALSE)</f>
        <v>297.7</v>
      </c>
      <c r="I42" s="4">
        <f>VLOOKUP($B42&amp;I$57,'NREL Mid-case w tax expiration'!$C$3:$D$386,2,FALSE)</f>
        <v>283.3</v>
      </c>
      <c r="J42" s="4">
        <f>VLOOKUP($B42&amp;J$57,'NREL Mid-case w tax expiration'!$C$3:$D$386,2,FALSE)</f>
        <v>259.8</v>
      </c>
      <c r="K42" s="4">
        <f>VLOOKUP($B42&amp;K$57,'NREL Mid-case w tax expiration'!$C$3:$D$386,2,FALSE)</f>
        <v>261</v>
      </c>
      <c r="L42" s="4">
        <f>VLOOKUP($B42&amp;L$57,'NREL Mid-case w tax expiration'!$C$3:$D$386,2,FALSE)</f>
        <v>281.39999999999998</v>
      </c>
      <c r="O42" s="37">
        <v>645.58600000000001</v>
      </c>
    </row>
    <row r="43" spans="2:15" x14ac:dyDescent="0.2">
      <c r="B43" s="2" t="s">
        <v>63</v>
      </c>
      <c r="C43" s="50">
        <f t="shared" si="0"/>
        <v>702.34650803933005</v>
      </c>
      <c r="D43" s="51">
        <v>725.71985847772805</v>
      </c>
      <c r="E43" s="4"/>
      <c r="F43" s="4"/>
      <c r="G43" s="4"/>
      <c r="H43" s="4"/>
      <c r="I43" s="4"/>
      <c r="J43" s="4"/>
      <c r="K43" s="4"/>
      <c r="L43" s="4"/>
      <c r="O43" s="37">
        <v>1548.4090000000001</v>
      </c>
    </row>
    <row r="44" spans="2:15" x14ac:dyDescent="0.2">
      <c r="B44" s="2" t="s">
        <v>44</v>
      </c>
      <c r="C44" s="50">
        <f t="shared" si="0"/>
        <v>381.00670458312004</v>
      </c>
      <c r="D44" s="51">
        <v>368.40469926517301</v>
      </c>
      <c r="E44" s="4">
        <f>VLOOKUP($B44&amp;E$57,'NREL Mid-case w tax expiration'!$C$3:$D$386,2,FALSE)</f>
        <v>215.4</v>
      </c>
      <c r="F44" s="4">
        <f>VLOOKUP($B44&amp;F$57,'NREL Mid-case w tax expiration'!$C$3:$D$386,2,FALSE)</f>
        <v>149.9</v>
      </c>
      <c r="G44" s="4">
        <f>VLOOKUP($B44&amp;G$57,'NREL Mid-case w tax expiration'!$C$3:$D$386,2,FALSE)</f>
        <v>151.9</v>
      </c>
      <c r="H44" s="4">
        <f>VLOOKUP($B44&amp;H$57,'NREL Mid-case w tax expiration'!$C$3:$D$386,2,FALSE)</f>
        <v>134.9</v>
      </c>
      <c r="I44" s="4">
        <f>VLOOKUP($B44&amp;I$57,'NREL Mid-case w tax expiration'!$C$3:$D$386,2,FALSE)</f>
        <v>130.30000000000001</v>
      </c>
      <c r="J44" s="4">
        <f>VLOOKUP($B44&amp;J$57,'NREL Mid-case w tax expiration'!$C$3:$D$386,2,FALSE)</f>
        <v>120.4</v>
      </c>
      <c r="K44" s="4">
        <f>VLOOKUP($B44&amp;K$57,'NREL Mid-case w tax expiration'!$C$3:$D$386,2,FALSE)</f>
        <v>144.69999999999999</v>
      </c>
      <c r="L44" s="4">
        <f>VLOOKUP($B44&amp;L$57,'NREL Mid-case w tax expiration'!$C$3:$D$386,2,FALSE)</f>
        <v>205.5</v>
      </c>
      <c r="O44" s="37">
        <v>839.976</v>
      </c>
    </row>
    <row r="45" spans="2:15" x14ac:dyDescent="0.2">
      <c r="B45" s="2" t="s">
        <v>45</v>
      </c>
      <c r="C45" s="50">
        <f t="shared" si="0"/>
        <v>252.45545177853</v>
      </c>
      <c r="D45" s="51">
        <v>253.98439626236001</v>
      </c>
      <c r="E45" s="4">
        <f>VLOOKUP($B45&amp;E$57,'NREL Mid-case w tax expiration'!$C$3:$D$386,2,FALSE)</f>
        <v>222.6</v>
      </c>
      <c r="F45" s="4">
        <f>VLOOKUP($B45&amp;F$57,'NREL Mid-case w tax expiration'!$C$3:$D$386,2,FALSE)</f>
        <v>183.4</v>
      </c>
      <c r="G45" s="4">
        <f>VLOOKUP($B45&amp;G$57,'NREL Mid-case w tax expiration'!$C$3:$D$386,2,FALSE)</f>
        <v>92.8</v>
      </c>
      <c r="H45" s="4">
        <f>VLOOKUP($B45&amp;H$57,'NREL Mid-case w tax expiration'!$C$3:$D$386,2,FALSE)</f>
        <v>58.3</v>
      </c>
      <c r="I45" s="4">
        <f>VLOOKUP($B45&amp;I$57,'NREL Mid-case w tax expiration'!$C$3:$D$386,2,FALSE)</f>
        <v>29.4</v>
      </c>
      <c r="J45" s="4">
        <f>VLOOKUP($B45&amp;J$57,'NREL Mid-case w tax expiration'!$C$3:$D$386,2,FALSE)</f>
        <v>23.5</v>
      </c>
      <c r="K45" s="4">
        <f>VLOOKUP($B45&amp;K$57,'NREL Mid-case w tax expiration'!$C$3:$D$386,2,FALSE)</f>
        <v>26</v>
      </c>
      <c r="L45" s="4">
        <f>VLOOKUP($B45&amp;L$57,'NREL Mid-case w tax expiration'!$C$3:$D$386,2,FALSE)</f>
        <v>49.3</v>
      </c>
      <c r="O45" s="37">
        <v>556.56899999999996</v>
      </c>
    </row>
    <row r="46" spans="2:15" x14ac:dyDescent="0.2">
      <c r="B46" s="2" t="s">
        <v>46</v>
      </c>
      <c r="C46" s="50">
        <f t="shared" si="0"/>
        <v>152.20972363905</v>
      </c>
      <c r="D46" s="51">
        <v>148.296743173365</v>
      </c>
      <c r="E46" s="4">
        <f>VLOOKUP($B46&amp;E$57,'NREL Mid-case w tax expiration'!$C$3:$D$386,2,FALSE)</f>
        <v>116.3</v>
      </c>
      <c r="F46" s="4">
        <f>VLOOKUP($B46&amp;F$57,'NREL Mid-case w tax expiration'!$C$3:$D$386,2,FALSE)</f>
        <v>78.099999999999994</v>
      </c>
      <c r="G46" s="4">
        <f>VLOOKUP($B46&amp;G$57,'NREL Mid-case w tax expiration'!$C$3:$D$386,2,FALSE)</f>
        <v>51.3</v>
      </c>
      <c r="H46" s="4">
        <f>VLOOKUP($B46&amp;H$57,'NREL Mid-case w tax expiration'!$C$3:$D$386,2,FALSE)</f>
        <v>21.8</v>
      </c>
      <c r="I46" s="4">
        <f>VLOOKUP($B46&amp;I$57,'NREL Mid-case w tax expiration'!$C$3:$D$386,2,FALSE)</f>
        <v>14.2</v>
      </c>
      <c r="J46" s="4">
        <f>VLOOKUP($B46&amp;J$57,'NREL Mid-case w tax expiration'!$C$3:$D$386,2,FALSE)</f>
        <v>6.5</v>
      </c>
      <c r="K46" s="4">
        <f>VLOOKUP($B46&amp;K$57,'NREL Mid-case w tax expiration'!$C$3:$D$386,2,FALSE)</f>
        <v>9.4</v>
      </c>
      <c r="L46" s="4">
        <f>VLOOKUP($B46&amp;L$57,'NREL Mid-case w tax expiration'!$C$3:$D$386,2,FALSE)</f>
        <v>9.4</v>
      </c>
      <c r="O46" s="37">
        <v>335.565</v>
      </c>
    </row>
    <row r="47" spans="2:15" x14ac:dyDescent="0.2">
      <c r="B47" s="2" t="s">
        <v>47</v>
      </c>
      <c r="C47" s="50">
        <f t="shared" si="0"/>
        <v>297.77159750338001</v>
      </c>
      <c r="D47" s="51">
        <v>316.48462306087299</v>
      </c>
      <c r="E47" s="4">
        <f>VLOOKUP($B47&amp;E$57,'NREL Mid-case w tax expiration'!$C$3:$D$386,2,FALSE)</f>
        <v>349.9</v>
      </c>
      <c r="F47" s="4">
        <f>VLOOKUP($B47&amp;F$57,'NREL Mid-case w tax expiration'!$C$3:$D$386,2,FALSE)</f>
        <v>231.4</v>
      </c>
      <c r="G47" s="4">
        <f>VLOOKUP($B47&amp;G$57,'NREL Mid-case w tax expiration'!$C$3:$D$386,2,FALSE)</f>
        <v>109.4</v>
      </c>
      <c r="H47" s="4">
        <f>VLOOKUP($B47&amp;H$57,'NREL Mid-case w tax expiration'!$C$3:$D$386,2,FALSE)</f>
        <v>96.3</v>
      </c>
      <c r="I47" s="4">
        <f>VLOOKUP($B47&amp;I$57,'NREL Mid-case w tax expiration'!$C$3:$D$386,2,FALSE)</f>
        <v>84</v>
      </c>
      <c r="J47" s="4">
        <f>VLOOKUP($B47&amp;J$57,'NREL Mid-case w tax expiration'!$C$3:$D$386,2,FALSE)</f>
        <v>76.400000000000006</v>
      </c>
      <c r="K47" s="4">
        <f>VLOOKUP($B47&amp;K$57,'NREL Mid-case w tax expiration'!$C$3:$D$386,2,FALSE)</f>
        <v>52.1</v>
      </c>
      <c r="L47" s="4">
        <f>VLOOKUP($B47&amp;L$57,'NREL Mid-case w tax expiration'!$C$3:$D$386,2,FALSE)</f>
        <v>57.1</v>
      </c>
      <c r="O47" s="37">
        <v>656.47400000000005</v>
      </c>
    </row>
    <row r="48" spans="2:15" x14ac:dyDescent="0.2">
      <c r="B48" s="2" t="s">
        <v>48</v>
      </c>
      <c r="C48" s="50">
        <f t="shared" si="0"/>
        <v>351.54542655925002</v>
      </c>
      <c r="D48" s="51">
        <v>372.83225982037601</v>
      </c>
      <c r="E48" s="4">
        <f>VLOOKUP($B48&amp;E$57,'NREL Mid-case w tax expiration'!$C$3:$D$386,2,FALSE)</f>
        <v>270.5</v>
      </c>
      <c r="F48" s="4">
        <f>VLOOKUP($B48&amp;F$57,'NREL Mid-case w tax expiration'!$C$3:$D$386,2,FALSE)</f>
        <v>196.2</v>
      </c>
      <c r="G48" s="4">
        <f>VLOOKUP($B48&amp;G$57,'NREL Mid-case w tax expiration'!$C$3:$D$386,2,FALSE)</f>
        <v>113.8</v>
      </c>
      <c r="H48" s="4">
        <f>VLOOKUP($B48&amp;H$57,'NREL Mid-case w tax expiration'!$C$3:$D$386,2,FALSE)</f>
        <v>80.599999999999994</v>
      </c>
      <c r="I48" s="4">
        <f>VLOOKUP($B48&amp;I$57,'NREL Mid-case w tax expiration'!$C$3:$D$386,2,FALSE)</f>
        <v>56</v>
      </c>
      <c r="J48" s="4">
        <f>VLOOKUP($B48&amp;J$57,'NREL Mid-case w tax expiration'!$C$3:$D$386,2,FALSE)</f>
        <v>48.3</v>
      </c>
      <c r="K48" s="4">
        <f>VLOOKUP($B48&amp;K$57,'NREL Mid-case w tax expiration'!$C$3:$D$386,2,FALSE)</f>
        <v>47.3</v>
      </c>
      <c r="L48" s="4">
        <f>VLOOKUP($B48&amp;L$57,'NREL Mid-case w tax expiration'!$C$3:$D$386,2,FALSE)</f>
        <v>83.4</v>
      </c>
      <c r="O48" s="37">
        <v>775.02499999999998</v>
      </c>
    </row>
    <row r="49" spans="2:15" x14ac:dyDescent="0.2">
      <c r="B49" s="2" t="s">
        <v>49</v>
      </c>
      <c r="C49" s="50">
        <f t="shared" si="0"/>
        <v>644.65953760747004</v>
      </c>
      <c r="D49" s="51">
        <v>691.39617164111405</v>
      </c>
      <c r="E49" s="4">
        <f>VLOOKUP($B49&amp;E$57,'NREL Mid-case w tax expiration'!$C$3:$D$386,2,FALSE)</f>
        <v>704.6</v>
      </c>
      <c r="F49" s="4">
        <f>VLOOKUP($B49&amp;F$57,'NREL Mid-case w tax expiration'!$C$3:$D$386,2,FALSE)</f>
        <v>616.5</v>
      </c>
      <c r="G49" s="4">
        <f>VLOOKUP($B49&amp;G$57,'NREL Mid-case w tax expiration'!$C$3:$D$386,2,FALSE)</f>
        <v>550.6</v>
      </c>
      <c r="H49" s="4">
        <f>VLOOKUP($B49&amp;H$57,'NREL Mid-case w tax expiration'!$C$3:$D$386,2,FALSE)</f>
        <v>502.8</v>
      </c>
      <c r="I49" s="4">
        <f>VLOOKUP($B49&amp;I$57,'NREL Mid-case w tax expiration'!$C$3:$D$386,2,FALSE)</f>
        <v>319.8</v>
      </c>
      <c r="J49" s="4">
        <f>VLOOKUP($B49&amp;J$57,'NREL Mid-case w tax expiration'!$C$3:$D$386,2,FALSE)</f>
        <v>264.7</v>
      </c>
      <c r="K49" s="4">
        <f>VLOOKUP($B49&amp;K$57,'NREL Mid-case w tax expiration'!$C$3:$D$386,2,FALSE)</f>
        <v>206.3</v>
      </c>
      <c r="L49" s="4">
        <f>VLOOKUP($B49&amp;L$57,'NREL Mid-case w tax expiration'!$C$3:$D$386,2,FALSE)</f>
        <v>262.10000000000002</v>
      </c>
      <c r="O49" s="37">
        <v>1421.231</v>
      </c>
    </row>
    <row r="50" spans="2:15" x14ac:dyDescent="0.2">
      <c r="B50" s="2" t="s">
        <v>50</v>
      </c>
      <c r="C50" s="50">
        <f t="shared" si="0"/>
        <v>242.00422998136003</v>
      </c>
      <c r="D50" s="51">
        <v>267.60909008436897</v>
      </c>
      <c r="E50" s="4">
        <f>VLOOKUP($B50&amp;E$57,'NREL Mid-case w tax expiration'!$C$3:$D$386,2,FALSE)</f>
        <v>232</v>
      </c>
      <c r="F50" s="4">
        <f>VLOOKUP($B50&amp;F$57,'NREL Mid-case w tax expiration'!$C$3:$D$386,2,FALSE)</f>
        <v>223.5</v>
      </c>
      <c r="G50" s="4">
        <f>VLOOKUP($B50&amp;G$57,'NREL Mid-case w tax expiration'!$C$3:$D$386,2,FALSE)</f>
        <v>205.1</v>
      </c>
      <c r="H50" s="4">
        <f>VLOOKUP($B50&amp;H$57,'NREL Mid-case w tax expiration'!$C$3:$D$386,2,FALSE)</f>
        <v>184.4</v>
      </c>
      <c r="I50" s="4">
        <f>VLOOKUP($B50&amp;I$57,'NREL Mid-case w tax expiration'!$C$3:$D$386,2,FALSE)</f>
        <v>141</v>
      </c>
      <c r="J50" s="4">
        <f>VLOOKUP($B50&amp;J$57,'NREL Mid-case w tax expiration'!$C$3:$D$386,2,FALSE)</f>
        <v>127.6</v>
      </c>
      <c r="K50" s="4">
        <f>VLOOKUP($B50&amp;K$57,'NREL Mid-case w tax expiration'!$C$3:$D$386,2,FALSE)</f>
        <v>2.4</v>
      </c>
      <c r="L50" s="4">
        <f>VLOOKUP($B50&amp;L$57,'NREL Mid-case w tax expiration'!$C$3:$D$386,2,FALSE)</f>
        <v>6.1</v>
      </c>
      <c r="O50" s="37">
        <v>533.52800000000002</v>
      </c>
    </row>
    <row r="51" spans="2:15" x14ac:dyDescent="0.2">
      <c r="B51" s="2" t="s">
        <v>51</v>
      </c>
      <c r="C51" s="50">
        <f t="shared" si="0"/>
        <v>23.68840793088</v>
      </c>
      <c r="D51" s="51">
        <v>19.327315612809599</v>
      </c>
      <c r="E51" s="4">
        <f>VLOOKUP($B51&amp;E$57,'NREL Mid-case w tax expiration'!$C$3:$D$386,2,FALSE)</f>
        <v>0.8</v>
      </c>
      <c r="F51" s="4">
        <f>VLOOKUP($B51&amp;F$57,'NREL Mid-case w tax expiration'!$C$3:$D$386,2,FALSE)</f>
        <v>0.8</v>
      </c>
      <c r="G51" s="4">
        <f>VLOOKUP($B51&amp;G$57,'NREL Mid-case w tax expiration'!$C$3:$D$386,2,FALSE)</f>
        <v>0.8</v>
      </c>
      <c r="H51" s="4">
        <f>VLOOKUP($B51&amp;H$57,'NREL Mid-case w tax expiration'!$C$3:$D$386,2,FALSE)</f>
        <v>0.3</v>
      </c>
      <c r="I51" s="4">
        <f>VLOOKUP($B51&amp;I$57,'NREL Mid-case w tax expiration'!$C$3:$D$386,2,FALSE)</f>
        <v>0.3</v>
      </c>
      <c r="J51" s="4">
        <f>VLOOKUP($B51&amp;J$57,'NREL Mid-case w tax expiration'!$C$3:$D$386,2,FALSE)</f>
        <v>21.4</v>
      </c>
      <c r="K51" s="4">
        <f>VLOOKUP($B51&amp;K$57,'NREL Mid-case w tax expiration'!$C$3:$D$386,2,FALSE)</f>
        <v>27.7</v>
      </c>
      <c r="L51" s="4">
        <f>VLOOKUP($B51&amp;L$57,'NREL Mid-case w tax expiration'!$C$3:$D$386,2,FALSE)</f>
        <v>35.799999999999997</v>
      </c>
      <c r="O51" s="37">
        <v>52.223999999999997</v>
      </c>
    </row>
    <row r="52" spans="2:15" x14ac:dyDescent="0.2">
      <c r="B52" s="2" t="s">
        <v>52</v>
      </c>
      <c r="C52" s="50">
        <f t="shared" si="0"/>
        <v>120.92092195645</v>
      </c>
      <c r="D52" s="51">
        <v>84.353170643200599</v>
      </c>
      <c r="E52" s="4">
        <f>VLOOKUP($B52&amp;E$57,'NREL Mid-case w tax expiration'!$C$3:$D$386,2,FALSE)</f>
        <v>58.1</v>
      </c>
      <c r="F52" s="4">
        <f>VLOOKUP($B52&amp;F$57,'NREL Mid-case w tax expiration'!$C$3:$D$386,2,FALSE)</f>
        <v>21.9</v>
      </c>
      <c r="G52" s="4">
        <f>VLOOKUP($B52&amp;G$57,'NREL Mid-case w tax expiration'!$C$3:$D$386,2,FALSE)</f>
        <v>12.3</v>
      </c>
      <c r="H52" s="4">
        <f>VLOOKUP($B52&amp;H$57,'NREL Mid-case w tax expiration'!$C$3:$D$386,2,FALSE)</f>
        <v>12.1</v>
      </c>
      <c r="I52" s="4">
        <f>VLOOKUP($B52&amp;I$57,'NREL Mid-case w tax expiration'!$C$3:$D$386,2,FALSE)</f>
        <v>14.3</v>
      </c>
      <c r="J52" s="4">
        <f>VLOOKUP($B52&amp;J$57,'NREL Mid-case w tax expiration'!$C$3:$D$386,2,FALSE)</f>
        <v>12.6</v>
      </c>
      <c r="K52" s="4">
        <f>VLOOKUP($B52&amp;K$57,'NREL Mid-case w tax expiration'!$C$3:$D$386,2,FALSE)</f>
        <v>15.1</v>
      </c>
      <c r="L52" s="4">
        <f>VLOOKUP($B52&amp;L$57,'NREL Mid-case w tax expiration'!$C$3:$D$386,2,FALSE)</f>
        <v>56.2</v>
      </c>
      <c r="O52" s="37">
        <v>266.58499999999998</v>
      </c>
    </row>
    <row r="53" spans="2:15" x14ac:dyDescent="0.2">
      <c r="B53" s="2" t="s">
        <v>53</v>
      </c>
      <c r="C53" s="50">
        <f t="shared" si="0"/>
        <v>528.47502717856003</v>
      </c>
      <c r="D53" s="51">
        <v>534.52236233330302</v>
      </c>
      <c r="E53" s="4">
        <f>VLOOKUP($B53&amp;E$57,'NREL Mid-case w tax expiration'!$C$3:$D$386,2,FALSE)</f>
        <v>471</v>
      </c>
      <c r="F53" s="4">
        <f>VLOOKUP($B53&amp;F$57,'NREL Mid-case w tax expiration'!$C$3:$D$386,2,FALSE)</f>
        <v>409.1</v>
      </c>
      <c r="G53" s="4">
        <f>VLOOKUP($B53&amp;G$57,'NREL Mid-case w tax expiration'!$C$3:$D$386,2,FALSE)</f>
        <v>293.39999999999998</v>
      </c>
      <c r="H53" s="4">
        <f>VLOOKUP($B53&amp;H$57,'NREL Mid-case w tax expiration'!$C$3:$D$386,2,FALSE)</f>
        <v>237.2</v>
      </c>
      <c r="I53" s="4">
        <f>VLOOKUP($B53&amp;I$57,'NREL Mid-case w tax expiration'!$C$3:$D$386,2,FALSE)</f>
        <v>183.9</v>
      </c>
      <c r="J53" s="4">
        <f>VLOOKUP($B53&amp;J$57,'NREL Mid-case w tax expiration'!$C$3:$D$386,2,FALSE)</f>
        <v>133.19999999999999</v>
      </c>
      <c r="K53" s="4">
        <f>VLOOKUP($B53&amp;K$57,'NREL Mid-case w tax expiration'!$C$3:$D$386,2,FALSE)</f>
        <v>162.1</v>
      </c>
      <c r="L53" s="4">
        <f>VLOOKUP($B53&amp;L$57,'NREL Mid-case w tax expiration'!$C$3:$D$386,2,FALSE)</f>
        <v>254.5</v>
      </c>
      <c r="O53" s="37">
        <v>1165.088</v>
      </c>
    </row>
    <row r="54" spans="2:15" x14ac:dyDescent="0.2">
      <c r="B54" s="2" t="s">
        <v>54</v>
      </c>
      <c r="C54" s="50">
        <f t="shared" si="0"/>
        <v>892.82581993528004</v>
      </c>
      <c r="D54" s="51">
        <v>895.54839880250404</v>
      </c>
      <c r="E54" s="4">
        <f>VLOOKUP($B54&amp;E$57,'NREL Mid-case w tax expiration'!$C$3:$D$386,2,FALSE)</f>
        <v>859</v>
      </c>
      <c r="F54" s="4">
        <f>VLOOKUP($B54&amp;F$57,'NREL Mid-case w tax expiration'!$C$3:$D$386,2,FALSE)</f>
        <v>849.9</v>
      </c>
      <c r="G54" s="4">
        <f>VLOOKUP($B54&amp;G$57,'NREL Mid-case w tax expiration'!$C$3:$D$386,2,FALSE)</f>
        <v>742.4</v>
      </c>
      <c r="H54" s="4">
        <f>VLOOKUP($B54&amp;H$57,'NREL Mid-case w tax expiration'!$C$3:$D$386,2,FALSE)</f>
        <v>679.9</v>
      </c>
      <c r="I54" s="4">
        <f>VLOOKUP($B54&amp;I$57,'NREL Mid-case w tax expiration'!$C$3:$D$386,2,FALSE)</f>
        <v>553.6</v>
      </c>
      <c r="J54" s="4">
        <f>VLOOKUP($B54&amp;J$57,'NREL Mid-case w tax expiration'!$C$3:$D$386,2,FALSE)</f>
        <v>318.39999999999998</v>
      </c>
      <c r="K54" s="4">
        <f>VLOOKUP($B54&amp;K$57,'NREL Mid-case w tax expiration'!$C$3:$D$386,2,FALSE)</f>
        <v>290.39999999999998</v>
      </c>
      <c r="L54" s="4">
        <f>VLOOKUP($B54&amp;L$57,'NREL Mid-case w tax expiration'!$C$3:$D$386,2,FALSE)</f>
        <v>411.4</v>
      </c>
      <c r="O54" s="37">
        <v>1968.3440000000001</v>
      </c>
    </row>
    <row r="55" spans="2:15" x14ac:dyDescent="0.2">
      <c r="B55" s="2" t="s">
        <v>55</v>
      </c>
      <c r="C55" s="50">
        <f t="shared" si="0"/>
        <v>831.55410900331003</v>
      </c>
      <c r="D55" s="51">
        <v>824.45069400344698</v>
      </c>
      <c r="E55" s="4">
        <f>VLOOKUP($B55&amp;E$57,'NREL Mid-case w tax expiration'!$C$3:$D$386,2,FALSE)</f>
        <v>875</v>
      </c>
      <c r="F55" s="4">
        <f>VLOOKUP($B55&amp;F$57,'NREL Mid-case w tax expiration'!$C$3:$D$386,2,FALSE)</f>
        <v>633.70000000000005</v>
      </c>
      <c r="G55" s="4">
        <f>VLOOKUP($B55&amp;G$57,'NREL Mid-case w tax expiration'!$C$3:$D$386,2,FALSE)</f>
        <v>469</v>
      </c>
      <c r="H55" s="4">
        <f>VLOOKUP($B55&amp;H$57,'NREL Mid-case w tax expiration'!$C$3:$D$386,2,FALSE)</f>
        <v>316.5</v>
      </c>
      <c r="I55" s="4">
        <f>VLOOKUP($B55&amp;I$57,'NREL Mid-case w tax expiration'!$C$3:$D$386,2,FALSE)</f>
        <v>195</v>
      </c>
      <c r="J55" s="4">
        <f>VLOOKUP($B55&amp;J$57,'NREL Mid-case w tax expiration'!$C$3:$D$386,2,FALSE)</f>
        <v>121.2</v>
      </c>
      <c r="K55" s="4">
        <f>VLOOKUP($B55&amp;K$57,'NREL Mid-case w tax expiration'!$C$3:$D$386,2,FALSE)</f>
        <v>55.3</v>
      </c>
      <c r="L55" s="4">
        <f>VLOOKUP($B55&amp;L$57,'NREL Mid-case w tax expiration'!$C$3:$D$386,2,FALSE)</f>
        <v>71</v>
      </c>
      <c r="O55" s="37">
        <v>1833.2629999999999</v>
      </c>
    </row>
    <row r="57" spans="2:15" x14ac:dyDescent="0.2">
      <c r="E57" s="9">
        <v>2024</v>
      </c>
      <c r="F57" s="9">
        <v>2026</v>
      </c>
      <c r="G57" s="9">
        <v>2028</v>
      </c>
      <c r="H57" s="9">
        <v>2030</v>
      </c>
      <c r="I57" s="9">
        <v>2035</v>
      </c>
      <c r="J57" s="9">
        <v>2040</v>
      </c>
      <c r="K57" s="9">
        <v>2045</v>
      </c>
      <c r="L57" s="9">
        <v>2050</v>
      </c>
    </row>
  </sheetData>
  <mergeCells count="2">
    <mergeCell ref="E2:L2"/>
    <mergeCell ref="C1:L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17C48-8936-45CB-BA61-C1C8711E41F0}">
  <dimension ref="A2:D386"/>
  <sheetViews>
    <sheetView workbookViewId="0">
      <selection activeCell="E15" sqref="E15"/>
    </sheetView>
  </sheetViews>
  <sheetFormatPr baseColWidth="10" defaultColWidth="8.83203125" defaultRowHeight="15" x14ac:dyDescent="0.2"/>
  <sheetData>
    <row r="2" spans="1:4" x14ac:dyDescent="0.2">
      <c r="A2" t="s">
        <v>90</v>
      </c>
      <c r="B2" t="s">
        <v>91</v>
      </c>
      <c r="C2" t="s">
        <v>93</v>
      </c>
      <c r="D2" t="s">
        <v>92</v>
      </c>
    </row>
    <row r="3" spans="1:4" x14ac:dyDescent="0.2">
      <c r="A3" t="s">
        <v>8</v>
      </c>
      <c r="B3">
        <v>2024</v>
      </c>
      <c r="C3" t="str">
        <f>_xlfn.CONCAT(A3,B3)</f>
        <v>AL2024</v>
      </c>
      <c r="D3">
        <v>450.9</v>
      </c>
    </row>
    <row r="4" spans="1:4" x14ac:dyDescent="0.2">
      <c r="A4" t="s">
        <v>8</v>
      </c>
      <c r="B4">
        <v>2026</v>
      </c>
      <c r="C4" t="str">
        <f t="shared" ref="C4:C67" si="0">_xlfn.CONCAT(A4,B4)</f>
        <v>AL2026</v>
      </c>
      <c r="D4">
        <v>422.8</v>
      </c>
    </row>
    <row r="5" spans="1:4" x14ac:dyDescent="0.2">
      <c r="A5" t="s">
        <v>8</v>
      </c>
      <c r="B5">
        <v>2028</v>
      </c>
      <c r="C5" t="str">
        <f t="shared" si="0"/>
        <v>AL2028</v>
      </c>
      <c r="D5">
        <v>370.7</v>
      </c>
    </row>
    <row r="6" spans="1:4" x14ac:dyDescent="0.2">
      <c r="A6" t="s">
        <v>8</v>
      </c>
      <c r="B6">
        <v>2030</v>
      </c>
      <c r="C6" t="str">
        <f t="shared" si="0"/>
        <v>AL2030</v>
      </c>
      <c r="D6">
        <v>360.1</v>
      </c>
    </row>
    <row r="7" spans="1:4" x14ac:dyDescent="0.2">
      <c r="A7" t="s">
        <v>8</v>
      </c>
      <c r="B7">
        <v>2035</v>
      </c>
      <c r="C7" t="str">
        <f t="shared" si="0"/>
        <v>AL2035</v>
      </c>
      <c r="D7">
        <v>302.10000000000002</v>
      </c>
    </row>
    <row r="8" spans="1:4" x14ac:dyDescent="0.2">
      <c r="A8" t="s">
        <v>8</v>
      </c>
      <c r="B8">
        <v>2040</v>
      </c>
      <c r="C8" t="str">
        <f t="shared" si="0"/>
        <v>AL2040</v>
      </c>
      <c r="D8">
        <v>231.6</v>
      </c>
    </row>
    <row r="9" spans="1:4" x14ac:dyDescent="0.2">
      <c r="A9" t="s">
        <v>8</v>
      </c>
      <c r="B9">
        <v>2045</v>
      </c>
      <c r="C9" t="str">
        <f t="shared" si="0"/>
        <v>AL2045</v>
      </c>
      <c r="D9">
        <v>211.6</v>
      </c>
    </row>
    <row r="10" spans="1:4" x14ac:dyDescent="0.2">
      <c r="A10" t="s">
        <v>8</v>
      </c>
      <c r="B10">
        <v>2050</v>
      </c>
      <c r="C10" t="str">
        <f t="shared" si="0"/>
        <v>AL2050</v>
      </c>
      <c r="D10">
        <v>230.1</v>
      </c>
    </row>
    <row r="11" spans="1:4" x14ac:dyDescent="0.2">
      <c r="A11" t="s">
        <v>9</v>
      </c>
      <c r="B11">
        <v>2024</v>
      </c>
      <c r="C11" t="str">
        <f t="shared" si="0"/>
        <v>AR2024</v>
      </c>
      <c r="D11">
        <v>454.7</v>
      </c>
    </row>
    <row r="12" spans="1:4" x14ac:dyDescent="0.2">
      <c r="A12" t="s">
        <v>9</v>
      </c>
      <c r="B12">
        <v>2026</v>
      </c>
      <c r="C12" t="str">
        <f t="shared" si="0"/>
        <v>AR2026</v>
      </c>
      <c r="D12">
        <v>379.6</v>
      </c>
    </row>
    <row r="13" spans="1:4" x14ac:dyDescent="0.2">
      <c r="A13" t="s">
        <v>9</v>
      </c>
      <c r="B13">
        <v>2028</v>
      </c>
      <c r="C13" t="str">
        <f t="shared" si="0"/>
        <v>AR2028</v>
      </c>
      <c r="D13">
        <v>214.1</v>
      </c>
    </row>
    <row r="14" spans="1:4" x14ac:dyDescent="0.2">
      <c r="A14" t="s">
        <v>9</v>
      </c>
      <c r="B14">
        <v>2030</v>
      </c>
      <c r="C14" t="str">
        <f t="shared" si="0"/>
        <v>AR2030</v>
      </c>
      <c r="D14">
        <v>125</v>
      </c>
    </row>
    <row r="15" spans="1:4" x14ac:dyDescent="0.2">
      <c r="A15" t="s">
        <v>9</v>
      </c>
      <c r="B15">
        <v>2035</v>
      </c>
      <c r="C15" t="str">
        <f t="shared" si="0"/>
        <v>AR2035</v>
      </c>
      <c r="D15">
        <v>92.7</v>
      </c>
    </row>
    <row r="16" spans="1:4" x14ac:dyDescent="0.2">
      <c r="A16" t="s">
        <v>9</v>
      </c>
      <c r="B16">
        <v>2040</v>
      </c>
      <c r="C16" t="str">
        <f t="shared" si="0"/>
        <v>AR2040</v>
      </c>
      <c r="D16">
        <v>67.599999999999994</v>
      </c>
    </row>
    <row r="17" spans="1:4" x14ac:dyDescent="0.2">
      <c r="A17" t="s">
        <v>9</v>
      </c>
      <c r="B17">
        <v>2045</v>
      </c>
      <c r="C17" t="str">
        <f t="shared" si="0"/>
        <v>AR2045</v>
      </c>
      <c r="D17">
        <v>72.2</v>
      </c>
    </row>
    <row r="18" spans="1:4" x14ac:dyDescent="0.2">
      <c r="A18" t="s">
        <v>9</v>
      </c>
      <c r="B18">
        <v>2050</v>
      </c>
      <c r="C18" t="str">
        <f t="shared" si="0"/>
        <v>AR2050</v>
      </c>
      <c r="D18">
        <v>164.7</v>
      </c>
    </row>
    <row r="19" spans="1:4" x14ac:dyDescent="0.2">
      <c r="A19" t="s">
        <v>10</v>
      </c>
      <c r="B19">
        <v>2024</v>
      </c>
      <c r="C19" t="str">
        <f t="shared" si="0"/>
        <v>AZ2024</v>
      </c>
      <c r="D19">
        <v>229.5</v>
      </c>
    </row>
    <row r="20" spans="1:4" x14ac:dyDescent="0.2">
      <c r="A20" t="s">
        <v>10</v>
      </c>
      <c r="B20">
        <v>2026</v>
      </c>
      <c r="C20" t="str">
        <f t="shared" si="0"/>
        <v>AZ2026</v>
      </c>
      <c r="D20">
        <v>199.9</v>
      </c>
    </row>
    <row r="21" spans="1:4" x14ac:dyDescent="0.2">
      <c r="A21" t="s">
        <v>10</v>
      </c>
      <c r="B21">
        <v>2028</v>
      </c>
      <c r="C21" t="str">
        <f t="shared" si="0"/>
        <v>AZ2028</v>
      </c>
      <c r="D21">
        <v>148.4</v>
      </c>
    </row>
    <row r="22" spans="1:4" x14ac:dyDescent="0.2">
      <c r="A22" t="s">
        <v>10</v>
      </c>
      <c r="B22">
        <v>2030</v>
      </c>
      <c r="C22" t="str">
        <f t="shared" si="0"/>
        <v>AZ2030</v>
      </c>
      <c r="D22">
        <v>136.80000000000001</v>
      </c>
    </row>
    <row r="23" spans="1:4" x14ac:dyDescent="0.2">
      <c r="A23" t="s">
        <v>10</v>
      </c>
      <c r="B23">
        <v>2035</v>
      </c>
      <c r="C23" t="str">
        <f t="shared" si="0"/>
        <v>AZ2035</v>
      </c>
      <c r="D23">
        <v>105.1</v>
      </c>
    </row>
    <row r="24" spans="1:4" x14ac:dyDescent="0.2">
      <c r="A24" t="s">
        <v>10</v>
      </c>
      <c r="B24">
        <v>2040</v>
      </c>
      <c r="C24" t="str">
        <f t="shared" si="0"/>
        <v>AZ2040</v>
      </c>
      <c r="D24">
        <v>69.3</v>
      </c>
    </row>
    <row r="25" spans="1:4" x14ac:dyDescent="0.2">
      <c r="A25" t="s">
        <v>10</v>
      </c>
      <c r="B25">
        <v>2045</v>
      </c>
      <c r="C25" t="str">
        <f t="shared" si="0"/>
        <v>AZ2045</v>
      </c>
      <c r="D25">
        <v>52.2</v>
      </c>
    </row>
    <row r="26" spans="1:4" x14ac:dyDescent="0.2">
      <c r="A26" t="s">
        <v>10</v>
      </c>
      <c r="B26">
        <v>2050</v>
      </c>
      <c r="C26" t="str">
        <f t="shared" si="0"/>
        <v>AZ2050</v>
      </c>
      <c r="D26">
        <v>75.8</v>
      </c>
    </row>
    <row r="27" spans="1:4" x14ac:dyDescent="0.2">
      <c r="A27" t="s">
        <v>11</v>
      </c>
      <c r="B27">
        <v>2024</v>
      </c>
      <c r="C27" t="str">
        <f t="shared" si="0"/>
        <v>CA2024</v>
      </c>
      <c r="D27">
        <v>143.9</v>
      </c>
    </row>
    <row r="28" spans="1:4" x14ac:dyDescent="0.2">
      <c r="A28" t="s">
        <v>11</v>
      </c>
      <c r="B28">
        <v>2026</v>
      </c>
      <c r="C28" t="str">
        <f t="shared" si="0"/>
        <v>CA2026</v>
      </c>
      <c r="D28">
        <v>128.4</v>
      </c>
    </row>
    <row r="29" spans="1:4" x14ac:dyDescent="0.2">
      <c r="A29" t="s">
        <v>11</v>
      </c>
      <c r="B29">
        <v>2028</v>
      </c>
      <c r="C29" t="str">
        <f t="shared" si="0"/>
        <v>CA2028</v>
      </c>
      <c r="D29">
        <v>87.6</v>
      </c>
    </row>
    <row r="30" spans="1:4" x14ac:dyDescent="0.2">
      <c r="A30" t="s">
        <v>11</v>
      </c>
      <c r="B30">
        <v>2030</v>
      </c>
      <c r="C30" t="str">
        <f t="shared" si="0"/>
        <v>CA2030</v>
      </c>
      <c r="D30">
        <v>55.1</v>
      </c>
    </row>
    <row r="31" spans="1:4" x14ac:dyDescent="0.2">
      <c r="A31" t="s">
        <v>11</v>
      </c>
      <c r="B31">
        <v>2035</v>
      </c>
      <c r="C31" t="str">
        <f t="shared" si="0"/>
        <v>CA2035</v>
      </c>
      <c r="D31">
        <v>33.1</v>
      </c>
    </row>
    <row r="32" spans="1:4" x14ac:dyDescent="0.2">
      <c r="A32" t="s">
        <v>11</v>
      </c>
      <c r="B32">
        <v>2040</v>
      </c>
      <c r="C32" t="str">
        <f t="shared" si="0"/>
        <v>CA2040</v>
      </c>
      <c r="D32">
        <v>18.2</v>
      </c>
    </row>
    <row r="33" spans="1:4" x14ac:dyDescent="0.2">
      <c r="A33" t="s">
        <v>11</v>
      </c>
      <c r="B33">
        <v>2045</v>
      </c>
      <c r="C33" t="str">
        <f t="shared" si="0"/>
        <v>CA2045</v>
      </c>
      <c r="D33">
        <v>13.1</v>
      </c>
    </row>
    <row r="34" spans="1:4" x14ac:dyDescent="0.2">
      <c r="A34" t="s">
        <v>11</v>
      </c>
      <c r="B34">
        <v>2050</v>
      </c>
      <c r="C34" t="str">
        <f t="shared" si="0"/>
        <v>CA2050</v>
      </c>
      <c r="D34">
        <v>23.6</v>
      </c>
    </row>
    <row r="35" spans="1:4" x14ac:dyDescent="0.2">
      <c r="A35" t="s">
        <v>12</v>
      </c>
      <c r="B35">
        <v>2024</v>
      </c>
      <c r="C35" t="str">
        <f t="shared" si="0"/>
        <v>CO2024</v>
      </c>
      <c r="D35">
        <v>497.8</v>
      </c>
    </row>
    <row r="36" spans="1:4" x14ac:dyDescent="0.2">
      <c r="A36" t="s">
        <v>12</v>
      </c>
      <c r="B36">
        <v>2026</v>
      </c>
      <c r="C36" t="str">
        <f t="shared" si="0"/>
        <v>CO2026</v>
      </c>
      <c r="D36">
        <v>435</v>
      </c>
    </row>
    <row r="37" spans="1:4" x14ac:dyDescent="0.2">
      <c r="A37" t="s">
        <v>12</v>
      </c>
      <c r="B37">
        <v>2028</v>
      </c>
      <c r="C37" t="str">
        <f t="shared" si="0"/>
        <v>CO2028</v>
      </c>
      <c r="D37">
        <v>147.69999999999999</v>
      </c>
    </row>
    <row r="38" spans="1:4" x14ac:dyDescent="0.2">
      <c r="A38" t="s">
        <v>12</v>
      </c>
      <c r="B38">
        <v>2030</v>
      </c>
      <c r="C38" t="str">
        <f t="shared" si="0"/>
        <v>CO2030</v>
      </c>
      <c r="D38">
        <v>34.799999999999997</v>
      </c>
    </row>
    <row r="39" spans="1:4" x14ac:dyDescent="0.2">
      <c r="A39" t="s">
        <v>12</v>
      </c>
      <c r="B39">
        <v>2035</v>
      </c>
      <c r="C39" t="str">
        <f t="shared" si="0"/>
        <v>CO2035</v>
      </c>
      <c r="D39">
        <v>26.6</v>
      </c>
    </row>
    <row r="40" spans="1:4" x14ac:dyDescent="0.2">
      <c r="A40" t="s">
        <v>12</v>
      </c>
      <c r="B40">
        <v>2040</v>
      </c>
      <c r="C40" t="str">
        <f t="shared" si="0"/>
        <v>CO2040</v>
      </c>
      <c r="D40">
        <v>18.8</v>
      </c>
    </row>
    <row r="41" spans="1:4" x14ac:dyDescent="0.2">
      <c r="A41" t="s">
        <v>12</v>
      </c>
      <c r="B41">
        <v>2045</v>
      </c>
      <c r="C41" t="str">
        <f t="shared" si="0"/>
        <v>CO2045</v>
      </c>
      <c r="D41">
        <v>7.2</v>
      </c>
    </row>
    <row r="42" spans="1:4" x14ac:dyDescent="0.2">
      <c r="A42" t="s">
        <v>12</v>
      </c>
      <c r="B42">
        <v>2050</v>
      </c>
      <c r="C42" t="str">
        <f t="shared" si="0"/>
        <v>CO2050</v>
      </c>
      <c r="D42">
        <v>23.2</v>
      </c>
    </row>
    <row r="43" spans="1:4" x14ac:dyDescent="0.2">
      <c r="A43" t="s">
        <v>13</v>
      </c>
      <c r="B43">
        <v>2024</v>
      </c>
      <c r="C43" t="str">
        <f t="shared" si="0"/>
        <v>CT2024</v>
      </c>
      <c r="D43">
        <v>238.9</v>
      </c>
    </row>
    <row r="44" spans="1:4" x14ac:dyDescent="0.2">
      <c r="A44" t="s">
        <v>13</v>
      </c>
      <c r="B44">
        <v>2026</v>
      </c>
      <c r="C44" t="str">
        <f t="shared" si="0"/>
        <v>CT2026</v>
      </c>
      <c r="D44">
        <v>235.1</v>
      </c>
    </row>
    <row r="45" spans="1:4" x14ac:dyDescent="0.2">
      <c r="A45" t="s">
        <v>13</v>
      </c>
      <c r="B45">
        <v>2028</v>
      </c>
      <c r="C45" t="str">
        <f t="shared" si="0"/>
        <v>CT2028</v>
      </c>
      <c r="D45">
        <v>225.7</v>
      </c>
    </row>
    <row r="46" spans="1:4" x14ac:dyDescent="0.2">
      <c r="A46" t="s">
        <v>13</v>
      </c>
      <c r="B46">
        <v>2030</v>
      </c>
      <c r="C46" t="str">
        <f t="shared" si="0"/>
        <v>CT2030</v>
      </c>
      <c r="D46">
        <v>211.4</v>
      </c>
    </row>
    <row r="47" spans="1:4" x14ac:dyDescent="0.2">
      <c r="A47" t="s">
        <v>13</v>
      </c>
      <c r="B47">
        <v>2035</v>
      </c>
      <c r="C47" t="str">
        <f t="shared" si="0"/>
        <v>CT2035</v>
      </c>
      <c r="D47">
        <v>192.7</v>
      </c>
    </row>
    <row r="48" spans="1:4" x14ac:dyDescent="0.2">
      <c r="A48" t="s">
        <v>13</v>
      </c>
      <c r="B48">
        <v>2040</v>
      </c>
      <c r="C48" t="str">
        <f t="shared" si="0"/>
        <v>CT2040</v>
      </c>
      <c r="D48">
        <v>191.1</v>
      </c>
    </row>
    <row r="49" spans="1:4" x14ac:dyDescent="0.2">
      <c r="A49" t="s">
        <v>13</v>
      </c>
      <c r="B49">
        <v>2045</v>
      </c>
      <c r="C49" t="str">
        <f t="shared" si="0"/>
        <v>CT2045</v>
      </c>
      <c r="D49">
        <v>203.7</v>
      </c>
    </row>
    <row r="50" spans="1:4" x14ac:dyDescent="0.2">
      <c r="A50" t="s">
        <v>13</v>
      </c>
      <c r="B50">
        <v>2050</v>
      </c>
      <c r="C50" t="str">
        <f t="shared" si="0"/>
        <v>CT2050</v>
      </c>
      <c r="D50">
        <v>218.4</v>
      </c>
    </row>
    <row r="51" spans="1:4" x14ac:dyDescent="0.2">
      <c r="A51" t="s">
        <v>14</v>
      </c>
      <c r="B51">
        <v>2024</v>
      </c>
      <c r="C51" t="str">
        <f t="shared" si="0"/>
        <v>DE2024</v>
      </c>
      <c r="D51">
        <v>412.5</v>
      </c>
    </row>
    <row r="52" spans="1:4" x14ac:dyDescent="0.2">
      <c r="A52" t="s">
        <v>14</v>
      </c>
      <c r="B52">
        <v>2026</v>
      </c>
      <c r="C52" t="str">
        <f t="shared" si="0"/>
        <v>DE2026</v>
      </c>
      <c r="D52">
        <v>403.1</v>
      </c>
    </row>
    <row r="53" spans="1:4" x14ac:dyDescent="0.2">
      <c r="A53" t="s">
        <v>14</v>
      </c>
      <c r="B53">
        <v>2028</v>
      </c>
      <c r="C53" t="str">
        <f t="shared" si="0"/>
        <v>DE2028</v>
      </c>
      <c r="D53">
        <v>379.2</v>
      </c>
    </row>
    <row r="54" spans="1:4" x14ac:dyDescent="0.2">
      <c r="A54" t="s">
        <v>14</v>
      </c>
      <c r="B54">
        <v>2030</v>
      </c>
      <c r="C54" t="str">
        <f t="shared" si="0"/>
        <v>DE2030</v>
      </c>
      <c r="D54">
        <v>357.8</v>
      </c>
    </row>
    <row r="55" spans="1:4" x14ac:dyDescent="0.2">
      <c r="A55" t="s">
        <v>14</v>
      </c>
      <c r="B55">
        <v>2035</v>
      </c>
      <c r="C55" t="str">
        <f t="shared" si="0"/>
        <v>DE2035</v>
      </c>
      <c r="D55">
        <v>325.39999999999998</v>
      </c>
    </row>
    <row r="56" spans="1:4" x14ac:dyDescent="0.2">
      <c r="A56" t="s">
        <v>14</v>
      </c>
      <c r="B56">
        <v>2040</v>
      </c>
      <c r="C56" t="str">
        <f t="shared" si="0"/>
        <v>DE2040</v>
      </c>
      <c r="D56">
        <v>276.2</v>
      </c>
    </row>
    <row r="57" spans="1:4" x14ac:dyDescent="0.2">
      <c r="A57" t="s">
        <v>14</v>
      </c>
      <c r="B57">
        <v>2045</v>
      </c>
      <c r="C57" t="str">
        <f t="shared" si="0"/>
        <v>DE2045</v>
      </c>
      <c r="D57">
        <v>289.8</v>
      </c>
    </row>
    <row r="58" spans="1:4" x14ac:dyDescent="0.2">
      <c r="A58" t="s">
        <v>14</v>
      </c>
      <c r="B58">
        <v>2050</v>
      </c>
      <c r="C58" t="str">
        <f t="shared" si="0"/>
        <v>DE2050</v>
      </c>
      <c r="D58">
        <v>395.8</v>
      </c>
    </row>
    <row r="59" spans="1:4" x14ac:dyDescent="0.2">
      <c r="A59" t="s">
        <v>15</v>
      </c>
      <c r="B59">
        <v>2024</v>
      </c>
      <c r="C59" t="str">
        <f t="shared" si="0"/>
        <v>FL2024</v>
      </c>
      <c r="D59">
        <v>356.5</v>
      </c>
    </row>
    <row r="60" spans="1:4" x14ac:dyDescent="0.2">
      <c r="A60" t="s">
        <v>15</v>
      </c>
      <c r="B60">
        <v>2026</v>
      </c>
      <c r="C60" t="str">
        <f t="shared" si="0"/>
        <v>FL2026</v>
      </c>
      <c r="D60">
        <v>282.39999999999998</v>
      </c>
    </row>
    <row r="61" spans="1:4" x14ac:dyDescent="0.2">
      <c r="A61" t="s">
        <v>15</v>
      </c>
      <c r="B61">
        <v>2028</v>
      </c>
      <c r="C61" t="str">
        <f t="shared" si="0"/>
        <v>FL2028</v>
      </c>
      <c r="D61">
        <v>216.4</v>
      </c>
    </row>
    <row r="62" spans="1:4" x14ac:dyDescent="0.2">
      <c r="A62" t="s">
        <v>15</v>
      </c>
      <c r="B62">
        <v>2030</v>
      </c>
      <c r="C62" t="str">
        <f t="shared" si="0"/>
        <v>FL2030</v>
      </c>
      <c r="D62">
        <v>183.2</v>
      </c>
    </row>
    <row r="63" spans="1:4" x14ac:dyDescent="0.2">
      <c r="A63" t="s">
        <v>15</v>
      </c>
      <c r="B63">
        <v>2035</v>
      </c>
      <c r="C63" t="str">
        <f t="shared" si="0"/>
        <v>FL2035</v>
      </c>
      <c r="D63">
        <v>125.5</v>
      </c>
    </row>
    <row r="64" spans="1:4" x14ac:dyDescent="0.2">
      <c r="A64" t="s">
        <v>15</v>
      </c>
      <c r="B64">
        <v>2040</v>
      </c>
      <c r="C64" t="str">
        <f t="shared" si="0"/>
        <v>FL2040</v>
      </c>
      <c r="D64">
        <v>113.1</v>
      </c>
    </row>
    <row r="65" spans="1:4" x14ac:dyDescent="0.2">
      <c r="A65" t="s">
        <v>15</v>
      </c>
      <c r="B65">
        <v>2045</v>
      </c>
      <c r="C65" t="str">
        <f t="shared" si="0"/>
        <v>FL2045</v>
      </c>
      <c r="D65">
        <v>100.2</v>
      </c>
    </row>
    <row r="66" spans="1:4" x14ac:dyDescent="0.2">
      <c r="A66" t="s">
        <v>15</v>
      </c>
      <c r="B66">
        <v>2050</v>
      </c>
      <c r="C66" t="str">
        <f t="shared" si="0"/>
        <v>FL2050</v>
      </c>
      <c r="D66">
        <v>127.6</v>
      </c>
    </row>
    <row r="67" spans="1:4" x14ac:dyDescent="0.2">
      <c r="A67" t="s">
        <v>16</v>
      </c>
      <c r="B67">
        <v>2024</v>
      </c>
      <c r="C67" t="str">
        <f t="shared" si="0"/>
        <v>GA2024</v>
      </c>
      <c r="D67">
        <v>302.7</v>
      </c>
    </row>
    <row r="68" spans="1:4" x14ac:dyDescent="0.2">
      <c r="A68" t="s">
        <v>16</v>
      </c>
      <c r="B68">
        <v>2026</v>
      </c>
      <c r="C68" t="str">
        <f t="shared" ref="C68:C131" si="1">_xlfn.CONCAT(A68,B68)</f>
        <v>GA2026</v>
      </c>
      <c r="D68">
        <v>266.7</v>
      </c>
    </row>
    <row r="69" spans="1:4" x14ac:dyDescent="0.2">
      <c r="A69" t="s">
        <v>16</v>
      </c>
      <c r="B69">
        <v>2028</v>
      </c>
      <c r="C69" t="str">
        <f t="shared" si="1"/>
        <v>GA2028</v>
      </c>
      <c r="D69">
        <v>211.6</v>
      </c>
    </row>
    <row r="70" spans="1:4" x14ac:dyDescent="0.2">
      <c r="A70" t="s">
        <v>16</v>
      </c>
      <c r="B70">
        <v>2030</v>
      </c>
      <c r="C70" t="str">
        <f t="shared" si="1"/>
        <v>GA2030</v>
      </c>
      <c r="D70">
        <v>188.7</v>
      </c>
    </row>
    <row r="71" spans="1:4" x14ac:dyDescent="0.2">
      <c r="A71" t="s">
        <v>16</v>
      </c>
      <c r="B71">
        <v>2035</v>
      </c>
      <c r="C71" t="str">
        <f t="shared" si="1"/>
        <v>GA2035</v>
      </c>
      <c r="D71">
        <v>132.1</v>
      </c>
    </row>
    <row r="72" spans="1:4" x14ac:dyDescent="0.2">
      <c r="A72" t="s">
        <v>16</v>
      </c>
      <c r="B72">
        <v>2040</v>
      </c>
      <c r="C72" t="str">
        <f t="shared" si="1"/>
        <v>GA2040</v>
      </c>
      <c r="D72">
        <v>87.8</v>
      </c>
    </row>
    <row r="73" spans="1:4" x14ac:dyDescent="0.2">
      <c r="A73" t="s">
        <v>16</v>
      </c>
      <c r="B73">
        <v>2045</v>
      </c>
      <c r="C73" t="str">
        <f t="shared" si="1"/>
        <v>GA2045</v>
      </c>
      <c r="D73">
        <v>63.7</v>
      </c>
    </row>
    <row r="74" spans="1:4" x14ac:dyDescent="0.2">
      <c r="A74" t="s">
        <v>16</v>
      </c>
      <c r="B74">
        <v>2050</v>
      </c>
      <c r="C74" t="str">
        <f t="shared" si="1"/>
        <v>GA2050</v>
      </c>
      <c r="D74">
        <v>96.2</v>
      </c>
    </row>
    <row r="75" spans="1:4" x14ac:dyDescent="0.2">
      <c r="A75" t="s">
        <v>17</v>
      </c>
      <c r="B75">
        <v>2024</v>
      </c>
      <c r="C75" t="str">
        <f t="shared" si="1"/>
        <v>IA2024</v>
      </c>
      <c r="D75">
        <v>432.1</v>
      </c>
    </row>
    <row r="76" spans="1:4" x14ac:dyDescent="0.2">
      <c r="A76" t="s">
        <v>17</v>
      </c>
      <c r="B76">
        <v>2026</v>
      </c>
      <c r="C76" t="str">
        <f t="shared" si="1"/>
        <v>IA2026</v>
      </c>
      <c r="D76">
        <v>341.8</v>
      </c>
    </row>
    <row r="77" spans="1:4" x14ac:dyDescent="0.2">
      <c r="A77" t="s">
        <v>17</v>
      </c>
      <c r="B77">
        <v>2028</v>
      </c>
      <c r="C77" t="str">
        <f t="shared" si="1"/>
        <v>IA2028</v>
      </c>
      <c r="D77">
        <v>164.9</v>
      </c>
    </row>
    <row r="78" spans="1:4" x14ac:dyDescent="0.2">
      <c r="A78" t="s">
        <v>17</v>
      </c>
      <c r="B78">
        <v>2030</v>
      </c>
      <c r="C78" t="str">
        <f t="shared" si="1"/>
        <v>IA2030</v>
      </c>
      <c r="D78">
        <v>109.1</v>
      </c>
    </row>
    <row r="79" spans="1:4" x14ac:dyDescent="0.2">
      <c r="A79" t="s">
        <v>17</v>
      </c>
      <c r="B79">
        <v>2035</v>
      </c>
      <c r="C79" t="str">
        <f t="shared" si="1"/>
        <v>IA2035</v>
      </c>
      <c r="D79">
        <v>95.3</v>
      </c>
    </row>
    <row r="80" spans="1:4" x14ac:dyDescent="0.2">
      <c r="A80" t="s">
        <v>17</v>
      </c>
      <c r="B80">
        <v>2040</v>
      </c>
      <c r="C80" t="str">
        <f t="shared" si="1"/>
        <v>IA2040</v>
      </c>
      <c r="D80">
        <v>72.8</v>
      </c>
    </row>
    <row r="81" spans="1:4" x14ac:dyDescent="0.2">
      <c r="A81" t="s">
        <v>17</v>
      </c>
      <c r="B81">
        <v>2045</v>
      </c>
      <c r="C81" t="str">
        <f t="shared" si="1"/>
        <v>IA2045</v>
      </c>
      <c r="D81">
        <v>62.2</v>
      </c>
    </row>
    <row r="82" spans="1:4" x14ac:dyDescent="0.2">
      <c r="A82" t="s">
        <v>17</v>
      </c>
      <c r="B82">
        <v>2050</v>
      </c>
      <c r="C82" t="str">
        <f t="shared" si="1"/>
        <v>IA2050</v>
      </c>
      <c r="D82">
        <v>89.2</v>
      </c>
    </row>
    <row r="83" spans="1:4" x14ac:dyDescent="0.2">
      <c r="A83" t="s">
        <v>18</v>
      </c>
      <c r="B83">
        <v>2024</v>
      </c>
      <c r="C83" t="str">
        <f t="shared" si="1"/>
        <v>ID2024</v>
      </c>
      <c r="D83">
        <v>67.2</v>
      </c>
    </row>
    <row r="84" spans="1:4" x14ac:dyDescent="0.2">
      <c r="A84" t="s">
        <v>18</v>
      </c>
      <c r="B84">
        <v>2026</v>
      </c>
      <c r="C84" t="str">
        <f t="shared" si="1"/>
        <v>ID2026</v>
      </c>
      <c r="D84">
        <v>59.5</v>
      </c>
    </row>
    <row r="85" spans="1:4" x14ac:dyDescent="0.2">
      <c r="A85" t="s">
        <v>18</v>
      </c>
      <c r="B85">
        <v>2028</v>
      </c>
      <c r="C85" t="str">
        <f t="shared" si="1"/>
        <v>ID2028</v>
      </c>
      <c r="D85">
        <v>41.9</v>
      </c>
    </row>
    <row r="86" spans="1:4" x14ac:dyDescent="0.2">
      <c r="A86" t="s">
        <v>18</v>
      </c>
      <c r="B86">
        <v>2030</v>
      </c>
      <c r="C86" t="str">
        <f t="shared" si="1"/>
        <v>ID2030</v>
      </c>
      <c r="D86">
        <v>33.5</v>
      </c>
    </row>
    <row r="87" spans="1:4" x14ac:dyDescent="0.2">
      <c r="A87" t="s">
        <v>18</v>
      </c>
      <c r="B87">
        <v>2035</v>
      </c>
      <c r="C87" t="str">
        <f t="shared" si="1"/>
        <v>ID2035</v>
      </c>
      <c r="D87">
        <v>34.200000000000003</v>
      </c>
    </row>
    <row r="88" spans="1:4" x14ac:dyDescent="0.2">
      <c r="A88" t="s">
        <v>18</v>
      </c>
      <c r="B88">
        <v>2040</v>
      </c>
      <c r="C88" t="str">
        <f t="shared" si="1"/>
        <v>ID2040</v>
      </c>
      <c r="D88">
        <v>63.8</v>
      </c>
    </row>
    <row r="89" spans="1:4" x14ac:dyDescent="0.2">
      <c r="A89" t="s">
        <v>18</v>
      </c>
      <c r="B89">
        <v>2045</v>
      </c>
      <c r="C89" t="str">
        <f t="shared" si="1"/>
        <v>ID2045</v>
      </c>
      <c r="D89">
        <v>68.400000000000006</v>
      </c>
    </row>
    <row r="90" spans="1:4" x14ac:dyDescent="0.2">
      <c r="A90" t="s">
        <v>18</v>
      </c>
      <c r="B90">
        <v>2050</v>
      </c>
      <c r="C90" t="str">
        <f t="shared" si="1"/>
        <v>ID2050</v>
      </c>
      <c r="D90">
        <v>126.8</v>
      </c>
    </row>
    <row r="91" spans="1:4" x14ac:dyDescent="0.2">
      <c r="A91" t="s">
        <v>19</v>
      </c>
      <c r="B91">
        <v>2024</v>
      </c>
      <c r="C91" t="str">
        <f t="shared" si="1"/>
        <v>IL2024</v>
      </c>
      <c r="D91">
        <v>238.8</v>
      </c>
    </row>
    <row r="92" spans="1:4" x14ac:dyDescent="0.2">
      <c r="A92" t="s">
        <v>19</v>
      </c>
      <c r="B92">
        <v>2026</v>
      </c>
      <c r="C92" t="str">
        <f t="shared" si="1"/>
        <v>IL2026</v>
      </c>
      <c r="D92">
        <v>182.9</v>
      </c>
    </row>
    <row r="93" spans="1:4" x14ac:dyDescent="0.2">
      <c r="A93" t="s">
        <v>19</v>
      </c>
      <c r="B93">
        <v>2028</v>
      </c>
      <c r="C93" t="str">
        <f t="shared" si="1"/>
        <v>IL2028</v>
      </c>
      <c r="D93">
        <v>76.2</v>
      </c>
    </row>
    <row r="94" spans="1:4" x14ac:dyDescent="0.2">
      <c r="A94" t="s">
        <v>19</v>
      </c>
      <c r="B94">
        <v>2030</v>
      </c>
      <c r="C94" t="str">
        <f t="shared" si="1"/>
        <v>IL2030</v>
      </c>
      <c r="D94">
        <v>44.7</v>
      </c>
    </row>
    <row r="95" spans="1:4" x14ac:dyDescent="0.2">
      <c r="A95" t="s">
        <v>19</v>
      </c>
      <c r="B95">
        <v>2035</v>
      </c>
      <c r="C95" t="str">
        <f t="shared" si="1"/>
        <v>IL2035</v>
      </c>
      <c r="D95">
        <v>34.6</v>
      </c>
    </row>
    <row r="96" spans="1:4" x14ac:dyDescent="0.2">
      <c r="A96" t="s">
        <v>19</v>
      </c>
      <c r="B96">
        <v>2040</v>
      </c>
      <c r="C96" t="str">
        <f t="shared" si="1"/>
        <v>IL2040</v>
      </c>
      <c r="D96">
        <v>29.1</v>
      </c>
    </row>
    <row r="97" spans="1:4" x14ac:dyDescent="0.2">
      <c r="A97" t="s">
        <v>19</v>
      </c>
      <c r="B97">
        <v>2045</v>
      </c>
      <c r="C97" t="str">
        <f t="shared" si="1"/>
        <v>IL2045</v>
      </c>
      <c r="D97">
        <v>5.9</v>
      </c>
    </row>
    <row r="98" spans="1:4" x14ac:dyDescent="0.2">
      <c r="A98" t="s">
        <v>19</v>
      </c>
      <c r="B98">
        <v>2050</v>
      </c>
      <c r="C98" t="str">
        <f t="shared" si="1"/>
        <v>IL2050</v>
      </c>
      <c r="D98">
        <v>7.7</v>
      </c>
    </row>
    <row r="99" spans="1:4" x14ac:dyDescent="0.2">
      <c r="A99" t="s">
        <v>20</v>
      </c>
      <c r="B99">
        <v>2024</v>
      </c>
      <c r="C99" t="str">
        <f t="shared" si="1"/>
        <v>IN2024</v>
      </c>
      <c r="D99">
        <v>760.5</v>
      </c>
    </row>
    <row r="100" spans="1:4" x14ac:dyDescent="0.2">
      <c r="A100" t="s">
        <v>20</v>
      </c>
      <c r="B100">
        <v>2026</v>
      </c>
      <c r="C100" t="str">
        <f t="shared" si="1"/>
        <v>IN2026</v>
      </c>
      <c r="D100">
        <v>699</v>
      </c>
    </row>
    <row r="101" spans="1:4" x14ac:dyDescent="0.2">
      <c r="A101" t="s">
        <v>20</v>
      </c>
      <c r="B101">
        <v>2028</v>
      </c>
      <c r="C101" t="str">
        <f t="shared" si="1"/>
        <v>IN2028</v>
      </c>
      <c r="D101">
        <v>538.4</v>
      </c>
    </row>
    <row r="102" spans="1:4" x14ac:dyDescent="0.2">
      <c r="A102" t="s">
        <v>20</v>
      </c>
      <c r="B102">
        <v>2030</v>
      </c>
      <c r="C102" t="str">
        <f t="shared" si="1"/>
        <v>IN2030</v>
      </c>
      <c r="D102">
        <v>444.5</v>
      </c>
    </row>
    <row r="103" spans="1:4" x14ac:dyDescent="0.2">
      <c r="A103" t="s">
        <v>20</v>
      </c>
      <c r="B103">
        <v>2035</v>
      </c>
      <c r="C103" t="str">
        <f t="shared" si="1"/>
        <v>IN2035</v>
      </c>
      <c r="D103">
        <v>325.60000000000002</v>
      </c>
    </row>
    <row r="104" spans="1:4" x14ac:dyDescent="0.2">
      <c r="A104" t="s">
        <v>20</v>
      </c>
      <c r="B104">
        <v>2040</v>
      </c>
      <c r="C104" t="str">
        <f t="shared" si="1"/>
        <v>IN2040</v>
      </c>
      <c r="D104">
        <v>287.3</v>
      </c>
    </row>
    <row r="105" spans="1:4" x14ac:dyDescent="0.2">
      <c r="A105" t="s">
        <v>20</v>
      </c>
      <c r="B105">
        <v>2045</v>
      </c>
      <c r="C105" t="str">
        <f t="shared" si="1"/>
        <v>IN2045</v>
      </c>
      <c r="D105">
        <v>277.5</v>
      </c>
    </row>
    <row r="106" spans="1:4" x14ac:dyDescent="0.2">
      <c r="A106" t="s">
        <v>20</v>
      </c>
      <c r="B106">
        <v>2050</v>
      </c>
      <c r="C106" t="str">
        <f t="shared" si="1"/>
        <v>IN2050</v>
      </c>
      <c r="D106">
        <v>369.5</v>
      </c>
    </row>
    <row r="107" spans="1:4" x14ac:dyDescent="0.2">
      <c r="A107" t="s">
        <v>21</v>
      </c>
      <c r="B107">
        <v>2024</v>
      </c>
      <c r="C107" t="str">
        <f t="shared" si="1"/>
        <v>KS2024</v>
      </c>
      <c r="D107">
        <v>291</v>
      </c>
    </row>
    <row r="108" spans="1:4" x14ac:dyDescent="0.2">
      <c r="A108" t="s">
        <v>21</v>
      </c>
      <c r="B108">
        <v>2026</v>
      </c>
      <c r="C108" t="str">
        <f t="shared" si="1"/>
        <v>KS2026</v>
      </c>
      <c r="D108">
        <v>120.5</v>
      </c>
    </row>
    <row r="109" spans="1:4" x14ac:dyDescent="0.2">
      <c r="A109" t="s">
        <v>21</v>
      </c>
      <c r="B109">
        <v>2028</v>
      </c>
      <c r="C109" t="str">
        <f t="shared" si="1"/>
        <v>KS2028</v>
      </c>
      <c r="D109">
        <v>58.4</v>
      </c>
    </row>
    <row r="110" spans="1:4" x14ac:dyDescent="0.2">
      <c r="A110" t="s">
        <v>21</v>
      </c>
      <c r="B110">
        <v>2030</v>
      </c>
      <c r="C110" t="str">
        <f t="shared" si="1"/>
        <v>KS2030</v>
      </c>
      <c r="D110">
        <v>50</v>
      </c>
    </row>
    <row r="111" spans="1:4" x14ac:dyDescent="0.2">
      <c r="A111" t="s">
        <v>21</v>
      </c>
      <c r="B111">
        <v>2035</v>
      </c>
      <c r="C111" t="str">
        <f t="shared" si="1"/>
        <v>KS2035</v>
      </c>
      <c r="D111">
        <v>37.4</v>
      </c>
    </row>
    <row r="112" spans="1:4" x14ac:dyDescent="0.2">
      <c r="A112" t="s">
        <v>21</v>
      </c>
      <c r="B112">
        <v>2040</v>
      </c>
      <c r="C112" t="str">
        <f t="shared" si="1"/>
        <v>KS2040</v>
      </c>
      <c r="D112">
        <v>25.3</v>
      </c>
    </row>
    <row r="113" spans="1:4" x14ac:dyDescent="0.2">
      <c r="A113" t="s">
        <v>21</v>
      </c>
      <c r="B113">
        <v>2045</v>
      </c>
      <c r="C113" t="str">
        <f t="shared" si="1"/>
        <v>KS2045</v>
      </c>
      <c r="D113">
        <v>13.7</v>
      </c>
    </row>
    <row r="114" spans="1:4" x14ac:dyDescent="0.2">
      <c r="A114" t="s">
        <v>21</v>
      </c>
      <c r="B114">
        <v>2050</v>
      </c>
      <c r="C114" t="str">
        <f t="shared" si="1"/>
        <v>KS2050</v>
      </c>
      <c r="D114">
        <v>30.2</v>
      </c>
    </row>
    <row r="115" spans="1:4" x14ac:dyDescent="0.2">
      <c r="A115" t="s">
        <v>22</v>
      </c>
      <c r="B115">
        <v>2024</v>
      </c>
      <c r="C115" t="str">
        <f t="shared" si="1"/>
        <v>KY2024</v>
      </c>
      <c r="D115">
        <v>944.6</v>
      </c>
    </row>
    <row r="116" spans="1:4" x14ac:dyDescent="0.2">
      <c r="A116" t="s">
        <v>22</v>
      </c>
      <c r="B116">
        <v>2026</v>
      </c>
      <c r="C116" t="str">
        <f t="shared" si="1"/>
        <v>KY2026</v>
      </c>
      <c r="D116">
        <v>926.3</v>
      </c>
    </row>
    <row r="117" spans="1:4" x14ac:dyDescent="0.2">
      <c r="A117" t="s">
        <v>22</v>
      </c>
      <c r="B117">
        <v>2028</v>
      </c>
      <c r="C117" t="str">
        <f t="shared" si="1"/>
        <v>KY2028</v>
      </c>
      <c r="D117">
        <v>831.4</v>
      </c>
    </row>
    <row r="118" spans="1:4" x14ac:dyDescent="0.2">
      <c r="A118" t="s">
        <v>22</v>
      </c>
      <c r="B118">
        <v>2030</v>
      </c>
      <c r="C118" t="str">
        <f t="shared" si="1"/>
        <v>KY2030</v>
      </c>
      <c r="D118">
        <v>761.3</v>
      </c>
    </row>
    <row r="119" spans="1:4" x14ac:dyDescent="0.2">
      <c r="A119" t="s">
        <v>22</v>
      </c>
      <c r="B119">
        <v>2035</v>
      </c>
      <c r="C119" t="str">
        <f t="shared" si="1"/>
        <v>KY2035</v>
      </c>
      <c r="D119">
        <v>605.5</v>
      </c>
    </row>
    <row r="120" spans="1:4" x14ac:dyDescent="0.2">
      <c r="A120" t="s">
        <v>22</v>
      </c>
      <c r="B120">
        <v>2040</v>
      </c>
      <c r="C120" t="str">
        <f t="shared" si="1"/>
        <v>KY2040</v>
      </c>
      <c r="D120">
        <v>377.9</v>
      </c>
    </row>
    <row r="121" spans="1:4" x14ac:dyDescent="0.2">
      <c r="A121" t="s">
        <v>22</v>
      </c>
      <c r="B121">
        <v>2045</v>
      </c>
      <c r="C121" t="str">
        <f t="shared" si="1"/>
        <v>KY2045</v>
      </c>
      <c r="D121">
        <v>388.7</v>
      </c>
    </row>
    <row r="122" spans="1:4" x14ac:dyDescent="0.2">
      <c r="A122" t="s">
        <v>22</v>
      </c>
      <c r="B122">
        <v>2050</v>
      </c>
      <c r="C122" t="str">
        <f t="shared" si="1"/>
        <v>KY2050</v>
      </c>
      <c r="D122">
        <v>399.7</v>
      </c>
    </row>
    <row r="123" spans="1:4" x14ac:dyDescent="0.2">
      <c r="A123" t="s">
        <v>23</v>
      </c>
      <c r="B123">
        <v>2024</v>
      </c>
      <c r="C123" t="str">
        <f t="shared" si="1"/>
        <v>LA2024</v>
      </c>
      <c r="D123">
        <v>461.3</v>
      </c>
    </row>
    <row r="124" spans="1:4" x14ac:dyDescent="0.2">
      <c r="A124" t="s">
        <v>23</v>
      </c>
      <c r="B124">
        <v>2026</v>
      </c>
      <c r="C124" t="str">
        <f t="shared" si="1"/>
        <v>LA2026</v>
      </c>
      <c r="D124">
        <v>429.4</v>
      </c>
    </row>
    <row r="125" spans="1:4" x14ac:dyDescent="0.2">
      <c r="A125" t="s">
        <v>23</v>
      </c>
      <c r="B125">
        <v>2028</v>
      </c>
      <c r="C125" t="str">
        <f t="shared" si="1"/>
        <v>LA2028</v>
      </c>
      <c r="D125">
        <v>359.7</v>
      </c>
    </row>
    <row r="126" spans="1:4" x14ac:dyDescent="0.2">
      <c r="A126" t="s">
        <v>23</v>
      </c>
      <c r="B126">
        <v>2030</v>
      </c>
      <c r="C126" t="str">
        <f t="shared" si="1"/>
        <v>LA2030</v>
      </c>
      <c r="D126">
        <v>285.89999999999998</v>
      </c>
    </row>
    <row r="127" spans="1:4" x14ac:dyDescent="0.2">
      <c r="A127" t="s">
        <v>23</v>
      </c>
      <c r="B127">
        <v>2035</v>
      </c>
      <c r="C127" t="str">
        <f t="shared" si="1"/>
        <v>LA2035</v>
      </c>
      <c r="D127">
        <v>186.2</v>
      </c>
    </row>
    <row r="128" spans="1:4" x14ac:dyDescent="0.2">
      <c r="A128" t="s">
        <v>23</v>
      </c>
      <c r="B128">
        <v>2040</v>
      </c>
      <c r="C128" t="str">
        <f t="shared" si="1"/>
        <v>LA2040</v>
      </c>
      <c r="D128">
        <v>142</v>
      </c>
    </row>
    <row r="129" spans="1:4" x14ac:dyDescent="0.2">
      <c r="A129" t="s">
        <v>23</v>
      </c>
      <c r="B129">
        <v>2045</v>
      </c>
      <c r="C129" t="str">
        <f t="shared" si="1"/>
        <v>LA2045</v>
      </c>
      <c r="D129">
        <v>135</v>
      </c>
    </row>
    <row r="130" spans="1:4" x14ac:dyDescent="0.2">
      <c r="A130" t="s">
        <v>23</v>
      </c>
      <c r="B130">
        <v>2050</v>
      </c>
      <c r="C130" t="str">
        <f t="shared" si="1"/>
        <v>LA2050</v>
      </c>
      <c r="D130">
        <v>224.1</v>
      </c>
    </row>
    <row r="131" spans="1:4" x14ac:dyDescent="0.2">
      <c r="A131" t="s">
        <v>24</v>
      </c>
      <c r="B131">
        <v>2024</v>
      </c>
      <c r="C131" t="str">
        <f t="shared" si="1"/>
        <v>MA2024</v>
      </c>
      <c r="D131">
        <v>273.5</v>
      </c>
    </row>
    <row r="132" spans="1:4" x14ac:dyDescent="0.2">
      <c r="A132" t="s">
        <v>24</v>
      </c>
      <c r="B132">
        <v>2026</v>
      </c>
      <c r="C132" t="str">
        <f t="shared" ref="C132:C195" si="2">_xlfn.CONCAT(A132,B132)</f>
        <v>MA2026</v>
      </c>
      <c r="D132">
        <v>254.5</v>
      </c>
    </row>
    <row r="133" spans="1:4" x14ac:dyDescent="0.2">
      <c r="A133" t="s">
        <v>24</v>
      </c>
      <c r="B133">
        <v>2028</v>
      </c>
      <c r="C133" t="str">
        <f t="shared" si="2"/>
        <v>MA2028</v>
      </c>
      <c r="D133">
        <v>201.2</v>
      </c>
    </row>
    <row r="134" spans="1:4" x14ac:dyDescent="0.2">
      <c r="A134" t="s">
        <v>24</v>
      </c>
      <c r="B134">
        <v>2030</v>
      </c>
      <c r="C134" t="str">
        <f t="shared" si="2"/>
        <v>MA2030</v>
      </c>
      <c r="D134">
        <v>164.8</v>
      </c>
    </row>
    <row r="135" spans="1:4" x14ac:dyDescent="0.2">
      <c r="A135" t="s">
        <v>24</v>
      </c>
      <c r="B135">
        <v>2035</v>
      </c>
      <c r="C135" t="str">
        <f t="shared" si="2"/>
        <v>MA2035</v>
      </c>
      <c r="D135">
        <v>106.9</v>
      </c>
    </row>
    <row r="136" spans="1:4" x14ac:dyDescent="0.2">
      <c r="A136" t="s">
        <v>24</v>
      </c>
      <c r="B136">
        <v>2040</v>
      </c>
      <c r="C136" t="str">
        <f t="shared" si="2"/>
        <v>MA2040</v>
      </c>
      <c r="D136">
        <v>104.7</v>
      </c>
    </row>
    <row r="137" spans="1:4" x14ac:dyDescent="0.2">
      <c r="A137" t="s">
        <v>24</v>
      </c>
      <c r="B137">
        <v>2045</v>
      </c>
      <c r="C137" t="str">
        <f t="shared" si="2"/>
        <v>MA2045</v>
      </c>
      <c r="D137">
        <v>118.5</v>
      </c>
    </row>
    <row r="138" spans="1:4" x14ac:dyDescent="0.2">
      <c r="A138" t="s">
        <v>24</v>
      </c>
      <c r="B138">
        <v>2050</v>
      </c>
      <c r="C138" t="str">
        <f t="shared" si="2"/>
        <v>MA2050</v>
      </c>
      <c r="D138">
        <v>125.4</v>
      </c>
    </row>
    <row r="139" spans="1:4" x14ac:dyDescent="0.2">
      <c r="A139" t="s">
        <v>25</v>
      </c>
      <c r="B139">
        <v>2024</v>
      </c>
      <c r="C139" t="str">
        <f t="shared" si="2"/>
        <v>MD2024</v>
      </c>
      <c r="D139">
        <v>167</v>
      </c>
    </row>
    <row r="140" spans="1:4" x14ac:dyDescent="0.2">
      <c r="A140" t="s">
        <v>25</v>
      </c>
      <c r="B140">
        <v>2026</v>
      </c>
      <c r="C140" t="str">
        <f t="shared" si="2"/>
        <v>MD2026</v>
      </c>
      <c r="D140">
        <v>140.1</v>
      </c>
    </row>
    <row r="141" spans="1:4" x14ac:dyDescent="0.2">
      <c r="A141" t="s">
        <v>25</v>
      </c>
      <c r="B141">
        <v>2028</v>
      </c>
      <c r="C141" t="str">
        <f t="shared" si="2"/>
        <v>MD2028</v>
      </c>
      <c r="D141">
        <v>123.5</v>
      </c>
    </row>
    <row r="142" spans="1:4" x14ac:dyDescent="0.2">
      <c r="A142" t="s">
        <v>25</v>
      </c>
      <c r="B142">
        <v>2030</v>
      </c>
      <c r="C142" t="str">
        <f t="shared" si="2"/>
        <v>MD2030</v>
      </c>
      <c r="D142">
        <v>115.6</v>
      </c>
    </row>
    <row r="143" spans="1:4" x14ac:dyDescent="0.2">
      <c r="A143" t="s">
        <v>25</v>
      </c>
      <c r="B143">
        <v>2035</v>
      </c>
      <c r="C143" t="str">
        <f t="shared" si="2"/>
        <v>MD2035</v>
      </c>
      <c r="D143">
        <v>103</v>
      </c>
    </row>
    <row r="144" spans="1:4" x14ac:dyDescent="0.2">
      <c r="A144" t="s">
        <v>25</v>
      </c>
      <c r="B144">
        <v>2040</v>
      </c>
      <c r="C144" t="str">
        <f t="shared" si="2"/>
        <v>MD2040</v>
      </c>
      <c r="D144">
        <v>94.1</v>
      </c>
    </row>
    <row r="145" spans="1:4" x14ac:dyDescent="0.2">
      <c r="A145" t="s">
        <v>25</v>
      </c>
      <c r="B145">
        <v>2045</v>
      </c>
      <c r="C145" t="str">
        <f t="shared" si="2"/>
        <v>MD2045</v>
      </c>
      <c r="D145">
        <v>96.7</v>
      </c>
    </row>
    <row r="146" spans="1:4" x14ac:dyDescent="0.2">
      <c r="A146" t="s">
        <v>25</v>
      </c>
      <c r="B146">
        <v>2050</v>
      </c>
      <c r="C146" t="str">
        <f t="shared" si="2"/>
        <v>MD2050</v>
      </c>
      <c r="D146">
        <v>113.1</v>
      </c>
    </row>
    <row r="147" spans="1:4" x14ac:dyDescent="0.2">
      <c r="A147" t="s">
        <v>26</v>
      </c>
      <c r="B147">
        <v>2024</v>
      </c>
      <c r="C147" t="str">
        <f t="shared" si="2"/>
        <v>ME2024</v>
      </c>
      <c r="D147">
        <v>50.6</v>
      </c>
    </row>
    <row r="148" spans="1:4" x14ac:dyDescent="0.2">
      <c r="A148" t="s">
        <v>26</v>
      </c>
      <c r="B148">
        <v>2026</v>
      </c>
      <c r="C148" t="str">
        <f t="shared" si="2"/>
        <v>ME2026</v>
      </c>
      <c r="D148">
        <v>61.3</v>
      </c>
    </row>
    <row r="149" spans="1:4" x14ac:dyDescent="0.2">
      <c r="A149" t="s">
        <v>26</v>
      </c>
      <c r="B149">
        <v>2028</v>
      </c>
      <c r="C149" t="str">
        <f t="shared" si="2"/>
        <v>ME2028</v>
      </c>
      <c r="D149">
        <v>65.5</v>
      </c>
    </row>
    <row r="150" spans="1:4" x14ac:dyDescent="0.2">
      <c r="A150" t="s">
        <v>26</v>
      </c>
      <c r="B150">
        <v>2030</v>
      </c>
      <c r="C150" t="str">
        <f t="shared" si="2"/>
        <v>ME2030</v>
      </c>
      <c r="D150">
        <v>42.5</v>
      </c>
    </row>
    <row r="151" spans="1:4" x14ac:dyDescent="0.2">
      <c r="A151" t="s">
        <v>26</v>
      </c>
      <c r="B151">
        <v>2035</v>
      </c>
      <c r="C151" t="str">
        <f t="shared" si="2"/>
        <v>ME2035</v>
      </c>
      <c r="D151">
        <v>29.6</v>
      </c>
    </row>
    <row r="152" spans="1:4" x14ac:dyDescent="0.2">
      <c r="A152" t="s">
        <v>26</v>
      </c>
      <c r="B152">
        <v>2040</v>
      </c>
      <c r="C152" t="str">
        <f t="shared" si="2"/>
        <v>ME2040</v>
      </c>
      <c r="D152">
        <v>32.700000000000003</v>
      </c>
    </row>
    <row r="153" spans="1:4" x14ac:dyDescent="0.2">
      <c r="A153" t="s">
        <v>26</v>
      </c>
      <c r="B153">
        <v>2045</v>
      </c>
      <c r="C153" t="str">
        <f t="shared" si="2"/>
        <v>ME2045</v>
      </c>
      <c r="D153">
        <v>52.3</v>
      </c>
    </row>
    <row r="154" spans="1:4" x14ac:dyDescent="0.2">
      <c r="A154" t="s">
        <v>26</v>
      </c>
      <c r="B154">
        <v>2050</v>
      </c>
      <c r="C154" t="str">
        <f t="shared" si="2"/>
        <v>ME2050</v>
      </c>
      <c r="D154">
        <v>98.6</v>
      </c>
    </row>
    <row r="155" spans="1:4" x14ac:dyDescent="0.2">
      <c r="A155" t="s">
        <v>27</v>
      </c>
      <c r="B155">
        <v>2024</v>
      </c>
      <c r="C155" t="str">
        <f t="shared" si="2"/>
        <v>MI2024</v>
      </c>
      <c r="D155">
        <v>513</v>
      </c>
    </row>
    <row r="156" spans="1:4" x14ac:dyDescent="0.2">
      <c r="A156" t="s">
        <v>27</v>
      </c>
      <c r="B156">
        <v>2026</v>
      </c>
      <c r="C156" t="str">
        <f t="shared" si="2"/>
        <v>MI2026</v>
      </c>
      <c r="D156">
        <v>435.7</v>
      </c>
    </row>
    <row r="157" spans="1:4" x14ac:dyDescent="0.2">
      <c r="A157" t="s">
        <v>27</v>
      </c>
      <c r="B157">
        <v>2028</v>
      </c>
      <c r="C157" t="str">
        <f t="shared" si="2"/>
        <v>MI2028</v>
      </c>
      <c r="D157">
        <v>387.3</v>
      </c>
    </row>
    <row r="158" spans="1:4" x14ac:dyDescent="0.2">
      <c r="A158" t="s">
        <v>27</v>
      </c>
      <c r="B158">
        <v>2030</v>
      </c>
      <c r="C158" t="str">
        <f t="shared" si="2"/>
        <v>MI2030</v>
      </c>
      <c r="D158">
        <v>329.6</v>
      </c>
    </row>
    <row r="159" spans="1:4" x14ac:dyDescent="0.2">
      <c r="A159" t="s">
        <v>27</v>
      </c>
      <c r="B159">
        <v>2035</v>
      </c>
      <c r="C159" t="str">
        <f t="shared" si="2"/>
        <v>MI2035</v>
      </c>
      <c r="D159">
        <v>307.7</v>
      </c>
    </row>
    <row r="160" spans="1:4" x14ac:dyDescent="0.2">
      <c r="A160" t="s">
        <v>27</v>
      </c>
      <c r="B160">
        <v>2040</v>
      </c>
      <c r="C160" t="str">
        <f t="shared" si="2"/>
        <v>MI2040</v>
      </c>
      <c r="D160">
        <v>284.5</v>
      </c>
    </row>
    <row r="161" spans="1:4" x14ac:dyDescent="0.2">
      <c r="A161" t="s">
        <v>27</v>
      </c>
      <c r="B161">
        <v>2045</v>
      </c>
      <c r="C161" t="str">
        <f t="shared" si="2"/>
        <v>MI2045</v>
      </c>
      <c r="D161">
        <v>265.8</v>
      </c>
    </row>
    <row r="162" spans="1:4" x14ac:dyDescent="0.2">
      <c r="A162" t="s">
        <v>27</v>
      </c>
      <c r="B162">
        <v>2050</v>
      </c>
      <c r="C162" t="str">
        <f t="shared" si="2"/>
        <v>MI2050</v>
      </c>
      <c r="D162">
        <v>276.3</v>
      </c>
    </row>
    <row r="163" spans="1:4" x14ac:dyDescent="0.2">
      <c r="A163" t="s">
        <v>28</v>
      </c>
      <c r="B163">
        <v>2024</v>
      </c>
      <c r="C163" t="str">
        <f t="shared" si="2"/>
        <v>MN2024</v>
      </c>
      <c r="D163">
        <v>266.60000000000002</v>
      </c>
    </row>
    <row r="164" spans="1:4" x14ac:dyDescent="0.2">
      <c r="A164" t="s">
        <v>28</v>
      </c>
      <c r="B164">
        <v>2026</v>
      </c>
      <c r="C164" t="str">
        <f t="shared" si="2"/>
        <v>MN2026</v>
      </c>
      <c r="D164">
        <v>136.5</v>
      </c>
    </row>
    <row r="165" spans="1:4" x14ac:dyDescent="0.2">
      <c r="A165" t="s">
        <v>28</v>
      </c>
      <c r="B165">
        <v>2028</v>
      </c>
      <c r="C165" t="str">
        <f t="shared" si="2"/>
        <v>MN2028</v>
      </c>
      <c r="D165">
        <v>89.6</v>
      </c>
    </row>
    <row r="166" spans="1:4" x14ac:dyDescent="0.2">
      <c r="A166" t="s">
        <v>28</v>
      </c>
      <c r="B166">
        <v>2030</v>
      </c>
      <c r="C166" t="str">
        <f t="shared" si="2"/>
        <v>MN2030</v>
      </c>
      <c r="D166">
        <v>61.4</v>
      </c>
    </row>
    <row r="167" spans="1:4" x14ac:dyDescent="0.2">
      <c r="A167" t="s">
        <v>28</v>
      </c>
      <c r="B167">
        <v>2035</v>
      </c>
      <c r="C167" t="str">
        <f t="shared" si="2"/>
        <v>MN2035</v>
      </c>
      <c r="D167">
        <v>22</v>
      </c>
    </row>
    <row r="168" spans="1:4" x14ac:dyDescent="0.2">
      <c r="A168" t="s">
        <v>28</v>
      </c>
      <c r="B168">
        <v>2040</v>
      </c>
      <c r="C168" t="str">
        <f t="shared" si="2"/>
        <v>MN2040</v>
      </c>
      <c r="D168">
        <v>15.2</v>
      </c>
    </row>
    <row r="169" spans="1:4" x14ac:dyDescent="0.2">
      <c r="A169" t="s">
        <v>28</v>
      </c>
      <c r="B169">
        <v>2045</v>
      </c>
      <c r="C169" t="str">
        <f t="shared" si="2"/>
        <v>MN2045</v>
      </c>
      <c r="D169">
        <v>18.899999999999999</v>
      </c>
    </row>
    <row r="170" spans="1:4" x14ac:dyDescent="0.2">
      <c r="A170" t="s">
        <v>28</v>
      </c>
      <c r="B170">
        <v>2050</v>
      </c>
      <c r="C170" t="str">
        <f t="shared" si="2"/>
        <v>MN2050</v>
      </c>
      <c r="D170">
        <v>32.9</v>
      </c>
    </row>
    <row r="171" spans="1:4" x14ac:dyDescent="0.2">
      <c r="A171" t="s">
        <v>29</v>
      </c>
      <c r="B171">
        <v>2024</v>
      </c>
      <c r="C171" t="str">
        <f t="shared" si="2"/>
        <v>MO2024</v>
      </c>
      <c r="D171">
        <v>841.9</v>
      </c>
    </row>
    <row r="172" spans="1:4" x14ac:dyDescent="0.2">
      <c r="A172" t="s">
        <v>29</v>
      </c>
      <c r="B172">
        <v>2026</v>
      </c>
      <c r="C172" t="str">
        <f t="shared" si="2"/>
        <v>MO2026</v>
      </c>
      <c r="D172">
        <v>805.4</v>
      </c>
    </row>
    <row r="173" spans="1:4" x14ac:dyDescent="0.2">
      <c r="A173" t="s">
        <v>29</v>
      </c>
      <c r="B173">
        <v>2028</v>
      </c>
      <c r="C173" t="str">
        <f t="shared" si="2"/>
        <v>MO2028</v>
      </c>
      <c r="D173">
        <v>487.7</v>
      </c>
    </row>
    <row r="174" spans="1:4" x14ac:dyDescent="0.2">
      <c r="A174" t="s">
        <v>29</v>
      </c>
      <c r="B174">
        <v>2030</v>
      </c>
      <c r="C174" t="str">
        <f t="shared" si="2"/>
        <v>MO2030</v>
      </c>
      <c r="D174">
        <v>339.9</v>
      </c>
    </row>
    <row r="175" spans="1:4" x14ac:dyDescent="0.2">
      <c r="A175" t="s">
        <v>29</v>
      </c>
      <c r="B175">
        <v>2035</v>
      </c>
      <c r="C175" t="str">
        <f t="shared" si="2"/>
        <v>MO2035</v>
      </c>
      <c r="D175">
        <v>288.3</v>
      </c>
    </row>
    <row r="176" spans="1:4" x14ac:dyDescent="0.2">
      <c r="A176" t="s">
        <v>29</v>
      </c>
      <c r="B176">
        <v>2040</v>
      </c>
      <c r="C176" t="str">
        <f t="shared" si="2"/>
        <v>MO2040</v>
      </c>
      <c r="D176">
        <v>201.9</v>
      </c>
    </row>
    <row r="177" spans="1:4" x14ac:dyDescent="0.2">
      <c r="A177" t="s">
        <v>29</v>
      </c>
      <c r="B177">
        <v>2045</v>
      </c>
      <c r="C177" t="str">
        <f t="shared" si="2"/>
        <v>MO2045</v>
      </c>
      <c r="D177">
        <v>168.9</v>
      </c>
    </row>
    <row r="178" spans="1:4" x14ac:dyDescent="0.2">
      <c r="A178" t="s">
        <v>29</v>
      </c>
      <c r="B178">
        <v>2050</v>
      </c>
      <c r="C178" t="str">
        <f t="shared" si="2"/>
        <v>MO2050</v>
      </c>
      <c r="D178">
        <v>147.9</v>
      </c>
    </row>
    <row r="179" spans="1:4" x14ac:dyDescent="0.2">
      <c r="A179" t="s">
        <v>30</v>
      </c>
      <c r="B179">
        <v>2024</v>
      </c>
      <c r="C179" t="str">
        <f t="shared" si="2"/>
        <v>MS2024</v>
      </c>
      <c r="D179">
        <v>451.3</v>
      </c>
    </row>
    <row r="180" spans="1:4" x14ac:dyDescent="0.2">
      <c r="A180" t="s">
        <v>30</v>
      </c>
      <c r="B180">
        <v>2026</v>
      </c>
      <c r="C180" t="str">
        <f t="shared" si="2"/>
        <v>MS2026</v>
      </c>
      <c r="D180">
        <v>431.5</v>
      </c>
    </row>
    <row r="181" spans="1:4" x14ac:dyDescent="0.2">
      <c r="A181" t="s">
        <v>30</v>
      </c>
      <c r="B181">
        <v>2028</v>
      </c>
      <c r="C181" t="str">
        <f t="shared" si="2"/>
        <v>MS2028</v>
      </c>
      <c r="D181">
        <v>378</v>
      </c>
    </row>
    <row r="182" spans="1:4" x14ac:dyDescent="0.2">
      <c r="A182" t="s">
        <v>30</v>
      </c>
      <c r="B182">
        <v>2030</v>
      </c>
      <c r="C182" t="str">
        <f t="shared" si="2"/>
        <v>MS2030</v>
      </c>
      <c r="D182">
        <v>321.89999999999998</v>
      </c>
    </row>
    <row r="183" spans="1:4" x14ac:dyDescent="0.2">
      <c r="A183" t="s">
        <v>30</v>
      </c>
      <c r="B183">
        <v>2035</v>
      </c>
      <c r="C183" t="str">
        <f t="shared" si="2"/>
        <v>MS2035</v>
      </c>
      <c r="D183">
        <v>208.9</v>
      </c>
    </row>
    <row r="184" spans="1:4" x14ac:dyDescent="0.2">
      <c r="A184" t="s">
        <v>30</v>
      </c>
      <c r="B184">
        <v>2040</v>
      </c>
      <c r="C184" t="str">
        <f t="shared" si="2"/>
        <v>MS2040</v>
      </c>
      <c r="D184">
        <v>69.2</v>
      </c>
    </row>
    <row r="185" spans="1:4" x14ac:dyDescent="0.2">
      <c r="A185" t="s">
        <v>30</v>
      </c>
      <c r="B185">
        <v>2045</v>
      </c>
      <c r="C185" t="str">
        <f t="shared" si="2"/>
        <v>MS2045</v>
      </c>
      <c r="D185">
        <v>64.099999999999994</v>
      </c>
    </row>
    <row r="186" spans="1:4" x14ac:dyDescent="0.2">
      <c r="A186" t="s">
        <v>30</v>
      </c>
      <c r="B186">
        <v>2050</v>
      </c>
      <c r="C186" t="str">
        <f t="shared" si="2"/>
        <v>MS2050</v>
      </c>
      <c r="D186">
        <v>93.5</v>
      </c>
    </row>
    <row r="187" spans="1:4" x14ac:dyDescent="0.2">
      <c r="A187" t="s">
        <v>31</v>
      </c>
      <c r="B187">
        <v>2024</v>
      </c>
      <c r="C187" t="str">
        <f t="shared" si="2"/>
        <v>MT2024</v>
      </c>
      <c r="D187">
        <v>295.3</v>
      </c>
    </row>
    <row r="188" spans="1:4" x14ac:dyDescent="0.2">
      <c r="A188" t="s">
        <v>31</v>
      </c>
      <c r="B188">
        <v>2026</v>
      </c>
      <c r="C188" t="str">
        <f t="shared" si="2"/>
        <v>MT2026</v>
      </c>
      <c r="D188">
        <v>80.7</v>
      </c>
    </row>
    <row r="189" spans="1:4" x14ac:dyDescent="0.2">
      <c r="A189" t="s">
        <v>31</v>
      </c>
      <c r="B189">
        <v>2028</v>
      </c>
      <c r="C189" t="str">
        <f t="shared" si="2"/>
        <v>MT2028</v>
      </c>
      <c r="D189">
        <v>30.8</v>
      </c>
    </row>
    <row r="190" spans="1:4" x14ac:dyDescent="0.2">
      <c r="A190" t="s">
        <v>31</v>
      </c>
      <c r="B190">
        <v>2030</v>
      </c>
      <c r="C190" t="str">
        <f t="shared" si="2"/>
        <v>MT2030</v>
      </c>
      <c r="D190">
        <v>21.7</v>
      </c>
    </row>
    <row r="191" spans="1:4" x14ac:dyDescent="0.2">
      <c r="A191" t="s">
        <v>31</v>
      </c>
      <c r="B191">
        <v>2035</v>
      </c>
      <c r="C191" t="str">
        <f t="shared" si="2"/>
        <v>MT2035</v>
      </c>
      <c r="D191">
        <v>27.8</v>
      </c>
    </row>
    <row r="192" spans="1:4" x14ac:dyDescent="0.2">
      <c r="A192" t="s">
        <v>31</v>
      </c>
      <c r="B192">
        <v>2040</v>
      </c>
      <c r="C192" t="str">
        <f t="shared" si="2"/>
        <v>MT2040</v>
      </c>
      <c r="D192">
        <v>20.3</v>
      </c>
    </row>
    <row r="193" spans="1:4" x14ac:dyDescent="0.2">
      <c r="A193" t="s">
        <v>31</v>
      </c>
      <c r="B193">
        <v>2045</v>
      </c>
      <c r="C193" t="str">
        <f t="shared" si="2"/>
        <v>MT2045</v>
      </c>
      <c r="D193">
        <v>21</v>
      </c>
    </row>
    <row r="194" spans="1:4" x14ac:dyDescent="0.2">
      <c r="A194" t="s">
        <v>31</v>
      </c>
      <c r="B194">
        <v>2050</v>
      </c>
      <c r="C194" t="str">
        <f t="shared" si="2"/>
        <v>MT2050</v>
      </c>
      <c r="D194">
        <v>36</v>
      </c>
    </row>
    <row r="195" spans="1:4" x14ac:dyDescent="0.2">
      <c r="A195" t="s">
        <v>32</v>
      </c>
      <c r="B195">
        <v>2024</v>
      </c>
      <c r="C195" t="str">
        <f t="shared" si="2"/>
        <v>NC2024</v>
      </c>
      <c r="D195">
        <v>385.7</v>
      </c>
    </row>
    <row r="196" spans="1:4" x14ac:dyDescent="0.2">
      <c r="A196" t="s">
        <v>32</v>
      </c>
      <c r="B196">
        <v>2026</v>
      </c>
      <c r="C196" t="str">
        <f t="shared" ref="C196:C259" si="3">_xlfn.CONCAT(A196,B196)</f>
        <v>NC2026</v>
      </c>
      <c r="D196">
        <v>333.9</v>
      </c>
    </row>
    <row r="197" spans="1:4" x14ac:dyDescent="0.2">
      <c r="A197" t="s">
        <v>32</v>
      </c>
      <c r="B197">
        <v>2028</v>
      </c>
      <c r="C197" t="str">
        <f t="shared" si="3"/>
        <v>NC2028</v>
      </c>
      <c r="D197">
        <v>237.6</v>
      </c>
    </row>
    <row r="198" spans="1:4" x14ac:dyDescent="0.2">
      <c r="A198" t="s">
        <v>32</v>
      </c>
      <c r="B198">
        <v>2030</v>
      </c>
      <c r="C198" t="str">
        <f t="shared" si="3"/>
        <v>NC2030</v>
      </c>
      <c r="D198">
        <v>199.6</v>
      </c>
    </row>
    <row r="199" spans="1:4" x14ac:dyDescent="0.2">
      <c r="A199" t="s">
        <v>32</v>
      </c>
      <c r="B199">
        <v>2035</v>
      </c>
      <c r="C199" t="str">
        <f t="shared" si="3"/>
        <v>NC2035</v>
      </c>
      <c r="D199">
        <v>110.3</v>
      </c>
    </row>
    <row r="200" spans="1:4" x14ac:dyDescent="0.2">
      <c r="A200" t="s">
        <v>32</v>
      </c>
      <c r="B200">
        <v>2040</v>
      </c>
      <c r="C200" t="str">
        <f t="shared" si="3"/>
        <v>NC2040</v>
      </c>
      <c r="D200">
        <v>82.2</v>
      </c>
    </row>
    <row r="201" spans="1:4" x14ac:dyDescent="0.2">
      <c r="A201" t="s">
        <v>32</v>
      </c>
      <c r="B201">
        <v>2045</v>
      </c>
      <c r="C201" t="str">
        <f t="shared" si="3"/>
        <v>NC2045</v>
      </c>
      <c r="D201">
        <v>72.099999999999994</v>
      </c>
    </row>
    <row r="202" spans="1:4" x14ac:dyDescent="0.2">
      <c r="A202" t="s">
        <v>32</v>
      </c>
      <c r="B202">
        <v>2050</v>
      </c>
      <c r="C202" t="str">
        <f t="shared" si="3"/>
        <v>NC2050</v>
      </c>
      <c r="D202">
        <v>79.3</v>
      </c>
    </row>
    <row r="203" spans="1:4" x14ac:dyDescent="0.2">
      <c r="A203" t="s">
        <v>33</v>
      </c>
      <c r="B203">
        <v>2024</v>
      </c>
      <c r="C203" t="str">
        <f t="shared" si="3"/>
        <v>ND2024</v>
      </c>
      <c r="D203">
        <v>301.3</v>
      </c>
    </row>
    <row r="204" spans="1:4" x14ac:dyDescent="0.2">
      <c r="A204" t="s">
        <v>33</v>
      </c>
      <c r="B204">
        <v>2026</v>
      </c>
      <c r="C204" t="str">
        <f t="shared" si="3"/>
        <v>ND2026</v>
      </c>
      <c r="D204">
        <v>171.2</v>
      </c>
    </row>
    <row r="205" spans="1:4" x14ac:dyDescent="0.2">
      <c r="A205" t="s">
        <v>33</v>
      </c>
      <c r="B205">
        <v>2028</v>
      </c>
      <c r="C205" t="str">
        <f t="shared" si="3"/>
        <v>ND2028</v>
      </c>
      <c r="D205">
        <v>83.6</v>
      </c>
    </row>
    <row r="206" spans="1:4" x14ac:dyDescent="0.2">
      <c r="A206" t="s">
        <v>33</v>
      </c>
      <c r="B206">
        <v>2030</v>
      </c>
      <c r="C206" t="str">
        <f t="shared" si="3"/>
        <v>ND2030</v>
      </c>
      <c r="D206">
        <v>49.8</v>
      </c>
    </row>
    <row r="207" spans="1:4" x14ac:dyDescent="0.2">
      <c r="A207" t="s">
        <v>33</v>
      </c>
      <c r="B207">
        <v>2035</v>
      </c>
      <c r="C207" t="str">
        <f t="shared" si="3"/>
        <v>ND2035</v>
      </c>
      <c r="D207">
        <v>32.799999999999997</v>
      </c>
    </row>
    <row r="208" spans="1:4" x14ac:dyDescent="0.2">
      <c r="A208" t="s">
        <v>33</v>
      </c>
      <c r="B208">
        <v>2040</v>
      </c>
      <c r="C208" t="str">
        <f t="shared" si="3"/>
        <v>ND2040</v>
      </c>
      <c r="D208">
        <v>16.399999999999999</v>
      </c>
    </row>
    <row r="209" spans="1:4" x14ac:dyDescent="0.2">
      <c r="A209" t="s">
        <v>33</v>
      </c>
      <c r="B209">
        <v>2045</v>
      </c>
      <c r="C209" t="str">
        <f t="shared" si="3"/>
        <v>ND2045</v>
      </c>
      <c r="D209">
        <v>15.6</v>
      </c>
    </row>
    <row r="210" spans="1:4" x14ac:dyDescent="0.2">
      <c r="A210" t="s">
        <v>33</v>
      </c>
      <c r="B210">
        <v>2050</v>
      </c>
      <c r="C210" t="str">
        <f t="shared" si="3"/>
        <v>ND2050</v>
      </c>
      <c r="D210">
        <v>27</v>
      </c>
    </row>
    <row r="211" spans="1:4" x14ac:dyDescent="0.2">
      <c r="A211" t="s">
        <v>34</v>
      </c>
      <c r="B211">
        <v>2024</v>
      </c>
      <c r="C211" t="str">
        <f t="shared" si="3"/>
        <v>NE2024</v>
      </c>
      <c r="D211">
        <v>167.6</v>
      </c>
    </row>
    <row r="212" spans="1:4" x14ac:dyDescent="0.2">
      <c r="A212" t="s">
        <v>34</v>
      </c>
      <c r="B212">
        <v>2026</v>
      </c>
      <c r="C212" t="str">
        <f t="shared" si="3"/>
        <v>NE2026</v>
      </c>
      <c r="D212">
        <v>116.8</v>
      </c>
    </row>
    <row r="213" spans="1:4" x14ac:dyDescent="0.2">
      <c r="A213" t="s">
        <v>34</v>
      </c>
      <c r="B213">
        <v>2028</v>
      </c>
      <c r="C213" t="str">
        <f t="shared" si="3"/>
        <v>NE2028</v>
      </c>
      <c r="D213">
        <v>59</v>
      </c>
    </row>
    <row r="214" spans="1:4" x14ac:dyDescent="0.2">
      <c r="A214" t="s">
        <v>34</v>
      </c>
      <c r="B214">
        <v>2030</v>
      </c>
      <c r="C214" t="str">
        <f t="shared" si="3"/>
        <v>NE2030</v>
      </c>
      <c r="D214">
        <v>46</v>
      </c>
    </row>
    <row r="215" spans="1:4" x14ac:dyDescent="0.2">
      <c r="A215" t="s">
        <v>34</v>
      </c>
      <c r="B215">
        <v>2035</v>
      </c>
      <c r="C215" t="str">
        <f t="shared" si="3"/>
        <v>NE2035</v>
      </c>
      <c r="D215">
        <v>42.9</v>
      </c>
    </row>
    <row r="216" spans="1:4" x14ac:dyDescent="0.2">
      <c r="A216" t="s">
        <v>34</v>
      </c>
      <c r="B216">
        <v>2040</v>
      </c>
      <c r="C216" t="str">
        <f t="shared" si="3"/>
        <v>NE2040</v>
      </c>
      <c r="D216">
        <v>17.3</v>
      </c>
    </row>
    <row r="217" spans="1:4" x14ac:dyDescent="0.2">
      <c r="A217" t="s">
        <v>34</v>
      </c>
      <c r="B217">
        <v>2045</v>
      </c>
      <c r="C217" t="str">
        <f t="shared" si="3"/>
        <v>NE2045</v>
      </c>
      <c r="D217">
        <v>18.5</v>
      </c>
    </row>
    <row r="218" spans="1:4" x14ac:dyDescent="0.2">
      <c r="A218" t="s">
        <v>34</v>
      </c>
      <c r="B218">
        <v>2050</v>
      </c>
      <c r="C218" t="str">
        <f t="shared" si="3"/>
        <v>NE2050</v>
      </c>
      <c r="D218">
        <v>33.299999999999997</v>
      </c>
    </row>
    <row r="219" spans="1:4" x14ac:dyDescent="0.2">
      <c r="A219" t="s">
        <v>35</v>
      </c>
      <c r="B219">
        <v>2024</v>
      </c>
      <c r="C219" t="str">
        <f t="shared" si="3"/>
        <v>NH2024</v>
      </c>
      <c r="D219">
        <v>73.2</v>
      </c>
    </row>
    <row r="220" spans="1:4" x14ac:dyDescent="0.2">
      <c r="A220" t="s">
        <v>35</v>
      </c>
      <c r="B220">
        <v>2026</v>
      </c>
      <c r="C220" t="str">
        <f t="shared" si="3"/>
        <v>NH2026</v>
      </c>
      <c r="D220">
        <v>67.599999999999994</v>
      </c>
    </row>
    <row r="221" spans="1:4" x14ac:dyDescent="0.2">
      <c r="A221" t="s">
        <v>35</v>
      </c>
      <c r="B221">
        <v>2028</v>
      </c>
      <c r="C221" t="str">
        <f t="shared" si="3"/>
        <v>NH2028</v>
      </c>
      <c r="D221">
        <v>54.2</v>
      </c>
    </row>
    <row r="222" spans="1:4" x14ac:dyDescent="0.2">
      <c r="A222" t="s">
        <v>35</v>
      </c>
      <c r="B222">
        <v>2030</v>
      </c>
      <c r="C222" t="str">
        <f t="shared" si="3"/>
        <v>NH2030</v>
      </c>
      <c r="D222">
        <v>37.700000000000003</v>
      </c>
    </row>
    <row r="223" spans="1:4" x14ac:dyDescent="0.2">
      <c r="A223" t="s">
        <v>35</v>
      </c>
      <c r="B223">
        <v>2035</v>
      </c>
      <c r="C223" t="str">
        <f t="shared" si="3"/>
        <v>NH2035</v>
      </c>
      <c r="D223">
        <v>30.4</v>
      </c>
    </row>
    <row r="224" spans="1:4" x14ac:dyDescent="0.2">
      <c r="A224" t="s">
        <v>35</v>
      </c>
      <c r="B224">
        <v>2040</v>
      </c>
      <c r="C224" t="str">
        <f t="shared" si="3"/>
        <v>NH2040</v>
      </c>
      <c r="D224">
        <v>32</v>
      </c>
    </row>
    <row r="225" spans="1:4" x14ac:dyDescent="0.2">
      <c r="A225" t="s">
        <v>35</v>
      </c>
      <c r="B225">
        <v>2045</v>
      </c>
      <c r="C225" t="str">
        <f t="shared" si="3"/>
        <v>NH2045</v>
      </c>
      <c r="D225">
        <v>40.6</v>
      </c>
    </row>
    <row r="226" spans="1:4" x14ac:dyDescent="0.2">
      <c r="A226" t="s">
        <v>35</v>
      </c>
      <c r="B226">
        <v>2050</v>
      </c>
      <c r="C226" t="str">
        <f t="shared" si="3"/>
        <v>NH2050</v>
      </c>
      <c r="D226">
        <v>60.9</v>
      </c>
    </row>
    <row r="227" spans="1:4" x14ac:dyDescent="0.2">
      <c r="A227" t="s">
        <v>36</v>
      </c>
      <c r="B227">
        <v>2024</v>
      </c>
      <c r="C227" t="str">
        <f t="shared" si="3"/>
        <v>NJ2024</v>
      </c>
      <c r="D227">
        <v>256.3</v>
      </c>
    </row>
    <row r="228" spans="1:4" x14ac:dyDescent="0.2">
      <c r="A228" t="s">
        <v>36</v>
      </c>
      <c r="B228">
        <v>2026</v>
      </c>
      <c r="C228" t="str">
        <f t="shared" si="3"/>
        <v>NJ2026</v>
      </c>
      <c r="D228">
        <v>249.6</v>
      </c>
    </row>
    <row r="229" spans="1:4" x14ac:dyDescent="0.2">
      <c r="A229" t="s">
        <v>36</v>
      </c>
      <c r="B229">
        <v>2028</v>
      </c>
      <c r="C229" t="str">
        <f t="shared" si="3"/>
        <v>NJ2028</v>
      </c>
      <c r="D229">
        <v>221.3</v>
      </c>
    </row>
    <row r="230" spans="1:4" x14ac:dyDescent="0.2">
      <c r="A230" t="s">
        <v>36</v>
      </c>
      <c r="B230">
        <v>2030</v>
      </c>
      <c r="C230" t="str">
        <f t="shared" si="3"/>
        <v>NJ2030</v>
      </c>
      <c r="D230">
        <v>202.9</v>
      </c>
    </row>
    <row r="231" spans="1:4" x14ac:dyDescent="0.2">
      <c r="A231" t="s">
        <v>36</v>
      </c>
      <c r="B231">
        <v>2035</v>
      </c>
      <c r="C231" t="str">
        <f t="shared" si="3"/>
        <v>NJ2035</v>
      </c>
      <c r="D231">
        <v>152.30000000000001</v>
      </c>
    </row>
    <row r="232" spans="1:4" x14ac:dyDescent="0.2">
      <c r="A232" t="s">
        <v>36</v>
      </c>
      <c r="B232">
        <v>2040</v>
      </c>
      <c r="C232" t="str">
        <f t="shared" si="3"/>
        <v>NJ2040</v>
      </c>
      <c r="D232">
        <v>154.80000000000001</v>
      </c>
    </row>
    <row r="233" spans="1:4" x14ac:dyDescent="0.2">
      <c r="A233" t="s">
        <v>36</v>
      </c>
      <c r="B233">
        <v>2045</v>
      </c>
      <c r="C233" t="str">
        <f t="shared" si="3"/>
        <v>NJ2045</v>
      </c>
      <c r="D233">
        <v>171.5</v>
      </c>
    </row>
    <row r="234" spans="1:4" x14ac:dyDescent="0.2">
      <c r="A234" t="s">
        <v>36</v>
      </c>
      <c r="B234">
        <v>2050</v>
      </c>
      <c r="C234" t="str">
        <f t="shared" si="3"/>
        <v>NJ2050</v>
      </c>
      <c r="D234">
        <v>159.80000000000001</v>
      </c>
    </row>
    <row r="235" spans="1:4" x14ac:dyDescent="0.2">
      <c r="A235" t="s">
        <v>37</v>
      </c>
      <c r="B235">
        <v>2024</v>
      </c>
      <c r="C235" t="str">
        <f t="shared" si="3"/>
        <v>NM2024</v>
      </c>
      <c r="D235">
        <v>384.5</v>
      </c>
    </row>
    <row r="236" spans="1:4" x14ac:dyDescent="0.2">
      <c r="A236" t="s">
        <v>37</v>
      </c>
      <c r="B236">
        <v>2026</v>
      </c>
      <c r="C236" t="str">
        <f t="shared" si="3"/>
        <v>NM2026</v>
      </c>
      <c r="D236">
        <v>238.5</v>
      </c>
    </row>
    <row r="237" spans="1:4" x14ac:dyDescent="0.2">
      <c r="A237" t="s">
        <v>37</v>
      </c>
      <c r="B237">
        <v>2028</v>
      </c>
      <c r="C237" t="str">
        <f t="shared" si="3"/>
        <v>NM2028</v>
      </c>
      <c r="D237">
        <v>117.5</v>
      </c>
    </row>
    <row r="238" spans="1:4" x14ac:dyDescent="0.2">
      <c r="A238" t="s">
        <v>37</v>
      </c>
      <c r="B238">
        <v>2030</v>
      </c>
      <c r="C238" t="str">
        <f t="shared" si="3"/>
        <v>NM2030</v>
      </c>
      <c r="D238">
        <v>84.2</v>
      </c>
    </row>
    <row r="239" spans="1:4" x14ac:dyDescent="0.2">
      <c r="A239" t="s">
        <v>37</v>
      </c>
      <c r="B239">
        <v>2035</v>
      </c>
      <c r="C239" t="str">
        <f t="shared" si="3"/>
        <v>NM2035</v>
      </c>
      <c r="D239">
        <v>8.9</v>
      </c>
    </row>
    <row r="240" spans="1:4" x14ac:dyDescent="0.2">
      <c r="A240" t="s">
        <v>37</v>
      </c>
      <c r="B240">
        <v>2040</v>
      </c>
      <c r="C240" t="str">
        <f t="shared" si="3"/>
        <v>NM2040</v>
      </c>
      <c r="D240">
        <v>4.8</v>
      </c>
    </row>
    <row r="241" spans="1:4" x14ac:dyDescent="0.2">
      <c r="A241" t="s">
        <v>37</v>
      </c>
      <c r="B241">
        <v>2045</v>
      </c>
      <c r="C241" t="str">
        <f t="shared" si="3"/>
        <v>NM2045</v>
      </c>
      <c r="D241">
        <v>3.7</v>
      </c>
    </row>
    <row r="242" spans="1:4" x14ac:dyDescent="0.2">
      <c r="A242" t="s">
        <v>37</v>
      </c>
      <c r="B242">
        <v>2050</v>
      </c>
      <c r="C242" t="str">
        <f t="shared" si="3"/>
        <v>NM2050</v>
      </c>
      <c r="D242">
        <v>10.8</v>
      </c>
    </row>
    <row r="243" spans="1:4" x14ac:dyDescent="0.2">
      <c r="A243" t="s">
        <v>38</v>
      </c>
      <c r="B243">
        <v>2024</v>
      </c>
      <c r="C243" t="str">
        <f t="shared" si="3"/>
        <v>NV2024</v>
      </c>
      <c r="D243">
        <v>284.10000000000002</v>
      </c>
    </row>
    <row r="244" spans="1:4" x14ac:dyDescent="0.2">
      <c r="A244" t="s">
        <v>38</v>
      </c>
      <c r="B244">
        <v>2026</v>
      </c>
      <c r="C244" t="str">
        <f t="shared" si="3"/>
        <v>NV2026</v>
      </c>
      <c r="D244">
        <v>232.2</v>
      </c>
    </row>
    <row r="245" spans="1:4" x14ac:dyDescent="0.2">
      <c r="A245" t="s">
        <v>38</v>
      </c>
      <c r="B245">
        <v>2028</v>
      </c>
      <c r="C245" t="str">
        <f t="shared" si="3"/>
        <v>NV2028</v>
      </c>
      <c r="D245">
        <v>149.9</v>
      </c>
    </row>
    <row r="246" spans="1:4" x14ac:dyDescent="0.2">
      <c r="A246" t="s">
        <v>38</v>
      </c>
      <c r="B246">
        <v>2030</v>
      </c>
      <c r="C246" t="str">
        <f t="shared" si="3"/>
        <v>NV2030</v>
      </c>
      <c r="D246">
        <v>115.3</v>
      </c>
    </row>
    <row r="247" spans="1:4" x14ac:dyDescent="0.2">
      <c r="A247" t="s">
        <v>38</v>
      </c>
      <c r="B247">
        <v>2035</v>
      </c>
      <c r="C247" t="str">
        <f t="shared" si="3"/>
        <v>NV2035</v>
      </c>
      <c r="D247">
        <v>76.599999999999994</v>
      </c>
    </row>
    <row r="248" spans="1:4" x14ac:dyDescent="0.2">
      <c r="A248" t="s">
        <v>38</v>
      </c>
      <c r="B248">
        <v>2040</v>
      </c>
      <c r="C248" t="str">
        <f t="shared" si="3"/>
        <v>NV2040</v>
      </c>
      <c r="D248">
        <v>43.9</v>
      </c>
    </row>
    <row r="249" spans="1:4" x14ac:dyDescent="0.2">
      <c r="A249" t="s">
        <v>38</v>
      </c>
      <c r="B249">
        <v>2045</v>
      </c>
      <c r="C249" t="str">
        <f t="shared" si="3"/>
        <v>NV2045</v>
      </c>
      <c r="D249">
        <v>28</v>
      </c>
    </row>
    <row r="250" spans="1:4" x14ac:dyDescent="0.2">
      <c r="A250" t="s">
        <v>38</v>
      </c>
      <c r="B250">
        <v>2050</v>
      </c>
      <c r="C250" t="str">
        <f t="shared" si="3"/>
        <v>NV2050</v>
      </c>
      <c r="D250">
        <v>47.4</v>
      </c>
    </row>
    <row r="251" spans="1:4" x14ac:dyDescent="0.2">
      <c r="A251" t="s">
        <v>39</v>
      </c>
      <c r="B251">
        <v>2024</v>
      </c>
      <c r="C251" t="str">
        <f t="shared" si="3"/>
        <v>NY2024</v>
      </c>
      <c r="D251">
        <v>202.5</v>
      </c>
    </row>
    <row r="252" spans="1:4" x14ac:dyDescent="0.2">
      <c r="A252" t="s">
        <v>39</v>
      </c>
      <c r="B252">
        <v>2026</v>
      </c>
      <c r="C252" t="str">
        <f t="shared" si="3"/>
        <v>NY2026</v>
      </c>
      <c r="D252">
        <v>142.6</v>
      </c>
    </row>
    <row r="253" spans="1:4" x14ac:dyDescent="0.2">
      <c r="A253" t="s">
        <v>39</v>
      </c>
      <c r="B253">
        <v>2028</v>
      </c>
      <c r="C253" t="str">
        <f t="shared" si="3"/>
        <v>NY2028</v>
      </c>
      <c r="D253">
        <v>124.4</v>
      </c>
    </row>
    <row r="254" spans="1:4" x14ac:dyDescent="0.2">
      <c r="A254" t="s">
        <v>39</v>
      </c>
      <c r="B254">
        <v>2030</v>
      </c>
      <c r="C254" t="str">
        <f t="shared" si="3"/>
        <v>NY2030</v>
      </c>
      <c r="D254">
        <v>103.6</v>
      </c>
    </row>
    <row r="255" spans="1:4" x14ac:dyDescent="0.2">
      <c r="A255" t="s">
        <v>39</v>
      </c>
      <c r="B255">
        <v>2035</v>
      </c>
      <c r="C255" t="str">
        <f t="shared" si="3"/>
        <v>NY2035</v>
      </c>
      <c r="D255">
        <v>82.3</v>
      </c>
    </row>
    <row r="256" spans="1:4" x14ac:dyDescent="0.2">
      <c r="A256" t="s">
        <v>39</v>
      </c>
      <c r="B256">
        <v>2040</v>
      </c>
      <c r="C256" t="str">
        <f t="shared" si="3"/>
        <v>NY2040</v>
      </c>
      <c r="D256">
        <v>81</v>
      </c>
    </row>
    <row r="257" spans="1:4" x14ac:dyDescent="0.2">
      <c r="A257" t="s">
        <v>39</v>
      </c>
      <c r="B257">
        <v>2045</v>
      </c>
      <c r="C257" t="str">
        <f t="shared" si="3"/>
        <v>NY2045</v>
      </c>
      <c r="D257">
        <v>91.9</v>
      </c>
    </row>
    <row r="258" spans="1:4" x14ac:dyDescent="0.2">
      <c r="A258" t="s">
        <v>39</v>
      </c>
      <c r="B258">
        <v>2050</v>
      </c>
      <c r="C258" t="str">
        <f t="shared" si="3"/>
        <v>NY2050</v>
      </c>
      <c r="D258">
        <v>123.5</v>
      </c>
    </row>
    <row r="259" spans="1:4" x14ac:dyDescent="0.2">
      <c r="A259" t="s">
        <v>40</v>
      </c>
      <c r="B259">
        <v>2024</v>
      </c>
      <c r="C259" t="str">
        <f t="shared" si="3"/>
        <v>OH2024</v>
      </c>
      <c r="D259">
        <v>590.6</v>
      </c>
    </row>
    <row r="260" spans="1:4" x14ac:dyDescent="0.2">
      <c r="A260" t="s">
        <v>40</v>
      </c>
      <c r="B260">
        <v>2026</v>
      </c>
      <c r="C260" t="str">
        <f t="shared" ref="C260:C323" si="4">_xlfn.CONCAT(A260,B260)</f>
        <v>OH2026</v>
      </c>
      <c r="D260">
        <v>560.1</v>
      </c>
    </row>
    <row r="261" spans="1:4" x14ac:dyDescent="0.2">
      <c r="A261" t="s">
        <v>40</v>
      </c>
      <c r="B261">
        <v>2028</v>
      </c>
      <c r="C261" t="str">
        <f t="shared" si="4"/>
        <v>OH2028</v>
      </c>
      <c r="D261">
        <v>424.6</v>
      </c>
    </row>
    <row r="262" spans="1:4" x14ac:dyDescent="0.2">
      <c r="A262" t="s">
        <v>40</v>
      </c>
      <c r="B262">
        <v>2030</v>
      </c>
      <c r="C262" t="str">
        <f t="shared" si="4"/>
        <v>OH2030</v>
      </c>
      <c r="D262">
        <v>339.7</v>
      </c>
    </row>
    <row r="263" spans="1:4" x14ac:dyDescent="0.2">
      <c r="A263" t="s">
        <v>40</v>
      </c>
      <c r="B263">
        <v>2035</v>
      </c>
      <c r="C263" t="str">
        <f t="shared" si="4"/>
        <v>OH2035</v>
      </c>
      <c r="D263">
        <v>282.10000000000002</v>
      </c>
    </row>
    <row r="264" spans="1:4" x14ac:dyDescent="0.2">
      <c r="A264" t="s">
        <v>40</v>
      </c>
      <c r="B264">
        <v>2040</v>
      </c>
      <c r="C264" t="str">
        <f t="shared" si="4"/>
        <v>OH2040</v>
      </c>
      <c r="D264">
        <v>165.2</v>
      </c>
    </row>
    <row r="265" spans="1:4" x14ac:dyDescent="0.2">
      <c r="A265" t="s">
        <v>40</v>
      </c>
      <c r="B265">
        <v>2045</v>
      </c>
      <c r="C265" t="str">
        <f t="shared" si="4"/>
        <v>OH2045</v>
      </c>
      <c r="D265">
        <v>171.7</v>
      </c>
    </row>
    <row r="266" spans="1:4" x14ac:dyDescent="0.2">
      <c r="A266" t="s">
        <v>40</v>
      </c>
      <c r="B266">
        <v>2050</v>
      </c>
      <c r="C266" t="str">
        <f t="shared" si="4"/>
        <v>OH2050</v>
      </c>
      <c r="D266">
        <v>202.8</v>
      </c>
    </row>
    <row r="267" spans="1:4" x14ac:dyDescent="0.2">
      <c r="A267" t="s">
        <v>41</v>
      </c>
      <c r="B267">
        <v>2024</v>
      </c>
      <c r="C267" t="str">
        <f t="shared" si="4"/>
        <v>OK2024</v>
      </c>
      <c r="D267">
        <v>104.3</v>
      </c>
    </row>
    <row r="268" spans="1:4" x14ac:dyDescent="0.2">
      <c r="A268" t="s">
        <v>41</v>
      </c>
      <c r="B268">
        <v>2026</v>
      </c>
      <c r="C268" t="str">
        <f t="shared" si="4"/>
        <v>OK2026</v>
      </c>
      <c r="D268">
        <v>73.7</v>
      </c>
    </row>
    <row r="269" spans="1:4" x14ac:dyDescent="0.2">
      <c r="A269" t="s">
        <v>41</v>
      </c>
      <c r="B269">
        <v>2028</v>
      </c>
      <c r="C269" t="str">
        <f t="shared" si="4"/>
        <v>OK2028</v>
      </c>
      <c r="D269">
        <v>42.8</v>
      </c>
    </row>
    <row r="270" spans="1:4" x14ac:dyDescent="0.2">
      <c r="A270" t="s">
        <v>41</v>
      </c>
      <c r="B270">
        <v>2030</v>
      </c>
      <c r="C270" t="str">
        <f t="shared" si="4"/>
        <v>OK2030</v>
      </c>
      <c r="D270">
        <v>28.8</v>
      </c>
    </row>
    <row r="271" spans="1:4" x14ac:dyDescent="0.2">
      <c r="A271" t="s">
        <v>41</v>
      </c>
      <c r="B271">
        <v>2035</v>
      </c>
      <c r="C271" t="str">
        <f t="shared" si="4"/>
        <v>OK2035</v>
      </c>
      <c r="D271">
        <v>19.7</v>
      </c>
    </row>
    <row r="272" spans="1:4" x14ac:dyDescent="0.2">
      <c r="A272" t="s">
        <v>41</v>
      </c>
      <c r="B272">
        <v>2040</v>
      </c>
      <c r="C272" t="str">
        <f t="shared" si="4"/>
        <v>OK2040</v>
      </c>
      <c r="D272">
        <v>13.1</v>
      </c>
    </row>
    <row r="273" spans="1:4" x14ac:dyDescent="0.2">
      <c r="A273" t="s">
        <v>41</v>
      </c>
      <c r="B273">
        <v>2045</v>
      </c>
      <c r="C273" t="str">
        <f t="shared" si="4"/>
        <v>OK2045</v>
      </c>
      <c r="D273">
        <v>13.1</v>
      </c>
    </row>
    <row r="274" spans="1:4" x14ac:dyDescent="0.2">
      <c r="A274" t="s">
        <v>41</v>
      </c>
      <c r="B274">
        <v>2050</v>
      </c>
      <c r="C274" t="str">
        <f t="shared" si="4"/>
        <v>OK2050</v>
      </c>
      <c r="D274">
        <v>41.6</v>
      </c>
    </row>
    <row r="275" spans="1:4" x14ac:dyDescent="0.2">
      <c r="A275" t="s">
        <v>42</v>
      </c>
      <c r="B275">
        <v>2024</v>
      </c>
      <c r="C275" t="str">
        <f t="shared" si="4"/>
        <v>OR2024</v>
      </c>
      <c r="D275">
        <v>93.6</v>
      </c>
    </row>
    <row r="276" spans="1:4" x14ac:dyDescent="0.2">
      <c r="A276" t="s">
        <v>42</v>
      </c>
      <c r="B276">
        <v>2026</v>
      </c>
      <c r="C276" t="str">
        <f t="shared" si="4"/>
        <v>OR2026</v>
      </c>
      <c r="D276">
        <v>82.5</v>
      </c>
    </row>
    <row r="277" spans="1:4" x14ac:dyDescent="0.2">
      <c r="A277" t="s">
        <v>42</v>
      </c>
      <c r="B277">
        <v>2028</v>
      </c>
      <c r="C277" t="str">
        <f t="shared" si="4"/>
        <v>OR2028</v>
      </c>
      <c r="D277">
        <v>64.7</v>
      </c>
    </row>
    <row r="278" spans="1:4" x14ac:dyDescent="0.2">
      <c r="A278" t="s">
        <v>42</v>
      </c>
      <c r="B278">
        <v>2030</v>
      </c>
      <c r="C278" t="str">
        <f t="shared" si="4"/>
        <v>OR2030</v>
      </c>
      <c r="D278">
        <v>52.3</v>
      </c>
    </row>
    <row r="279" spans="1:4" x14ac:dyDescent="0.2">
      <c r="A279" t="s">
        <v>42</v>
      </c>
      <c r="B279">
        <v>2035</v>
      </c>
      <c r="C279" t="str">
        <f t="shared" si="4"/>
        <v>OR2035</v>
      </c>
      <c r="D279">
        <v>44.9</v>
      </c>
    </row>
    <row r="280" spans="1:4" x14ac:dyDescent="0.2">
      <c r="A280" t="s">
        <v>42</v>
      </c>
      <c r="B280">
        <v>2040</v>
      </c>
      <c r="C280" t="str">
        <f t="shared" si="4"/>
        <v>OR2040</v>
      </c>
      <c r="D280">
        <v>25.8</v>
      </c>
    </row>
    <row r="281" spans="1:4" x14ac:dyDescent="0.2">
      <c r="A281" t="s">
        <v>42</v>
      </c>
      <c r="B281">
        <v>2045</v>
      </c>
      <c r="C281" t="str">
        <f t="shared" si="4"/>
        <v>OR2045</v>
      </c>
      <c r="D281">
        <v>23.2</v>
      </c>
    </row>
    <row r="282" spans="1:4" x14ac:dyDescent="0.2">
      <c r="A282" t="s">
        <v>42</v>
      </c>
      <c r="B282">
        <v>2050</v>
      </c>
      <c r="C282" t="str">
        <f t="shared" si="4"/>
        <v>OR2050</v>
      </c>
      <c r="D282">
        <v>26.7</v>
      </c>
    </row>
    <row r="283" spans="1:4" x14ac:dyDescent="0.2">
      <c r="A283" t="s">
        <v>43</v>
      </c>
      <c r="B283">
        <v>2024</v>
      </c>
      <c r="C283" t="str">
        <f t="shared" si="4"/>
        <v>PA2024</v>
      </c>
      <c r="D283">
        <v>368.4</v>
      </c>
    </row>
    <row r="284" spans="1:4" x14ac:dyDescent="0.2">
      <c r="A284" t="s">
        <v>43</v>
      </c>
      <c r="B284">
        <v>2026</v>
      </c>
      <c r="C284" t="str">
        <f t="shared" si="4"/>
        <v>PA2026</v>
      </c>
      <c r="D284">
        <v>342.5</v>
      </c>
    </row>
    <row r="285" spans="1:4" x14ac:dyDescent="0.2">
      <c r="A285" t="s">
        <v>43</v>
      </c>
      <c r="B285">
        <v>2028</v>
      </c>
      <c r="C285" t="str">
        <f t="shared" si="4"/>
        <v>PA2028</v>
      </c>
      <c r="D285">
        <v>315.2</v>
      </c>
    </row>
    <row r="286" spans="1:4" x14ac:dyDescent="0.2">
      <c r="A286" t="s">
        <v>43</v>
      </c>
      <c r="B286">
        <v>2030</v>
      </c>
      <c r="C286" t="str">
        <f t="shared" si="4"/>
        <v>PA2030</v>
      </c>
      <c r="D286">
        <v>297.7</v>
      </c>
    </row>
    <row r="287" spans="1:4" x14ac:dyDescent="0.2">
      <c r="A287" t="s">
        <v>43</v>
      </c>
      <c r="B287">
        <v>2035</v>
      </c>
      <c r="C287" t="str">
        <f t="shared" si="4"/>
        <v>PA2035</v>
      </c>
      <c r="D287">
        <v>283.3</v>
      </c>
    </row>
    <row r="288" spans="1:4" x14ac:dyDescent="0.2">
      <c r="A288" t="s">
        <v>43</v>
      </c>
      <c r="B288">
        <v>2040</v>
      </c>
      <c r="C288" t="str">
        <f t="shared" si="4"/>
        <v>PA2040</v>
      </c>
      <c r="D288">
        <v>259.8</v>
      </c>
    </row>
    <row r="289" spans="1:4" x14ac:dyDescent="0.2">
      <c r="A289" t="s">
        <v>43</v>
      </c>
      <c r="B289">
        <v>2045</v>
      </c>
      <c r="C289" t="str">
        <f t="shared" si="4"/>
        <v>PA2045</v>
      </c>
      <c r="D289">
        <v>261</v>
      </c>
    </row>
    <row r="290" spans="1:4" x14ac:dyDescent="0.2">
      <c r="A290" t="s">
        <v>43</v>
      </c>
      <c r="B290">
        <v>2050</v>
      </c>
      <c r="C290" t="str">
        <f t="shared" si="4"/>
        <v>PA2050</v>
      </c>
      <c r="D290">
        <v>281.39999999999998</v>
      </c>
    </row>
    <row r="291" spans="1:4" x14ac:dyDescent="0.2">
      <c r="A291" t="s">
        <v>44</v>
      </c>
      <c r="B291">
        <v>2024</v>
      </c>
      <c r="C291" t="str">
        <f t="shared" si="4"/>
        <v>RI2024</v>
      </c>
      <c r="D291">
        <v>215.4</v>
      </c>
    </row>
    <row r="292" spans="1:4" x14ac:dyDescent="0.2">
      <c r="A292" t="s">
        <v>44</v>
      </c>
      <c r="B292">
        <v>2026</v>
      </c>
      <c r="C292" t="str">
        <f t="shared" si="4"/>
        <v>RI2026</v>
      </c>
      <c r="D292">
        <v>149.9</v>
      </c>
    </row>
    <row r="293" spans="1:4" x14ac:dyDescent="0.2">
      <c r="A293" t="s">
        <v>44</v>
      </c>
      <c r="B293">
        <v>2028</v>
      </c>
      <c r="C293" t="str">
        <f t="shared" si="4"/>
        <v>RI2028</v>
      </c>
      <c r="D293">
        <v>151.9</v>
      </c>
    </row>
    <row r="294" spans="1:4" x14ac:dyDescent="0.2">
      <c r="A294" t="s">
        <v>44</v>
      </c>
      <c r="B294">
        <v>2030</v>
      </c>
      <c r="C294" t="str">
        <f t="shared" si="4"/>
        <v>RI2030</v>
      </c>
      <c r="D294">
        <v>134.9</v>
      </c>
    </row>
    <row r="295" spans="1:4" x14ac:dyDescent="0.2">
      <c r="A295" t="s">
        <v>44</v>
      </c>
      <c r="B295">
        <v>2035</v>
      </c>
      <c r="C295" t="str">
        <f t="shared" si="4"/>
        <v>RI2035</v>
      </c>
      <c r="D295">
        <v>130.30000000000001</v>
      </c>
    </row>
    <row r="296" spans="1:4" x14ac:dyDescent="0.2">
      <c r="A296" t="s">
        <v>44</v>
      </c>
      <c r="B296">
        <v>2040</v>
      </c>
      <c r="C296" t="str">
        <f t="shared" si="4"/>
        <v>RI2040</v>
      </c>
      <c r="D296">
        <v>120.4</v>
      </c>
    </row>
    <row r="297" spans="1:4" x14ac:dyDescent="0.2">
      <c r="A297" t="s">
        <v>44</v>
      </c>
      <c r="B297">
        <v>2045</v>
      </c>
      <c r="C297" t="str">
        <f t="shared" si="4"/>
        <v>RI2045</v>
      </c>
      <c r="D297">
        <v>144.69999999999999</v>
      </c>
    </row>
    <row r="298" spans="1:4" x14ac:dyDescent="0.2">
      <c r="A298" t="s">
        <v>44</v>
      </c>
      <c r="B298">
        <v>2050</v>
      </c>
      <c r="C298" t="str">
        <f t="shared" si="4"/>
        <v>RI2050</v>
      </c>
      <c r="D298">
        <v>205.5</v>
      </c>
    </row>
    <row r="299" spans="1:4" x14ac:dyDescent="0.2">
      <c r="A299" t="s">
        <v>45</v>
      </c>
      <c r="B299">
        <v>2024</v>
      </c>
      <c r="C299" t="str">
        <f t="shared" si="4"/>
        <v>SC2024</v>
      </c>
      <c r="D299">
        <v>222.6</v>
      </c>
    </row>
    <row r="300" spans="1:4" x14ac:dyDescent="0.2">
      <c r="A300" t="s">
        <v>45</v>
      </c>
      <c r="B300">
        <v>2026</v>
      </c>
      <c r="C300" t="str">
        <f t="shared" si="4"/>
        <v>SC2026</v>
      </c>
      <c r="D300">
        <v>183.4</v>
      </c>
    </row>
    <row r="301" spans="1:4" x14ac:dyDescent="0.2">
      <c r="A301" t="s">
        <v>45</v>
      </c>
      <c r="B301">
        <v>2028</v>
      </c>
      <c r="C301" t="str">
        <f t="shared" si="4"/>
        <v>SC2028</v>
      </c>
      <c r="D301">
        <v>92.8</v>
      </c>
    </row>
    <row r="302" spans="1:4" x14ac:dyDescent="0.2">
      <c r="A302" t="s">
        <v>45</v>
      </c>
      <c r="B302">
        <v>2030</v>
      </c>
      <c r="C302" t="str">
        <f t="shared" si="4"/>
        <v>SC2030</v>
      </c>
      <c r="D302">
        <v>58.3</v>
      </c>
    </row>
    <row r="303" spans="1:4" x14ac:dyDescent="0.2">
      <c r="A303" t="s">
        <v>45</v>
      </c>
      <c r="B303">
        <v>2035</v>
      </c>
      <c r="C303" t="str">
        <f t="shared" si="4"/>
        <v>SC2035</v>
      </c>
      <c r="D303">
        <v>29.4</v>
      </c>
    </row>
    <row r="304" spans="1:4" x14ac:dyDescent="0.2">
      <c r="A304" t="s">
        <v>45</v>
      </c>
      <c r="B304">
        <v>2040</v>
      </c>
      <c r="C304" t="str">
        <f t="shared" si="4"/>
        <v>SC2040</v>
      </c>
      <c r="D304">
        <v>23.5</v>
      </c>
    </row>
    <row r="305" spans="1:4" x14ac:dyDescent="0.2">
      <c r="A305" t="s">
        <v>45</v>
      </c>
      <c r="B305">
        <v>2045</v>
      </c>
      <c r="C305" t="str">
        <f t="shared" si="4"/>
        <v>SC2045</v>
      </c>
      <c r="D305">
        <v>26</v>
      </c>
    </row>
    <row r="306" spans="1:4" x14ac:dyDescent="0.2">
      <c r="A306" t="s">
        <v>45</v>
      </c>
      <c r="B306">
        <v>2050</v>
      </c>
      <c r="C306" t="str">
        <f t="shared" si="4"/>
        <v>SC2050</v>
      </c>
      <c r="D306">
        <v>49.3</v>
      </c>
    </row>
    <row r="307" spans="1:4" x14ac:dyDescent="0.2">
      <c r="A307" t="s">
        <v>46</v>
      </c>
      <c r="B307">
        <v>2024</v>
      </c>
      <c r="C307" t="str">
        <f t="shared" si="4"/>
        <v>SD2024</v>
      </c>
      <c r="D307">
        <v>116.3</v>
      </c>
    </row>
    <row r="308" spans="1:4" x14ac:dyDescent="0.2">
      <c r="A308" t="s">
        <v>46</v>
      </c>
      <c r="B308">
        <v>2026</v>
      </c>
      <c r="C308" t="str">
        <f t="shared" si="4"/>
        <v>SD2026</v>
      </c>
      <c r="D308">
        <v>78.099999999999994</v>
      </c>
    </row>
    <row r="309" spans="1:4" x14ac:dyDescent="0.2">
      <c r="A309" t="s">
        <v>46</v>
      </c>
      <c r="B309">
        <v>2028</v>
      </c>
      <c r="C309" t="str">
        <f t="shared" si="4"/>
        <v>SD2028</v>
      </c>
      <c r="D309">
        <v>51.3</v>
      </c>
    </row>
    <row r="310" spans="1:4" x14ac:dyDescent="0.2">
      <c r="A310" t="s">
        <v>46</v>
      </c>
      <c r="B310">
        <v>2030</v>
      </c>
      <c r="C310" t="str">
        <f t="shared" si="4"/>
        <v>SD2030</v>
      </c>
      <c r="D310">
        <v>21.8</v>
      </c>
    </row>
    <row r="311" spans="1:4" x14ac:dyDescent="0.2">
      <c r="A311" t="s">
        <v>46</v>
      </c>
      <c r="B311">
        <v>2035</v>
      </c>
      <c r="C311" t="str">
        <f t="shared" si="4"/>
        <v>SD2035</v>
      </c>
      <c r="D311">
        <v>14.2</v>
      </c>
    </row>
    <row r="312" spans="1:4" x14ac:dyDescent="0.2">
      <c r="A312" t="s">
        <v>46</v>
      </c>
      <c r="B312">
        <v>2040</v>
      </c>
      <c r="C312" t="str">
        <f t="shared" si="4"/>
        <v>SD2040</v>
      </c>
      <c r="D312">
        <v>6.5</v>
      </c>
    </row>
    <row r="313" spans="1:4" x14ac:dyDescent="0.2">
      <c r="A313" t="s">
        <v>46</v>
      </c>
      <c r="B313">
        <v>2045</v>
      </c>
      <c r="C313" t="str">
        <f t="shared" si="4"/>
        <v>SD2045</v>
      </c>
      <c r="D313">
        <v>9.4</v>
      </c>
    </row>
    <row r="314" spans="1:4" x14ac:dyDescent="0.2">
      <c r="A314" t="s">
        <v>46</v>
      </c>
      <c r="B314">
        <v>2050</v>
      </c>
      <c r="C314" t="str">
        <f t="shared" si="4"/>
        <v>SD2050</v>
      </c>
      <c r="D314">
        <v>9.4</v>
      </c>
    </row>
    <row r="315" spans="1:4" x14ac:dyDescent="0.2">
      <c r="A315" t="s">
        <v>47</v>
      </c>
      <c r="B315">
        <v>2024</v>
      </c>
      <c r="C315" t="str">
        <f t="shared" si="4"/>
        <v>TN2024</v>
      </c>
      <c r="D315">
        <v>349.9</v>
      </c>
    </row>
    <row r="316" spans="1:4" x14ac:dyDescent="0.2">
      <c r="A316" t="s">
        <v>47</v>
      </c>
      <c r="B316">
        <v>2026</v>
      </c>
      <c r="C316" t="str">
        <f t="shared" si="4"/>
        <v>TN2026</v>
      </c>
      <c r="D316">
        <v>231.4</v>
      </c>
    </row>
    <row r="317" spans="1:4" x14ac:dyDescent="0.2">
      <c r="A317" t="s">
        <v>47</v>
      </c>
      <c r="B317">
        <v>2028</v>
      </c>
      <c r="C317" t="str">
        <f t="shared" si="4"/>
        <v>TN2028</v>
      </c>
      <c r="D317">
        <v>109.4</v>
      </c>
    </row>
    <row r="318" spans="1:4" x14ac:dyDescent="0.2">
      <c r="A318" t="s">
        <v>47</v>
      </c>
      <c r="B318">
        <v>2030</v>
      </c>
      <c r="C318" t="str">
        <f t="shared" si="4"/>
        <v>TN2030</v>
      </c>
      <c r="D318">
        <v>96.3</v>
      </c>
    </row>
    <row r="319" spans="1:4" x14ac:dyDescent="0.2">
      <c r="A319" t="s">
        <v>47</v>
      </c>
      <c r="B319">
        <v>2035</v>
      </c>
      <c r="C319" t="str">
        <f t="shared" si="4"/>
        <v>TN2035</v>
      </c>
      <c r="D319">
        <v>84</v>
      </c>
    </row>
    <row r="320" spans="1:4" x14ac:dyDescent="0.2">
      <c r="A320" t="s">
        <v>47</v>
      </c>
      <c r="B320">
        <v>2040</v>
      </c>
      <c r="C320" t="str">
        <f t="shared" si="4"/>
        <v>TN2040</v>
      </c>
      <c r="D320">
        <v>76.400000000000006</v>
      </c>
    </row>
    <row r="321" spans="1:4" x14ac:dyDescent="0.2">
      <c r="A321" t="s">
        <v>47</v>
      </c>
      <c r="B321">
        <v>2045</v>
      </c>
      <c r="C321" t="str">
        <f t="shared" si="4"/>
        <v>TN2045</v>
      </c>
      <c r="D321">
        <v>52.1</v>
      </c>
    </row>
    <row r="322" spans="1:4" x14ac:dyDescent="0.2">
      <c r="A322" t="s">
        <v>47</v>
      </c>
      <c r="B322">
        <v>2050</v>
      </c>
      <c r="C322" t="str">
        <f t="shared" si="4"/>
        <v>TN2050</v>
      </c>
      <c r="D322">
        <v>57.1</v>
      </c>
    </row>
    <row r="323" spans="1:4" x14ac:dyDescent="0.2">
      <c r="A323" t="s">
        <v>48</v>
      </c>
      <c r="B323">
        <v>2024</v>
      </c>
      <c r="C323" t="str">
        <f t="shared" si="4"/>
        <v>TX2024</v>
      </c>
      <c r="D323">
        <v>270.5</v>
      </c>
    </row>
    <row r="324" spans="1:4" x14ac:dyDescent="0.2">
      <c r="A324" t="s">
        <v>48</v>
      </c>
      <c r="B324">
        <v>2026</v>
      </c>
      <c r="C324" t="str">
        <f t="shared" ref="C324:C386" si="5">_xlfn.CONCAT(A324,B324)</f>
        <v>TX2026</v>
      </c>
      <c r="D324">
        <v>196.2</v>
      </c>
    </row>
    <row r="325" spans="1:4" x14ac:dyDescent="0.2">
      <c r="A325" t="s">
        <v>48</v>
      </c>
      <c r="B325">
        <v>2028</v>
      </c>
      <c r="C325" t="str">
        <f t="shared" si="5"/>
        <v>TX2028</v>
      </c>
      <c r="D325">
        <v>113.8</v>
      </c>
    </row>
    <row r="326" spans="1:4" x14ac:dyDescent="0.2">
      <c r="A326" t="s">
        <v>48</v>
      </c>
      <c r="B326">
        <v>2030</v>
      </c>
      <c r="C326" t="str">
        <f t="shared" si="5"/>
        <v>TX2030</v>
      </c>
      <c r="D326">
        <v>80.599999999999994</v>
      </c>
    </row>
    <row r="327" spans="1:4" x14ac:dyDescent="0.2">
      <c r="A327" t="s">
        <v>48</v>
      </c>
      <c r="B327">
        <v>2035</v>
      </c>
      <c r="C327" t="str">
        <f t="shared" si="5"/>
        <v>TX2035</v>
      </c>
      <c r="D327">
        <v>56</v>
      </c>
    </row>
    <row r="328" spans="1:4" x14ac:dyDescent="0.2">
      <c r="A328" t="s">
        <v>48</v>
      </c>
      <c r="B328">
        <v>2040</v>
      </c>
      <c r="C328" t="str">
        <f t="shared" si="5"/>
        <v>TX2040</v>
      </c>
      <c r="D328">
        <v>48.3</v>
      </c>
    </row>
    <row r="329" spans="1:4" x14ac:dyDescent="0.2">
      <c r="A329" t="s">
        <v>48</v>
      </c>
      <c r="B329">
        <v>2045</v>
      </c>
      <c r="C329" t="str">
        <f t="shared" si="5"/>
        <v>TX2045</v>
      </c>
      <c r="D329">
        <v>47.3</v>
      </c>
    </row>
    <row r="330" spans="1:4" x14ac:dyDescent="0.2">
      <c r="A330" t="s">
        <v>48</v>
      </c>
      <c r="B330">
        <v>2050</v>
      </c>
      <c r="C330" t="str">
        <f t="shared" si="5"/>
        <v>TX2050</v>
      </c>
      <c r="D330">
        <v>83.4</v>
      </c>
    </row>
    <row r="331" spans="1:4" x14ac:dyDescent="0.2">
      <c r="A331" t="s">
        <v>49</v>
      </c>
      <c r="B331">
        <v>2024</v>
      </c>
      <c r="C331" t="str">
        <f t="shared" si="5"/>
        <v>UT2024</v>
      </c>
      <c r="D331">
        <v>704.6</v>
      </c>
    </row>
    <row r="332" spans="1:4" x14ac:dyDescent="0.2">
      <c r="A332" t="s">
        <v>49</v>
      </c>
      <c r="B332">
        <v>2026</v>
      </c>
      <c r="C332" t="str">
        <f t="shared" si="5"/>
        <v>UT2026</v>
      </c>
      <c r="D332">
        <v>616.5</v>
      </c>
    </row>
    <row r="333" spans="1:4" x14ac:dyDescent="0.2">
      <c r="A333" t="s">
        <v>49</v>
      </c>
      <c r="B333">
        <v>2028</v>
      </c>
      <c r="C333" t="str">
        <f t="shared" si="5"/>
        <v>UT2028</v>
      </c>
      <c r="D333">
        <v>550.6</v>
      </c>
    </row>
    <row r="334" spans="1:4" x14ac:dyDescent="0.2">
      <c r="A334" t="s">
        <v>49</v>
      </c>
      <c r="B334">
        <v>2030</v>
      </c>
      <c r="C334" t="str">
        <f t="shared" si="5"/>
        <v>UT2030</v>
      </c>
      <c r="D334">
        <v>502.8</v>
      </c>
    </row>
    <row r="335" spans="1:4" x14ac:dyDescent="0.2">
      <c r="A335" t="s">
        <v>49</v>
      </c>
      <c r="B335">
        <v>2035</v>
      </c>
      <c r="C335" t="str">
        <f t="shared" si="5"/>
        <v>UT2035</v>
      </c>
      <c r="D335">
        <v>319.8</v>
      </c>
    </row>
    <row r="336" spans="1:4" x14ac:dyDescent="0.2">
      <c r="A336" t="s">
        <v>49</v>
      </c>
      <c r="B336">
        <v>2040</v>
      </c>
      <c r="C336" t="str">
        <f t="shared" si="5"/>
        <v>UT2040</v>
      </c>
      <c r="D336">
        <v>264.7</v>
      </c>
    </row>
    <row r="337" spans="1:4" x14ac:dyDescent="0.2">
      <c r="A337" t="s">
        <v>49</v>
      </c>
      <c r="B337">
        <v>2045</v>
      </c>
      <c r="C337" t="str">
        <f t="shared" si="5"/>
        <v>UT2045</v>
      </c>
      <c r="D337">
        <v>206.3</v>
      </c>
    </row>
    <row r="338" spans="1:4" x14ac:dyDescent="0.2">
      <c r="A338" t="s">
        <v>49</v>
      </c>
      <c r="B338">
        <v>2050</v>
      </c>
      <c r="C338" t="str">
        <f t="shared" si="5"/>
        <v>UT2050</v>
      </c>
      <c r="D338">
        <v>262.10000000000002</v>
      </c>
    </row>
    <row r="339" spans="1:4" x14ac:dyDescent="0.2">
      <c r="A339" t="s">
        <v>50</v>
      </c>
      <c r="B339">
        <v>2024</v>
      </c>
      <c r="C339" t="str">
        <f t="shared" si="5"/>
        <v>VA2024</v>
      </c>
      <c r="D339">
        <v>232</v>
      </c>
    </row>
    <row r="340" spans="1:4" x14ac:dyDescent="0.2">
      <c r="A340" t="s">
        <v>50</v>
      </c>
      <c r="B340">
        <v>2026</v>
      </c>
      <c r="C340" t="str">
        <f t="shared" si="5"/>
        <v>VA2026</v>
      </c>
      <c r="D340">
        <v>223.5</v>
      </c>
    </row>
    <row r="341" spans="1:4" x14ac:dyDescent="0.2">
      <c r="A341" t="s">
        <v>50</v>
      </c>
      <c r="B341">
        <v>2028</v>
      </c>
      <c r="C341" t="str">
        <f t="shared" si="5"/>
        <v>VA2028</v>
      </c>
      <c r="D341">
        <v>205.1</v>
      </c>
    </row>
    <row r="342" spans="1:4" x14ac:dyDescent="0.2">
      <c r="A342" t="s">
        <v>50</v>
      </c>
      <c r="B342">
        <v>2030</v>
      </c>
      <c r="C342" t="str">
        <f t="shared" si="5"/>
        <v>VA2030</v>
      </c>
      <c r="D342">
        <v>184.4</v>
      </c>
    </row>
    <row r="343" spans="1:4" x14ac:dyDescent="0.2">
      <c r="A343" t="s">
        <v>50</v>
      </c>
      <c r="B343">
        <v>2035</v>
      </c>
      <c r="C343" t="str">
        <f t="shared" si="5"/>
        <v>VA2035</v>
      </c>
      <c r="D343">
        <v>141</v>
      </c>
    </row>
    <row r="344" spans="1:4" x14ac:dyDescent="0.2">
      <c r="A344" t="s">
        <v>50</v>
      </c>
      <c r="B344">
        <v>2040</v>
      </c>
      <c r="C344" t="str">
        <f t="shared" si="5"/>
        <v>VA2040</v>
      </c>
      <c r="D344">
        <v>127.6</v>
      </c>
    </row>
    <row r="345" spans="1:4" x14ac:dyDescent="0.2">
      <c r="A345" t="s">
        <v>50</v>
      </c>
      <c r="B345">
        <v>2045</v>
      </c>
      <c r="C345" t="str">
        <f t="shared" si="5"/>
        <v>VA2045</v>
      </c>
      <c r="D345">
        <v>2.4</v>
      </c>
    </row>
    <row r="346" spans="1:4" x14ac:dyDescent="0.2">
      <c r="A346" t="s">
        <v>50</v>
      </c>
      <c r="B346">
        <v>2050</v>
      </c>
      <c r="C346" t="str">
        <f t="shared" si="5"/>
        <v>VA2050</v>
      </c>
      <c r="D346">
        <v>6.1</v>
      </c>
    </row>
    <row r="347" spans="1:4" x14ac:dyDescent="0.2">
      <c r="A347" t="s">
        <v>51</v>
      </c>
      <c r="B347">
        <v>2024</v>
      </c>
      <c r="C347" t="str">
        <f t="shared" si="5"/>
        <v>VT2024</v>
      </c>
      <c r="D347">
        <v>0.8</v>
      </c>
    </row>
    <row r="348" spans="1:4" x14ac:dyDescent="0.2">
      <c r="A348" t="s">
        <v>51</v>
      </c>
      <c r="B348">
        <v>2026</v>
      </c>
      <c r="C348" t="str">
        <f t="shared" si="5"/>
        <v>VT2026</v>
      </c>
      <c r="D348">
        <v>0.8</v>
      </c>
    </row>
    <row r="349" spans="1:4" x14ac:dyDescent="0.2">
      <c r="A349" t="s">
        <v>51</v>
      </c>
      <c r="B349">
        <v>2028</v>
      </c>
      <c r="C349" t="str">
        <f t="shared" si="5"/>
        <v>VT2028</v>
      </c>
      <c r="D349">
        <v>0.8</v>
      </c>
    </row>
    <row r="350" spans="1:4" x14ac:dyDescent="0.2">
      <c r="A350" t="s">
        <v>51</v>
      </c>
      <c r="B350">
        <v>2030</v>
      </c>
      <c r="C350" t="str">
        <f t="shared" si="5"/>
        <v>VT2030</v>
      </c>
      <c r="D350">
        <v>0.3</v>
      </c>
    </row>
    <row r="351" spans="1:4" x14ac:dyDescent="0.2">
      <c r="A351" t="s">
        <v>51</v>
      </c>
      <c r="B351">
        <v>2035</v>
      </c>
      <c r="C351" t="str">
        <f t="shared" si="5"/>
        <v>VT2035</v>
      </c>
      <c r="D351">
        <v>0.3</v>
      </c>
    </row>
    <row r="352" spans="1:4" x14ac:dyDescent="0.2">
      <c r="A352" t="s">
        <v>51</v>
      </c>
      <c r="B352">
        <v>2040</v>
      </c>
      <c r="C352" t="str">
        <f t="shared" si="5"/>
        <v>VT2040</v>
      </c>
      <c r="D352">
        <v>21.4</v>
      </c>
    </row>
    <row r="353" spans="1:4" x14ac:dyDescent="0.2">
      <c r="A353" t="s">
        <v>51</v>
      </c>
      <c r="B353">
        <v>2045</v>
      </c>
      <c r="C353" t="str">
        <f t="shared" si="5"/>
        <v>VT2045</v>
      </c>
      <c r="D353">
        <v>27.7</v>
      </c>
    </row>
    <row r="354" spans="1:4" x14ac:dyDescent="0.2">
      <c r="A354" t="s">
        <v>51</v>
      </c>
      <c r="B354">
        <v>2050</v>
      </c>
      <c r="C354" t="str">
        <f t="shared" si="5"/>
        <v>VT2050</v>
      </c>
      <c r="D354">
        <v>35.799999999999997</v>
      </c>
    </row>
    <row r="355" spans="1:4" x14ac:dyDescent="0.2">
      <c r="A355" t="s">
        <v>52</v>
      </c>
      <c r="B355">
        <v>2024</v>
      </c>
      <c r="C355" t="str">
        <f t="shared" si="5"/>
        <v>WA2024</v>
      </c>
      <c r="D355">
        <v>58.1</v>
      </c>
    </row>
    <row r="356" spans="1:4" x14ac:dyDescent="0.2">
      <c r="A356" t="s">
        <v>52</v>
      </c>
      <c r="B356">
        <v>2026</v>
      </c>
      <c r="C356" t="str">
        <f t="shared" si="5"/>
        <v>WA2026</v>
      </c>
      <c r="D356">
        <v>21.9</v>
      </c>
    </row>
    <row r="357" spans="1:4" x14ac:dyDescent="0.2">
      <c r="A357" t="s">
        <v>52</v>
      </c>
      <c r="B357">
        <v>2028</v>
      </c>
      <c r="C357" t="str">
        <f t="shared" si="5"/>
        <v>WA2028</v>
      </c>
      <c r="D357">
        <v>12.3</v>
      </c>
    </row>
    <row r="358" spans="1:4" x14ac:dyDescent="0.2">
      <c r="A358" t="s">
        <v>52</v>
      </c>
      <c r="B358">
        <v>2030</v>
      </c>
      <c r="C358" t="str">
        <f t="shared" si="5"/>
        <v>WA2030</v>
      </c>
      <c r="D358">
        <v>12.1</v>
      </c>
    </row>
    <row r="359" spans="1:4" x14ac:dyDescent="0.2">
      <c r="A359" t="s">
        <v>52</v>
      </c>
      <c r="B359">
        <v>2035</v>
      </c>
      <c r="C359" t="str">
        <f t="shared" si="5"/>
        <v>WA2035</v>
      </c>
      <c r="D359">
        <v>14.3</v>
      </c>
    </row>
    <row r="360" spans="1:4" x14ac:dyDescent="0.2">
      <c r="A360" t="s">
        <v>52</v>
      </c>
      <c r="B360">
        <v>2040</v>
      </c>
      <c r="C360" t="str">
        <f t="shared" si="5"/>
        <v>WA2040</v>
      </c>
      <c r="D360">
        <v>12.6</v>
      </c>
    </row>
    <row r="361" spans="1:4" x14ac:dyDescent="0.2">
      <c r="A361" t="s">
        <v>52</v>
      </c>
      <c r="B361">
        <v>2045</v>
      </c>
      <c r="C361" t="str">
        <f t="shared" si="5"/>
        <v>WA2045</v>
      </c>
      <c r="D361">
        <v>15.1</v>
      </c>
    </row>
    <row r="362" spans="1:4" x14ac:dyDescent="0.2">
      <c r="A362" t="s">
        <v>52</v>
      </c>
      <c r="B362">
        <v>2050</v>
      </c>
      <c r="C362" t="str">
        <f t="shared" si="5"/>
        <v>WA2050</v>
      </c>
      <c r="D362">
        <v>56.2</v>
      </c>
    </row>
    <row r="363" spans="1:4" x14ac:dyDescent="0.2">
      <c r="A363" t="s">
        <v>53</v>
      </c>
      <c r="B363">
        <v>2024</v>
      </c>
      <c r="C363" t="str">
        <f t="shared" si="5"/>
        <v>WI2024</v>
      </c>
      <c r="D363">
        <v>471</v>
      </c>
    </row>
    <row r="364" spans="1:4" x14ac:dyDescent="0.2">
      <c r="A364" t="s">
        <v>53</v>
      </c>
      <c r="B364">
        <v>2026</v>
      </c>
      <c r="C364" t="str">
        <f t="shared" si="5"/>
        <v>WI2026</v>
      </c>
      <c r="D364">
        <v>409.1</v>
      </c>
    </row>
    <row r="365" spans="1:4" x14ac:dyDescent="0.2">
      <c r="A365" t="s">
        <v>53</v>
      </c>
      <c r="B365">
        <v>2028</v>
      </c>
      <c r="C365" t="str">
        <f t="shared" si="5"/>
        <v>WI2028</v>
      </c>
      <c r="D365">
        <v>293.39999999999998</v>
      </c>
    </row>
    <row r="366" spans="1:4" x14ac:dyDescent="0.2">
      <c r="A366" t="s">
        <v>53</v>
      </c>
      <c r="B366">
        <v>2030</v>
      </c>
      <c r="C366" t="str">
        <f t="shared" si="5"/>
        <v>WI2030</v>
      </c>
      <c r="D366">
        <v>237.2</v>
      </c>
    </row>
    <row r="367" spans="1:4" x14ac:dyDescent="0.2">
      <c r="A367" t="s">
        <v>53</v>
      </c>
      <c r="B367">
        <v>2035</v>
      </c>
      <c r="C367" t="str">
        <f t="shared" si="5"/>
        <v>WI2035</v>
      </c>
      <c r="D367">
        <v>183.9</v>
      </c>
    </row>
    <row r="368" spans="1:4" x14ac:dyDescent="0.2">
      <c r="A368" t="s">
        <v>53</v>
      </c>
      <c r="B368">
        <v>2040</v>
      </c>
      <c r="C368" t="str">
        <f t="shared" si="5"/>
        <v>WI2040</v>
      </c>
      <c r="D368">
        <v>133.19999999999999</v>
      </c>
    </row>
    <row r="369" spans="1:4" x14ac:dyDescent="0.2">
      <c r="A369" t="s">
        <v>53</v>
      </c>
      <c r="B369">
        <v>2045</v>
      </c>
      <c r="C369" t="str">
        <f t="shared" si="5"/>
        <v>WI2045</v>
      </c>
      <c r="D369">
        <v>162.1</v>
      </c>
    </row>
    <row r="370" spans="1:4" x14ac:dyDescent="0.2">
      <c r="A370" t="s">
        <v>53</v>
      </c>
      <c r="B370">
        <v>2050</v>
      </c>
      <c r="C370" t="str">
        <f t="shared" si="5"/>
        <v>WI2050</v>
      </c>
      <c r="D370">
        <v>254.5</v>
      </c>
    </row>
    <row r="371" spans="1:4" x14ac:dyDescent="0.2">
      <c r="A371" t="s">
        <v>54</v>
      </c>
      <c r="B371">
        <v>2024</v>
      </c>
      <c r="C371" t="str">
        <f t="shared" si="5"/>
        <v>WV2024</v>
      </c>
      <c r="D371">
        <v>859</v>
      </c>
    </row>
    <row r="372" spans="1:4" x14ac:dyDescent="0.2">
      <c r="A372" t="s">
        <v>54</v>
      </c>
      <c r="B372">
        <v>2026</v>
      </c>
      <c r="C372" t="str">
        <f t="shared" si="5"/>
        <v>WV2026</v>
      </c>
      <c r="D372">
        <v>849.9</v>
      </c>
    </row>
    <row r="373" spans="1:4" x14ac:dyDescent="0.2">
      <c r="A373" t="s">
        <v>54</v>
      </c>
      <c r="B373">
        <v>2028</v>
      </c>
      <c r="C373" t="str">
        <f t="shared" si="5"/>
        <v>WV2028</v>
      </c>
      <c r="D373">
        <v>742.4</v>
      </c>
    </row>
    <row r="374" spans="1:4" x14ac:dyDescent="0.2">
      <c r="A374" t="s">
        <v>54</v>
      </c>
      <c r="B374">
        <v>2030</v>
      </c>
      <c r="C374" t="str">
        <f t="shared" si="5"/>
        <v>WV2030</v>
      </c>
      <c r="D374">
        <v>679.9</v>
      </c>
    </row>
    <row r="375" spans="1:4" x14ac:dyDescent="0.2">
      <c r="A375" t="s">
        <v>54</v>
      </c>
      <c r="B375">
        <v>2035</v>
      </c>
      <c r="C375" t="str">
        <f t="shared" si="5"/>
        <v>WV2035</v>
      </c>
      <c r="D375">
        <v>553.6</v>
      </c>
    </row>
    <row r="376" spans="1:4" x14ac:dyDescent="0.2">
      <c r="A376" t="s">
        <v>54</v>
      </c>
      <c r="B376">
        <v>2040</v>
      </c>
      <c r="C376" t="str">
        <f t="shared" si="5"/>
        <v>WV2040</v>
      </c>
      <c r="D376">
        <v>318.39999999999998</v>
      </c>
    </row>
    <row r="377" spans="1:4" x14ac:dyDescent="0.2">
      <c r="A377" t="s">
        <v>54</v>
      </c>
      <c r="B377">
        <v>2045</v>
      </c>
      <c r="C377" t="str">
        <f t="shared" si="5"/>
        <v>WV2045</v>
      </c>
      <c r="D377">
        <v>290.39999999999998</v>
      </c>
    </row>
    <row r="378" spans="1:4" x14ac:dyDescent="0.2">
      <c r="A378" t="s">
        <v>54</v>
      </c>
      <c r="B378">
        <v>2050</v>
      </c>
      <c r="C378" t="str">
        <f t="shared" si="5"/>
        <v>WV2050</v>
      </c>
      <c r="D378">
        <v>411.4</v>
      </c>
    </row>
    <row r="379" spans="1:4" x14ac:dyDescent="0.2">
      <c r="A379" t="s">
        <v>55</v>
      </c>
      <c r="B379">
        <v>2024</v>
      </c>
      <c r="C379" t="str">
        <f t="shared" si="5"/>
        <v>WY2024</v>
      </c>
      <c r="D379">
        <v>875</v>
      </c>
    </row>
    <row r="380" spans="1:4" x14ac:dyDescent="0.2">
      <c r="A380" t="s">
        <v>55</v>
      </c>
      <c r="B380">
        <v>2026</v>
      </c>
      <c r="C380" t="str">
        <f t="shared" si="5"/>
        <v>WY2026</v>
      </c>
      <c r="D380">
        <v>633.70000000000005</v>
      </c>
    </row>
    <row r="381" spans="1:4" x14ac:dyDescent="0.2">
      <c r="A381" t="s">
        <v>55</v>
      </c>
      <c r="B381">
        <v>2028</v>
      </c>
      <c r="C381" t="str">
        <f t="shared" si="5"/>
        <v>WY2028</v>
      </c>
      <c r="D381">
        <v>469</v>
      </c>
    </row>
    <row r="382" spans="1:4" x14ac:dyDescent="0.2">
      <c r="A382" t="s">
        <v>55</v>
      </c>
      <c r="B382">
        <v>2030</v>
      </c>
      <c r="C382" t="str">
        <f t="shared" si="5"/>
        <v>WY2030</v>
      </c>
      <c r="D382">
        <v>316.5</v>
      </c>
    </row>
    <row r="383" spans="1:4" x14ac:dyDescent="0.2">
      <c r="A383" t="s">
        <v>55</v>
      </c>
      <c r="B383">
        <v>2035</v>
      </c>
      <c r="C383" t="str">
        <f t="shared" si="5"/>
        <v>WY2035</v>
      </c>
      <c r="D383">
        <v>195</v>
      </c>
    </row>
    <row r="384" spans="1:4" x14ac:dyDescent="0.2">
      <c r="A384" t="s">
        <v>55</v>
      </c>
      <c r="B384">
        <v>2040</v>
      </c>
      <c r="C384" t="str">
        <f t="shared" si="5"/>
        <v>WY2040</v>
      </c>
      <c r="D384">
        <v>121.2</v>
      </c>
    </row>
    <row r="385" spans="1:4" x14ac:dyDescent="0.2">
      <c r="A385" t="s">
        <v>55</v>
      </c>
      <c r="B385">
        <v>2045</v>
      </c>
      <c r="C385" t="str">
        <f t="shared" si="5"/>
        <v>WY2045</v>
      </c>
      <c r="D385">
        <v>55.3</v>
      </c>
    </row>
    <row r="386" spans="1:4" x14ac:dyDescent="0.2">
      <c r="A386" t="s">
        <v>55</v>
      </c>
      <c r="B386">
        <v>2050</v>
      </c>
      <c r="C386" t="str">
        <f t="shared" si="5"/>
        <v>WY2050</v>
      </c>
      <c r="D386">
        <v>71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46371-6B63-45F9-9D20-BA94C046E691}">
  <sheetPr codeName="Sheet3"/>
  <dimension ref="B3:D5"/>
  <sheetViews>
    <sheetView workbookViewId="0">
      <selection activeCell="D17" sqref="D17"/>
    </sheetView>
  </sheetViews>
  <sheetFormatPr baseColWidth="10" defaultColWidth="8.83203125" defaultRowHeight="15" x14ac:dyDescent="0.2"/>
  <cols>
    <col min="2" max="2" width="35.33203125" customWidth="1"/>
    <col min="4" max="4" width="18.5" customWidth="1"/>
  </cols>
  <sheetData>
    <row r="3" spans="2:4" x14ac:dyDescent="0.2">
      <c r="B3" t="s">
        <v>86</v>
      </c>
      <c r="D3" t="s">
        <v>88</v>
      </c>
    </row>
    <row r="4" spans="2:4" x14ac:dyDescent="0.2">
      <c r="B4" t="s">
        <v>132</v>
      </c>
      <c r="D4" t="s">
        <v>87</v>
      </c>
    </row>
    <row r="5" spans="2:4" x14ac:dyDescent="0.2">
      <c r="D5" t="s">
        <v>133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81A03C6-0472-4FA7-B481-4FACBFA22EA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Title</vt:lpstr>
      <vt:lpstr>Energy Inputs</vt:lpstr>
      <vt:lpstr>Energy Costs Inputs (Optional)</vt:lpstr>
      <vt:lpstr>Emission Inputs (Optional)</vt:lpstr>
      <vt:lpstr>Results</vt:lpstr>
      <vt:lpstr>Grid Emissions Database - AER</vt:lpstr>
      <vt:lpstr>NREL Mid-case w tax expiration</vt:lpstr>
      <vt:lpstr>Support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Ovais Ahmed Khan</cp:lastModifiedBy>
  <dcterms:created xsi:type="dcterms:W3CDTF">2022-09-17T22:38:40Z</dcterms:created>
  <dcterms:modified xsi:type="dcterms:W3CDTF">2025-12-05T20:12:03Z</dcterms:modified>
</cp:coreProperties>
</file>